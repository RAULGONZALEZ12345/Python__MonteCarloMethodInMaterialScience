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BI_GRB" sheetId="1" state="visible" r:id="rId3"/>
  </sheets>
  <definedNames>
    <definedName function="false" hidden="false" name="AnioEval" vbProcedure="false">RBI_GRB!$E$4</definedName>
    <definedName function="false" hidden="false" name="ArtDF" vbProcedure="false">RBI_GRB!$F$65:$F$73</definedName>
    <definedName function="false" hidden="false" name="ArtLim" vbProcedure="false">RBI_GRB!$E$65:$E$73</definedName>
    <definedName function="false" hidden="false" name="Base" vbProcedure="false">RBI_GRB!$E$8</definedName>
    <definedName function="false" hidden="false" name="CatLet" vbProcedure="false">RBI_GRB!$E$77:$E$81</definedName>
    <definedName function="false" hidden="false" name="CcutFC" vbProcedure="false">RBI_GRB!$F$77:$F$80</definedName>
    <definedName function="false" hidden="false" name="DFrep" vbProcedure="false">RBI_GRB!$D$77:$D$81</definedName>
    <definedName function="false" hidden="false" name="EffList" vbProcedure="false">RBI_GRB!$P$65:$P$69</definedName>
    <definedName function="false" hidden="false" name="EffRet" vbProcedure="false">RBI_GRB!$R$65:$R$69</definedName>
    <definedName function="false" hidden="false" name="FCrep" vbProcedure="false">RBI_GRB!$G$77:$G$81</definedName>
    <definedName function="false" hidden="false" name="FC_CALC" vbProcedure="false">RBI_GRB!$F$100</definedName>
    <definedName function="false" hidden="false" name="FFScost" vbProcedure="false">RBI_GRB!$X$64:$X$67</definedName>
    <definedName function="false" hidden="false" name="FFSfac" vbProcedure="false">RBI_GRB!$U$64:$U$66</definedName>
    <definedName function="false" hidden="false" name="FFSlist" vbProcedure="false">RBI_GRB!$T$64:$T$66</definedName>
    <definedName function="false" hidden="false" name="FMS" vbProcedure="false">RBI_GRB!$E$6</definedName>
    <definedName function="false" hidden="false" name="GFFtipo" vbProcedure="false">RBI_GRB!$B$64:$B$68</definedName>
    <definedName function="false" hidden="false" name="GFFval" vbProcedure="false">RBI_GRB!$C$64:$C$68</definedName>
    <definedName function="false" hidden="false" name="Horiz" vbProcedure="false">RBI_GRB!$E$7</definedName>
    <definedName function="false" hidden="false" name="MecList" vbProcedure="false">RBI_GRB!$K$64:$K$70</definedName>
    <definedName function="false" hidden="false" name="MecTipo" vbProcedure="false">RBI_GRB!$N$64:$N$70</definedName>
    <definedName function="false" hidden="false" name="ObjNivel" vbProcedure="false">RBI_GRB!$E$9</definedName>
    <definedName function="false" hidden="false" name="PcutDF" vbProcedure="false">RBI_GRB!$C$77:$C$80</definedName>
    <definedName function="false" hidden="false" name="ProdDia" vbProcedure="false">RBI_GRB!$E$11</definedName>
    <definedName function="false" hidden="false" name="RAMlev" vbProcedure="false">RBI_GRB!$K$77:$O$81</definedName>
    <definedName function="false" hidden="false" name="RBIimpl" vbProcedure="false">RBI_GRB!$E$10</definedName>
    <definedName function="false" hidden="false" name="ScoreSGA" vbProcedure="false">RBI_GRB!$E$5</definedName>
    <definedName function="false" hidden="false" name="SusDF" vbProcedure="false">RBI_GRB!$I$64:$I$67</definedName>
    <definedName function="false" hidden="false" name="SusList" vbProcedure="false">RBI_GRB!$H$64:$H$67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Año calendario del análisis (edad = año − año última inspección)</t>
        </r>
      </text>
    </comment>
    <comment ref="E5" authorId="0">
      <text>
        <r>
          <rPr>
            <sz val="10"/>
            <rFont val="Arial"/>
            <family val="2"/>
          </rPr>
          <t xml:space="preserve">Paper §2.3: score 750 según API 581 Anexo 2.A</t>
        </r>
      </text>
    </comment>
    <comment ref="E6" authorId="0">
      <text>
        <r>
          <rPr>
            <sz val="10"/>
            <rFont val="Arial"/>
            <family val="2"/>
          </rPr>
          <t xml:space="preserve">API 581 Parte 2 Anexo 2.A (verificar en su edición); 750 → 0,316</t>
        </r>
      </text>
    </comment>
    <comment ref="E7" authorId="0">
      <text>
        <r>
          <rPr>
            <sz val="10"/>
            <rFont val="Arial"/>
            <family val="2"/>
          </rPr>
          <t xml:space="preserve">Años en que se mantiene el beneficio (reevaluar por 'evergreening', paper §2.2)</t>
        </r>
      </text>
    </comment>
    <comment ref="E8" authorId="0">
      <text>
        <r>
          <rPr>
            <sz val="10"/>
            <rFont val="Arial"/>
            <family val="2"/>
          </rPr>
          <t xml:space="preserve">CUANT: riesgo=POF×FC. RAM: riesgo desde categorías seleccionadas (valores representativos)</t>
        </r>
      </text>
    </comment>
    <comment ref="E9" authorId="0">
      <text>
        <r>
          <rPr>
            <sz val="10"/>
            <rFont val="Arial"/>
            <family val="2"/>
          </rPr>
          <t xml:space="preserve">1 bajo, 2 medio, 3 medio-alto, 4 alto. Paper §2.3: objetivo = riesgo medio</t>
        </r>
      </text>
    </comment>
    <comment ref="E10" authorId="0">
      <text>
        <r>
          <rPr>
            <sz val="10"/>
            <rFont val="Arial"/>
            <family val="2"/>
          </rPr>
          <t xml:space="preserve">Paper §2.3: 210 USD por activo</t>
        </r>
      </text>
    </comment>
    <comment ref="E11" authorId="0">
      <text>
        <r>
          <rPr>
            <sz val="10"/>
            <rFont val="Arial"/>
            <family val="2"/>
          </rPr>
          <t xml:space="preserve">Paper §2.3: 40.000 USD/día (el paper lo rotula '$/m2' por error tipográfico; Tabla 9: 6 h ≈ 10.000 USD)</t>
        </r>
      </text>
    </comment>
  </commentList>
</comments>
</file>

<file path=xl/sharedStrings.xml><?xml version="1.0" encoding="utf-8"?>
<sst xmlns="http://schemas.openxmlformats.org/spreadsheetml/2006/main" count="283" uniqueCount="212">
  <si>
    <t xml:space="preserve">RBI – Beneficio económico por reducción de riesgo | Refinería de Barrancabermeja (GRB) – equipos estáticos</t>
  </si>
  <si>
    <t xml:space="preserve">Una hoja: 1 fila = 1 equipo evaluado en el año. Celdas AZUL/AMARILLO = entradas; negro = fórmulas. Filas de ejemplo ILUSTRATIVAS (no son datos reales de GRB); E-101 replica el intercambiador del paper (Oropallo et al., 2024, doi:10.1016/j.ssci.2024.106570). Ecuaciones (1)–(12) en el documento Word.</t>
  </si>
  <si>
    <t xml:space="preserve">PANEL RESUMEN ANUAL</t>
  </si>
  <si>
    <t xml:space="preserve">Año de evaluación</t>
  </si>
  <si>
    <t xml:space="preserve">Riesgo inicial agregado (USD/año)</t>
  </si>
  <si>
    <t xml:space="preserve">Beneficio por reducción de riesgo (USD/año)</t>
  </si>
  <si>
    <t xml:space="preserve">SIR promedio (por equipo)</t>
  </si>
  <si>
    <t xml:space="preserve">Score sistema de gestión (0–1000)</t>
  </si>
  <si>
    <t xml:space="preserve">Riesgo residual agregado (USD/año)</t>
  </si>
  <si>
    <t xml:space="preserve">Ahorro por diferimiento: menor inspección</t>
  </si>
  <si>
    <t xml:space="preserve">SIR agregado (ΣVP/ΣInversión)</t>
  </si>
  <si>
    <t xml:space="preserve">FMS = 10^(1−0,02·score/10)</t>
  </si>
  <si>
    <t xml:space="preserve">Reducción total de riesgo (USD/año)</t>
  </si>
  <si>
    <t xml:space="preserve">Ahorro por diferimiento: menor pérdida prod.</t>
  </si>
  <si>
    <t xml:space="preserve">ROI a N años</t>
  </si>
  <si>
    <t xml:space="preserve">Horizonte de evaluación N (años)</t>
  </si>
  <si>
    <t xml:space="preserve">% de reducción de riesgo</t>
  </si>
  <si>
    <t xml:space="preserve">Costo total inspecciones y reparaciones (USD)</t>
  </si>
  <si>
    <t xml:space="preserve">Periodo de recuperación simple (años)</t>
  </si>
  <si>
    <t xml:space="preserve">Base económica (CUANT / RAM)</t>
  </si>
  <si>
    <t xml:space="preserve">CUANT</t>
  </si>
  <si>
    <t xml:space="preserve">Equipos evaluados</t>
  </si>
  <si>
    <t xml:space="preserve">Beneficio neto anual (USD/año)</t>
  </si>
  <si>
    <t xml:space="preserve">Recuperación descontada portafolio (años)</t>
  </si>
  <si>
    <t xml:space="preserve">Nivel RAM máximo permitido (1–4)</t>
  </si>
  <si>
    <t xml:space="preserve">Equipos con SIR&gt;1 (aceptables)</t>
  </si>
  <si>
    <t xml:space="preserve">VAN total (USD)</t>
  </si>
  <si>
    <t xml:space="preserve">Equipos que exceden objetivo de riesgo</t>
  </si>
  <si>
    <t xml:space="preserve">Costo de implantación RBI (USD/equipo)</t>
  </si>
  <si>
    <t xml:space="preserve">Producción (USD/día) – referencia</t>
  </si>
  <si>
    <t xml:space="preserve">ENTRADAS POR EQUIPO</t>
  </si>
  <si>
    <t xml:space="preserve">RAM (selección del usuario) y riesgo por categoría</t>
  </si>
  <si>
    <t xml:space="preserve">CÁLCULO CUANTITATIVO API 581 simplificado</t>
  </si>
  <si>
    <t xml:space="preserve">RAM: verificación y objetivo</t>
  </si>
  <si>
    <t xml:space="preserve">ECONOMÍA: reducción de riesgo, diferimiento, SIR, VAN, ROI</t>
  </si>
  <si>
    <t xml:space="preserve">FLUJO NETO DESCONTADO ACUMULADO (USD) por equipo – año</t>
  </si>
  <si>
    <t xml:space="preserve">N°</t>
  </si>
  <si>
    <t xml:space="preserve">Planta</t>
  </si>
  <si>
    <t xml:space="preserve">Tag</t>
  </si>
  <si>
    <t xml:space="preserve">Tipo de equipo</t>
  </si>
  <si>
    <t xml:space="preserve">Fluido</t>
  </si>
  <si>
    <t xml:space="preserve">P (bar)</t>
  </si>
  <si>
    <t xml:space="preserve">T (°C)</t>
  </si>
  <si>
    <t xml:space="preserve">Espesor medido (mm)</t>
  </si>
  <si>
    <t xml:space="preserve">Tasa corr. (mm/año)</t>
  </si>
  <si>
    <t xml:space="preserve">Año últ. inspección</t>
  </si>
  <si>
    <t xml:space="preserve">Mecanismo de daño</t>
  </si>
  <si>
    <t xml:space="preserve">Susceptib. (fisuración)</t>
  </si>
  <si>
    <t xml:space="preserve">DF inicial usuario (opc.)</t>
  </si>
  <si>
    <t xml:space="preserve">FC (USD)</t>
  </si>
  <si>
    <t xml:space="preserve">% del FC por producción</t>
  </si>
  <si>
    <t xml:space="preserve">Costo inspección (USD)</t>
  </si>
  <si>
    <t xml:space="preserve">Tasa descuento</t>
  </si>
  <si>
    <t xml:space="preserve">Efectividad insp. (A–E)</t>
  </si>
  <si>
    <t xml:space="preserve">Nivel FFS (0–3)</t>
  </si>
  <si>
    <t xml:space="preserve">FFS: Apto / No apto</t>
  </si>
  <si>
    <t xml:space="preserve">FAD: Pasa / No pasa</t>
  </si>
  <si>
    <t xml:space="preserve">Costo repar./reempl. (USD)</t>
  </si>
  <si>
    <t xml:space="preserve">Intervalo TBI (años)</t>
  </si>
  <si>
    <t xml:space="preserve">Intervalo RBI (años)</t>
  </si>
  <si>
    <t xml:space="preserve">Pérdida prod. por parada (USD)</t>
  </si>
  <si>
    <t xml:space="preserve">P inicial (1–5)</t>
  </si>
  <si>
    <t xml:space="preserve">C inicial (A–E)</t>
  </si>
  <si>
    <t xml:space="preserve">P posterior (1–5)</t>
  </si>
  <si>
    <t xml:space="preserve">C posterior (A–E)</t>
  </si>
  <si>
    <t xml:space="preserve">Edad (años)</t>
  </si>
  <si>
    <t xml:space="preserve">Art = CR·edad/t</t>
  </si>
  <si>
    <t xml:space="preserve">DF sugerido</t>
  </si>
  <si>
    <t xml:space="preserve">DF inicial</t>
  </si>
  <si>
    <t xml:space="preserve">GFF (1/año)</t>
  </si>
  <si>
    <t xml:space="preserve">POF inicial (1/año)</t>
  </si>
  <si>
    <t xml:space="preserve">Riesgo inicial CUANT (USD/año)</t>
  </si>
  <si>
    <t xml:space="preserve">Estado FFS</t>
  </si>
  <si>
    <t xml:space="preserve">DF posterior</t>
  </si>
  <si>
    <t xml:space="preserve">POF posterior (1/año)</t>
  </si>
  <si>
    <t xml:space="preserve">Riesgo posterior CUANT (USD/año)</t>
  </si>
  <si>
    <t xml:space="preserve">Riesgo inicial RAM (USD/año)</t>
  </si>
  <si>
    <t xml:space="preserve">Riesgo posterior RAM (USD/año)</t>
  </si>
  <si>
    <t xml:space="preserve">Cat. calculada inicial</t>
  </si>
  <si>
    <t xml:space="preserve">Cat. calculada posterior</t>
  </si>
  <si>
    <t xml:space="preserve">Coincide sel. vs calc.</t>
  </si>
  <si>
    <t xml:space="preserve">Nivel RAM inicial</t>
  </si>
  <si>
    <t xml:space="preserve">Nivel RAM posterior</t>
  </si>
  <si>
    <t xml:space="preserve">Objetivo de riesgo</t>
  </si>
  <si>
    <t xml:space="preserve">Riesgo inicial usado (USD/año)</t>
  </si>
  <si>
    <t xml:space="preserve">Riesgo residual usado (USD/año)</t>
  </si>
  <si>
    <t xml:space="preserve">Reducción de riesgo (USD/año)</t>
  </si>
  <si>
    <t xml:space="preserve">  de la cual producción</t>
  </si>
  <si>
    <t xml:space="preserve">  de la cual otras consec.</t>
  </si>
  <si>
    <t xml:space="preserve">Ahorro por menor inspección (USD/año)</t>
  </si>
  <si>
    <t xml:space="preserve">Ahorro por menor pérdida de producción (USD/año)</t>
  </si>
  <si>
    <t xml:space="preserve">Ahorro anual total (USD/año)</t>
  </si>
  <si>
    <t xml:space="preserve">Inversión inicial (USD)</t>
  </si>
  <si>
    <t xml:space="preserve">Factor anualidad</t>
  </si>
  <si>
    <t xml:space="preserve">VP ahorros (USD)</t>
  </si>
  <si>
    <t xml:space="preserve">SIR</t>
  </si>
  <si>
    <t xml:space="preserve">VAN (USD)</t>
  </si>
  <si>
    <t xml:space="preserve">ROI (N años)</t>
  </si>
  <si>
    <t xml:space="preserve">Recuperación simple (años)</t>
  </si>
  <si>
    <t xml:space="preserve">Recuperación descontada (años)</t>
  </si>
  <si>
    <t xml:space="preserve">Decisión SIR&gt;1</t>
  </si>
  <si>
    <t xml:space="preserve">Crudo/Topping (ej.)</t>
  </si>
  <si>
    <t xml:space="preserve">E-101</t>
  </si>
  <si>
    <t xml:space="preserve">Intercambiador T&amp;C</t>
  </si>
  <si>
    <t xml:space="preserve">Vapor (caso paper)</t>
  </si>
  <si>
    <t xml:space="preserve">Adelgazamiento</t>
  </si>
  <si>
    <t xml:space="preserve">A</t>
  </si>
  <si>
    <t xml:space="preserve">Apto</t>
  </si>
  <si>
    <t xml:space="preserve">Pasa</t>
  </si>
  <si>
    <t xml:space="preserve">C</t>
  </si>
  <si>
    <t xml:space="preserve">Hidrotratamiento (ej.)</t>
  </si>
  <si>
    <t xml:space="preserve">R-2101</t>
  </si>
  <si>
    <t xml:space="preserve">Reactor</t>
  </si>
  <si>
    <t xml:space="preserve">H2 + HC</t>
  </si>
  <si>
    <t xml:space="preserve">HTHA</t>
  </si>
  <si>
    <t xml:space="preserve">Media</t>
  </si>
  <si>
    <t xml:space="preserve">B</t>
  </si>
  <si>
    <t xml:space="preserve">E</t>
  </si>
  <si>
    <t xml:space="preserve">T-1101</t>
  </si>
  <si>
    <t xml:space="preserve">Torre</t>
  </si>
  <si>
    <t xml:space="preserve">Crudo + H2S</t>
  </si>
  <si>
    <t xml:space="preserve">Sulfidación</t>
  </si>
  <si>
    <t xml:space="preserve">No apto</t>
  </si>
  <si>
    <t xml:space="preserve">No pasa</t>
  </si>
  <si>
    <t xml:space="preserve">D</t>
  </si>
  <si>
    <t xml:space="preserve">Coquización (ej.)</t>
  </si>
  <si>
    <t xml:space="preserve">H-2201</t>
  </si>
  <si>
    <t xml:space="preserve">Horno (proxy)</t>
  </si>
  <si>
    <t xml:space="preserve">Residuo</t>
  </si>
  <si>
    <t xml:space="preserve">Cracking FCC (ej.)</t>
  </si>
  <si>
    <t xml:space="preserve">D-3301</t>
  </si>
  <si>
    <t xml:space="preserve">Drum</t>
  </si>
  <si>
    <t xml:space="preserve">Agua ácida</t>
  </si>
  <si>
    <t xml:space="preserve">HIC/SOHIC</t>
  </si>
  <si>
    <t xml:space="preserve">Alta</t>
  </si>
  <si>
    <t xml:space="preserve">E-2105</t>
  </si>
  <si>
    <t xml:space="preserve">HC aislado</t>
  </si>
  <si>
    <t xml:space="preserve">CUI</t>
  </si>
  <si>
    <t xml:space="preserve">AHORROS TOTALES (suma anual de equipos evaluados)</t>
  </si>
  <si>
    <t xml:space="preserve">Fila total: SIR y ROI agregados = totales/totales. 'SIR promedio' (panel superior) = promedio simple de los SIR por equipo. Inversión = inspección + FFS + reparación (si No apto) + implantación RBI. Ahorro por diferimiento = costo·(1/TBI − 1/RBI).</t>
  </si>
  <si>
    <t xml:space="preserve">MATRIZ RAM 5×5 (API 581, paper Fig. 5): nº de equipos por celda – ANTES (izq.) y DESPUÉS de RBI + FFS (der.). Filas = probabilidad 1–5; columnas = consecuencia A–E.</t>
  </si>
  <si>
    <t xml:space="preserve">ANTES (mitigación)</t>
  </si>
  <si>
    <t xml:space="preserve">DESPUÉS (RBI + FFS)</t>
  </si>
  <si>
    <t xml:space="preserve">Consecuencia →</t>
  </si>
  <si>
    <t xml:space="preserve">Colores: verde bajo · amarillo medio · naranja medio-alto · rojo alto. Objetivo del paper = riesgo medio (no se admite medio-alto ni alto).</t>
  </si>
  <si>
    <t xml:space="preserve">T1. GFF total (API 581 P.2 Tabla 3.1; verificar)</t>
  </si>
  <si>
    <t xml:space="preserve">T2. DF sugerido por Art (simplificado)</t>
  </si>
  <si>
    <t xml:space="preserve">T3. DF por susceptibilidad</t>
  </si>
  <si>
    <t xml:space="preserve">T4. Mecanismo → tipo (E=espesor/CR; F=fisuración)</t>
  </si>
  <si>
    <t xml:space="preserve">T5. Efectividad (paper Tabla 1)</t>
  </si>
  <si>
    <t xml:space="preserve">T6. Factor de DF por resultado FFS</t>
  </si>
  <si>
    <t xml:space="preserve">T7. Costo FFS por nivel (USD, supuesto)</t>
  </si>
  <si>
    <t xml:space="preserve">Art ≥</t>
  </si>
  <si>
    <t xml:space="preserve">DF</t>
  </si>
  <si>
    <t xml:space="preserve">Cat</t>
  </si>
  <si>
    <t xml:space="preserve">Confianza</t>
  </si>
  <si>
    <t xml:space="preserve">DF retenido</t>
  </si>
  <si>
    <t xml:space="preserve">No requerido</t>
  </si>
  <si>
    <t xml:space="preserve">Nivel 0</t>
  </si>
  <si>
    <t xml:space="preserve">Corrosión externa</t>
  </si>
  <si>
    <t xml:space="preserve">APTO/PASA</t>
  </si>
  <si>
    <t xml:space="preserve">Nivel 1</t>
  </si>
  <si>
    <t xml:space="preserve">Baja</t>
  </si>
  <si>
    <t xml:space="preserve">REVISAR</t>
  </si>
  <si>
    <t xml:space="preserve">Nivel 2</t>
  </si>
  <si>
    <t xml:space="preserve">Ninguna</t>
  </si>
  <si>
    <t xml:space="preserve">Nivel 3</t>
  </si>
  <si>
    <t xml:space="preserve">F</t>
  </si>
  <si>
    <t xml:space="preserve">SCC</t>
  </si>
  <si>
    <t xml:space="preserve">T8. Umbrales y valores representativos RAM (API 581 Parte 1 Tablas 4.1/4.2; verificar edición)</t>
  </si>
  <si>
    <t xml:space="preserve">T9. Nivel de riesgo por celda (paper Fig. 5): 1 bajo,2 medio,3 medio-alto,4 alto</t>
  </si>
  <si>
    <t xml:space="preserve">Cat P</t>
  </si>
  <si>
    <t xml:space="preserve">DF límite sup.</t>
  </si>
  <si>
    <t xml:space="preserve">DF repres.</t>
  </si>
  <si>
    <t xml:space="preserve">Cat C</t>
  </si>
  <si>
    <t xml:space="preserve">FC límite sup. (USD)</t>
  </si>
  <si>
    <t xml:space="preserve">FC repres. (USD)</t>
  </si>
  <si>
    <t xml:space="preserve">&gt;</t>
  </si>
  <si>
    <t xml:space="preserve">CALCULADORA DE CONSECUENCIA (ej. E-101) – valores del paper §2.3 + supuestos del ejemplo</t>
  </si>
  <si>
    <t xml:space="preserve">Área de daño a componentes CA_cmd (m²)</t>
  </si>
  <si>
    <t xml:space="preserve">m²</t>
  </si>
  <si>
    <t xml:space="preserve">Supuesto del ejemplo (el paper no da CA)</t>
  </si>
  <si>
    <t xml:space="preserve">Área de lesiones CA_inj (m²)</t>
  </si>
  <si>
    <t xml:space="preserve">Supuesto; eq. (10)-(12) del paper: CA=max(CA_cmd,CA_inj)</t>
  </si>
  <si>
    <t xml:space="preserve">Costo de reposición (USD/m²)</t>
  </si>
  <si>
    <t xml:space="preserve">USD/m²</t>
  </si>
  <si>
    <t xml:space="preserve">Paper §2.3 (4.000 USD/m²)</t>
  </si>
  <si>
    <t xml:space="preserve">Densidad de personas (pers/m²)</t>
  </si>
  <si>
    <t xml:space="preserve">pers/m²</t>
  </si>
  <si>
    <t xml:space="preserve">Paper §2.3</t>
  </si>
  <si>
    <t xml:space="preserve">Valor de vida estadística VSL (USD/persona)</t>
  </si>
  <si>
    <t xml:space="preserve">USD</t>
  </si>
  <si>
    <t xml:space="preserve">Paper §2.3 (10.000 USD/persona); usar VSL local para sensibilidad</t>
  </si>
  <si>
    <t xml:space="preserve">Fracción FCaffa/FCcmd (unidades vecinas)</t>
  </si>
  <si>
    <t xml:space="preserve">-</t>
  </si>
  <si>
    <t xml:space="preserve">Supuesto</t>
  </si>
  <si>
    <t xml:space="preserve">Días de parada por falla</t>
  </si>
  <si>
    <t xml:space="preserve">días</t>
  </si>
  <si>
    <t xml:space="preserve">Supuesto; USD/día = celda E11</t>
  </si>
  <si>
    <t xml:space="preserve">FCenviron – limpieza ambiental (USD)</t>
  </si>
  <si>
    <t xml:space="preserve">Factor de mitigación f_mit (detección/aislamiento)</t>
  </si>
  <si>
    <t xml:space="preserve">Supuesto; paper §2.3: aislamiento operado desde sala de control + blowdown</t>
  </si>
  <si>
    <t xml:space="preserve">FCcmd = CA_cmd × costo reposición</t>
  </si>
  <si>
    <t xml:space="preserve">FCaffa = fracción × FCcmd</t>
  </si>
  <si>
    <t xml:space="preserve">FCprod = días × producción USD/día</t>
  </si>
  <si>
    <t xml:space="preserve">FCinj = CA_inj × densidad × VSL</t>
  </si>
  <si>
    <t xml:space="preserve">FCenviron</t>
  </si>
  <si>
    <t xml:space="preserve">FC bruto = Σ componentes (eq. 13 paper)</t>
  </si>
  <si>
    <t xml:space="preserve">DPN = FC bruto × (1 − f_mit)  → FC usado en fila E-101</t>
  </si>
  <si>
    <t xml:space="preserve">LSE = POF_ini(E-101) × CA_inj × densidad (pers/año)</t>
  </si>
  <si>
    <t xml:space="preserve">Riesgo de vida = LSE × VSL (USD/año)</t>
  </si>
  <si>
    <t xml:space="preserve">Costo evitado anualizado CAA E-101 = RR + ahorros diferimiento (USD/año)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</si>
</sst>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#,##0"/>
    <numFmt numFmtId="167" formatCode="0.00"/>
    <numFmt numFmtId="168" formatCode="0.000"/>
    <numFmt numFmtId="169" formatCode="0%"/>
    <numFmt numFmtId="170" formatCode="0.0%"/>
    <numFmt numFmtId="171" formatCode="0.0"/>
    <numFmt numFmtId="172" formatCode="#,##0;\(#,##0\);\-"/>
    <numFmt numFmtId="173" formatCode="&quot;Año &quot;0"/>
    <numFmt numFmtId="174" formatCode="#,##0.0"/>
    <numFmt numFmtId="175" formatCode="0.00E+00"/>
    <numFmt numFmtId="176" formatCode="0;;;"/>
    <numFmt numFmtId="177" formatCode="0.000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0000FF"/>
      <name val="Arial"/>
      <family val="0"/>
      <charset val="1"/>
    </font>
    <font>
      <sz val="8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7"/>
      <color rgb="FF595959"/>
      <name val="Arial"/>
      <family val="0"/>
      <charset val="1"/>
    </font>
    <font>
      <b val="true"/>
      <sz val="9"/>
      <color rgb="FF1F3A5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8"/>
      <name val="Arial"/>
      <family val="0"/>
      <charset val="1"/>
    </font>
    <font>
      <i val="true"/>
      <sz val="7"/>
      <color rgb="FF7F7F7F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FFF9DB"/>
        <bgColor rgb="FFFFFFFF"/>
      </patternFill>
    </fill>
    <fill>
      <patternFill patternType="solid">
        <fgColor rgb="FFE8F0F8"/>
        <bgColor rgb="FFFFFFFF"/>
      </patternFill>
    </fill>
    <fill>
      <patternFill patternType="solid">
        <fgColor rgb="FF2E5A88"/>
        <bgColor rgb="FF595959"/>
      </patternFill>
    </fill>
    <fill>
      <patternFill patternType="solid">
        <fgColor rgb="FF7B3F8C"/>
        <bgColor rgb="FF595959"/>
      </patternFill>
    </fill>
    <fill>
      <patternFill patternType="solid">
        <fgColor rgb="FF4A4A4A"/>
        <bgColor rgb="FF595959"/>
      </patternFill>
    </fill>
    <fill>
      <patternFill patternType="solid">
        <fgColor rgb="FF1E7B4F"/>
        <bgColor rgb="FF008080"/>
      </patternFill>
    </fill>
    <fill>
      <patternFill patternType="solid">
        <fgColor rgb="FFA0522D"/>
        <bgColor rgb="FFC0504D"/>
      </patternFill>
    </fill>
    <fill>
      <patternFill patternType="solid">
        <fgColor rgb="FF1F3A5F"/>
        <bgColor rgb="FF4A4A4A"/>
      </patternFill>
    </fill>
    <fill>
      <patternFill patternType="solid">
        <fgColor rgb="FFFFEB84"/>
        <bgColor rgb="FFFFCC99"/>
      </patternFill>
    </fill>
    <fill>
      <patternFill patternType="solid">
        <fgColor rgb="FFF8A34F"/>
        <bgColor rgb="FFFF8080"/>
      </patternFill>
    </fill>
    <fill>
      <patternFill patternType="solid">
        <fgColor rgb="FFE5533D"/>
        <bgColor rgb="FFC0504D"/>
      </patternFill>
    </fill>
    <fill>
      <patternFill patternType="solid">
        <fgColor rgb="FF63BE7B"/>
        <bgColor rgb="FF87878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1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6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6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6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B4F"/>
      <rgbColor rgb="FFBFBFBF"/>
      <rgbColor rgb="FF7F7F7F"/>
      <rgbColor rgb="FF9999FF"/>
      <rgbColor rgb="FF7B3F8C"/>
      <rgbColor rgb="FFFFF9DB"/>
      <rgbColor rgb="FFE8F0F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84"/>
      <rgbColor rgb="FF99CCFF"/>
      <rgbColor rgb="FFFF99CC"/>
      <rgbColor rgb="FFCC99FF"/>
      <rgbColor rgb="FFFFCC99"/>
      <rgbColor rgb="FF4A7EBB"/>
      <rgbColor rgb="FF63BE7B"/>
      <rgbColor rgb="FF99CC00"/>
      <rgbColor rgb="FFFFCC00"/>
      <rgbColor rgb="FFF8A34F"/>
      <rgbColor rgb="FFE5533D"/>
      <rgbColor rgb="FF595959"/>
      <rgbColor rgb="FF878787"/>
      <rgbColor rgb="FF1F3A5F"/>
      <rgbColor rgb="FF4F81BD"/>
      <rgbColor rgb="FF003300"/>
      <rgbColor rgb="FF333300"/>
      <rgbColor rgb="FFA0522D"/>
      <rgbColor rgb="FFC0504D"/>
      <rgbColor rgb="FF2E5A88"/>
      <rgbColor rgb="FF4A4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Flujo neto descontado acumulado – portafolio (USD)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RBI_GRB!$BO$15:$CD$15</c:f>
              <c:strCache>
                <c:ptCount val="16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  <c:pt idx="12">
                  <c:v>Año 12</c:v>
                </c:pt>
                <c:pt idx="13">
                  <c:v>Año 13</c:v>
                </c:pt>
                <c:pt idx="14">
                  <c:v>Año 14</c:v>
                </c:pt>
                <c:pt idx="15">
                  <c:v>Año 15</c:v>
                </c:pt>
              </c:strCache>
            </c:strRef>
          </c:cat>
          <c:val>
            <c:numRef>
              <c:f>RBI_GRB!$BO$46:$CD$46</c:f>
              <c:numCache>
                <c:formatCode>#,##0;\(#,##0\);\-</c:formatCode>
                <c:ptCount val="16"/>
                <c:pt idx="0">
                  <c:v>-408980</c:v>
                </c:pt>
                <c:pt idx="1">
                  <c:v>-262069.890714835</c:v>
                </c:pt>
                <c:pt idx="2">
                  <c:v>-128515.245910139</c:v>
                </c:pt>
                <c:pt idx="3">
                  <c:v>-7101.93245132407</c:v>
                </c:pt>
                <c:pt idx="4">
                  <c:v>103273.807056689</c:v>
                </c:pt>
                <c:pt idx="5">
                  <c:v>203615.38842761</c:v>
                </c:pt>
                <c:pt idx="6">
                  <c:v>294835.00785572</c:v>
                </c:pt>
                <c:pt idx="7">
                  <c:v>377761.934608547</c:v>
                </c:pt>
                <c:pt idx="8">
                  <c:v>453150.049838391</c:v>
                </c:pt>
                <c:pt idx="9">
                  <c:v>521684.700047339</c:v>
                </c:pt>
                <c:pt idx="10">
                  <c:v>583988.927510019</c:v>
                </c:pt>
                <c:pt idx="11">
                  <c:v>583988.927510019</c:v>
                </c:pt>
                <c:pt idx="12">
                  <c:v>583988.927510019</c:v>
                </c:pt>
                <c:pt idx="13">
                  <c:v>583988.927510019</c:v>
                </c:pt>
                <c:pt idx="14">
                  <c:v>583988.927510019</c:v>
                </c:pt>
                <c:pt idx="15">
                  <c:v>583988.927510019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3013173"/>
        <c:axId val="51010267"/>
      </c:lineChart>
      <c:catAx>
        <c:axId val="3301317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Año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Año &quot;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010267"/>
        <c:crosses val="autoZero"/>
        <c:auto val="1"/>
        <c:lblAlgn val="ctr"/>
        <c:lblOffset val="100"/>
        <c:noMultiLvlLbl val="0"/>
      </c:catAx>
      <c:valAx>
        <c:axId val="510102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01317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Riesgo inicial vs residual por equipo (USD/año)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RBI_GRB!AW15</c:f>
              <c:strCache>
                <c:ptCount val="1"/>
                <c:pt idx="0">
                  <c:v>Riesgo inicial usado (USD/año)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RBI_GRB!$C$16:$C$21</c:f>
              <c:strCache>
                <c:ptCount val="6"/>
                <c:pt idx="0">
                  <c:v>E-101</c:v>
                </c:pt>
                <c:pt idx="1">
                  <c:v>R-2101</c:v>
                </c:pt>
                <c:pt idx="2">
                  <c:v>T-1101</c:v>
                </c:pt>
                <c:pt idx="3">
                  <c:v>H-2201</c:v>
                </c:pt>
                <c:pt idx="4">
                  <c:v>D-3301</c:v>
                </c:pt>
                <c:pt idx="5">
                  <c:v>E-2105</c:v>
                </c:pt>
              </c:strCache>
            </c:strRef>
          </c:cat>
          <c:val>
            <c:numRef>
              <c:f>RBI_GRB!$AW$16:$AW$21</c:f>
              <c:numCache>
                <c:formatCode>#,##0</c:formatCode>
                <c:ptCount val="6"/>
                <c:pt idx="0">
                  <c:v>1088.61408451296</c:v>
                </c:pt>
                <c:pt idx="1">
                  <c:v>11611.8835681383</c:v>
                </c:pt>
                <c:pt idx="2">
                  <c:v>3483.56507044149</c:v>
                </c:pt>
                <c:pt idx="3">
                  <c:v>2612.67380283112</c:v>
                </c:pt>
                <c:pt idx="4">
                  <c:v>14514.8544601729</c:v>
                </c:pt>
                <c:pt idx="5">
                  <c:v>174.178253522074</c:v>
                </c:pt>
              </c:numCache>
            </c:numRef>
          </c:val>
        </c:ser>
        <c:ser>
          <c:idx val="1"/>
          <c:order val="1"/>
          <c:tx>
            <c:strRef>
              <c:f>RBI_GRB!AX15</c:f>
              <c:strCache>
                <c:ptCount val="1"/>
                <c:pt idx="0">
                  <c:v>Riesgo residual usado (USD/año)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RBI_GRB!$C$16:$C$21</c:f>
              <c:strCache>
                <c:ptCount val="6"/>
                <c:pt idx="0">
                  <c:v>E-101</c:v>
                </c:pt>
                <c:pt idx="1">
                  <c:v>R-2101</c:v>
                </c:pt>
                <c:pt idx="2">
                  <c:v>T-1101</c:v>
                </c:pt>
                <c:pt idx="3">
                  <c:v>H-2201</c:v>
                </c:pt>
                <c:pt idx="4">
                  <c:v>D-3301</c:v>
                </c:pt>
                <c:pt idx="5">
                  <c:v>E-2105</c:v>
                </c:pt>
              </c:strCache>
            </c:strRef>
          </c:cat>
          <c:val>
            <c:numRef>
              <c:f>RBI_GRB!$AX$16:$AX$21</c:f>
              <c:numCache>
                <c:formatCode>#,##0</c:formatCode>
                <c:ptCount val="6"/>
                <c:pt idx="0">
                  <c:v>5.44307042256482</c:v>
                </c:pt>
                <c:pt idx="1">
                  <c:v>174.178253522074</c:v>
                </c:pt>
                <c:pt idx="2">
                  <c:v>58.0594178406914</c:v>
                </c:pt>
                <c:pt idx="3">
                  <c:v>1306.33690141556</c:v>
                </c:pt>
                <c:pt idx="4">
                  <c:v>4354.45633805186</c:v>
                </c:pt>
                <c:pt idx="5">
                  <c:v>52.2534760566223</c:v>
                </c:pt>
              </c:numCache>
            </c:numRef>
          </c:val>
        </c:ser>
        <c:gapWidth val="150"/>
        <c:overlap val="0"/>
        <c:axId val="18946335"/>
        <c:axId val="80718589"/>
      </c:barChart>
      <c:catAx>
        <c:axId val="18946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718589"/>
        <c:crosses val="autoZero"/>
        <c:auto val="1"/>
        <c:lblAlgn val="ctr"/>
        <c:lblOffset val="100"/>
        <c:noMultiLvlLbl val="0"/>
      </c:catAx>
      <c:valAx>
        <c:axId val="807185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94633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18</xdr:col>
      <xdr:colOff>0</xdr:colOff>
      <xdr:row>47</xdr:row>
      <xdr:rowOff>160560</xdr:rowOff>
    </xdr:from>
    <xdr:to>
      <xdr:col>25</xdr:col>
      <xdr:colOff>341280</xdr:colOff>
      <xdr:row>62</xdr:row>
      <xdr:rowOff>2520</xdr:rowOff>
    </xdr:to>
    <xdr:graphicFrame>
      <xdr:nvGraphicFramePr>
        <xdr:cNvPr id="0" name="Chart 1"/>
        <xdr:cNvGraphicFramePr/>
      </xdr:nvGraphicFramePr>
      <xdr:xfrm>
        <a:off x="16357680" y="9734400"/>
        <a:ext cx="61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32</xdr:col>
      <xdr:colOff>0</xdr:colOff>
      <xdr:row>47</xdr:row>
      <xdr:rowOff>160560</xdr:rowOff>
    </xdr:from>
    <xdr:to>
      <xdr:col>38</xdr:col>
      <xdr:colOff>252000</xdr:colOff>
      <xdr:row>62</xdr:row>
      <xdr:rowOff>2520</xdr:rowOff>
    </xdr:to>
    <xdr:graphicFrame>
      <xdr:nvGraphicFramePr>
        <xdr:cNvPr id="1" name="Chart 2"/>
        <xdr:cNvGraphicFramePr/>
      </xdr:nvGraphicFramePr>
      <xdr:xfrm>
        <a:off x="26758800" y="9734400"/>
        <a:ext cx="61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D10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15" topLeftCell="D16" activePane="bottomRight" state="frozen"/>
      <selection pane="topLeft" activeCell="A1" activeCellId="0" sqref="A1"/>
      <selection pane="topRight" activeCell="D1" activeCellId="0" sqref="D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3" min="3" style="0" width="11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7" min="6" style="0" width="7"/>
    <col collapsed="false" customWidth="true" hidden="false" outlineLevel="0" max="10" min="8" style="0" width="9"/>
    <col collapsed="false" customWidth="true" hidden="false" outlineLevel="0" max="11" min="11" style="0" width="14"/>
    <col collapsed="false" customWidth="true" hidden="false" outlineLevel="0" max="13" min="12" style="0" width="10"/>
    <col collapsed="false" customWidth="true" hidden="false" outlineLevel="0" max="14" min="14" style="0" width="13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8"/>
    <col collapsed="false" customWidth="true" hidden="false" outlineLevel="0" max="18" min="18" style="0" width="9"/>
    <col collapsed="false" customWidth="true" hidden="false" outlineLevel="0" max="19" min="19" style="0" width="7"/>
    <col collapsed="false" customWidth="true" hidden="false" outlineLevel="0" max="21" min="20" style="0" width="9"/>
    <col collapsed="false" customWidth="true" hidden="false" outlineLevel="0" max="22" min="22" style="0" width="12"/>
    <col collapsed="false" customWidth="true" hidden="false" outlineLevel="0" max="24" min="23" style="0" width="8"/>
    <col collapsed="false" customWidth="true" hidden="false" outlineLevel="0" max="25" min="25" style="0" width="12"/>
    <col collapsed="false" customWidth="true" hidden="false" outlineLevel="0" max="30" min="26" style="0" width="7"/>
    <col collapsed="false" customWidth="true" hidden="false" outlineLevel="0" max="31" min="31" style="0" width="8"/>
    <col collapsed="false" customWidth="true" hidden="false" outlineLevel="0" max="33" min="32" style="0" width="9"/>
    <col collapsed="false" customWidth="true" hidden="false" outlineLevel="0" max="34" min="34" style="0" width="10"/>
    <col collapsed="false" customWidth="true" hidden="false" outlineLevel="0" max="35" min="35" style="0" width="11"/>
    <col collapsed="false" customWidth="true" hidden="false" outlineLevel="0" max="36" min="36" style="0" width="12"/>
    <col collapsed="false" customWidth="true" hidden="false" outlineLevel="0" max="37" min="37" style="0" width="15"/>
    <col collapsed="false" customWidth="true" hidden="false" outlineLevel="0" max="38" min="38" style="0" width="9"/>
    <col collapsed="false" customWidth="true" hidden="false" outlineLevel="0" max="39" min="39" style="0" width="11"/>
    <col collapsed="false" customWidth="true" hidden="false" outlineLevel="0" max="42" min="40" style="0" width="12"/>
    <col collapsed="false" customWidth="true" hidden="false" outlineLevel="0" max="44" min="43" style="0" width="8"/>
    <col collapsed="false" customWidth="true" hidden="false" outlineLevel="0" max="45" min="45" style="0" width="9"/>
    <col collapsed="false" customWidth="true" hidden="false" outlineLevel="0" max="47" min="46" style="0" width="7"/>
    <col collapsed="false" customWidth="true" hidden="false" outlineLevel="0" max="48" min="48" style="0" width="9"/>
    <col collapsed="false" customWidth="true" hidden="false" outlineLevel="0" max="51" min="49" style="0" width="12"/>
    <col collapsed="false" customWidth="true" hidden="false" outlineLevel="0" max="53" min="52" style="0" width="11"/>
    <col collapsed="false" customWidth="true" hidden="false" outlineLevel="0" max="54" min="54" style="0" width="12"/>
    <col collapsed="false" customWidth="true" hidden="false" outlineLevel="0" max="55" min="55" style="0" width="13"/>
    <col collapsed="false" customWidth="true" hidden="false" outlineLevel="0" max="56" min="56" style="0" width="12"/>
    <col collapsed="false" customWidth="true" hidden="false" outlineLevel="0" max="57" min="57" style="0" width="11"/>
    <col collapsed="false" customWidth="true" hidden="false" outlineLevel="0" max="58" min="58" style="0" width="8"/>
    <col collapsed="false" customWidth="true" hidden="false" outlineLevel="0" max="59" min="59" style="0" width="12"/>
    <col collapsed="false" customWidth="true" hidden="false" outlineLevel="0" max="60" min="60" style="0" width="7"/>
    <col collapsed="false" customWidth="true" hidden="false" outlineLevel="0" max="61" min="61" style="0" width="11"/>
    <col collapsed="false" customWidth="true" hidden="false" outlineLevel="0" max="62" min="62" style="0" width="8"/>
    <col collapsed="false" customWidth="true" hidden="false" outlineLevel="0" max="63" min="63" style="0" width="9"/>
    <col collapsed="false" customWidth="true" hidden="false" outlineLevel="0" max="64" min="64" style="0" width="10"/>
    <col collapsed="false" customWidth="true" hidden="false" outlineLevel="0" max="65" min="65" style="0" width="12"/>
    <col collapsed="false" customWidth="true" hidden="false" outlineLevel="0" max="66" min="66" style="0" width="13"/>
    <col collapsed="false" customWidth="true" hidden="false" outlineLevel="0" max="82" min="67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H3" s="3" t="s">
        <v>2</v>
      </c>
    </row>
    <row r="4" customFormat="false" ht="15" hidden="false" customHeight="false" outlineLevel="0" collapsed="false">
      <c r="B4" s="4" t="s">
        <v>3</v>
      </c>
      <c r="E4" s="5" t="n">
        <v>2026</v>
      </c>
      <c r="H4" s="6" t="s">
        <v>4</v>
      </c>
      <c r="L4" s="7" t="n">
        <f aca="false">AW46</f>
        <v>33485.7692396188</v>
      </c>
      <c r="N4" s="6" t="s">
        <v>5</v>
      </c>
      <c r="R4" s="7" t="n">
        <f aca="false">AY46</f>
        <v>27535.0417823094</v>
      </c>
      <c r="T4" s="6" t="s">
        <v>6</v>
      </c>
      <c r="X4" s="8" t="n">
        <f aca="false">IFERROR(AVERAGE(BH16:BH45),0)</f>
        <v>4.83556683942691</v>
      </c>
    </row>
    <row r="5" customFormat="false" ht="15" hidden="false" customHeight="false" outlineLevel="0" collapsed="false">
      <c r="B5" s="4" t="s">
        <v>7</v>
      </c>
      <c r="E5" s="5" t="n">
        <v>750</v>
      </c>
      <c r="H5" s="6" t="s">
        <v>8</v>
      </c>
      <c r="L5" s="7" t="n">
        <f aca="false">AX46</f>
        <v>5950.72745730937</v>
      </c>
      <c r="N5" s="6" t="s">
        <v>9</v>
      </c>
      <c r="R5" s="7" t="n">
        <f aca="false">BB46</f>
        <v>8209.86928104575</v>
      </c>
      <c r="T5" s="6" t="s">
        <v>10</v>
      </c>
      <c r="X5" s="8" t="n">
        <f aca="false">BH46</f>
        <v>2.42791561325742</v>
      </c>
    </row>
    <row r="6" customFormat="false" ht="15" hidden="false" customHeight="false" outlineLevel="0" collapsed="false">
      <c r="B6" s="4" t="s">
        <v>11</v>
      </c>
      <c r="E6" s="9" t="n">
        <f aca="false">10^(1-0.02*ScoreSGA/10)</f>
        <v>0.316227766016838</v>
      </c>
      <c r="H6" s="6" t="s">
        <v>12</v>
      </c>
      <c r="L6" s="7" t="n">
        <f aca="false">AY46</f>
        <v>27535.0417823094</v>
      </c>
      <c r="N6" s="6" t="s">
        <v>13</v>
      </c>
      <c r="R6" s="7" t="n">
        <f aca="false">BC46</f>
        <v>125856.209150327</v>
      </c>
      <c r="T6" s="6" t="s">
        <v>14</v>
      </c>
      <c r="X6" s="10" t="n">
        <f aca="false">BJ46</f>
        <v>2.95132085220994</v>
      </c>
    </row>
    <row r="7" customFormat="false" ht="15" hidden="false" customHeight="false" outlineLevel="0" collapsed="false">
      <c r="B7" s="4" t="s">
        <v>15</v>
      </c>
      <c r="E7" s="5" t="n">
        <v>10</v>
      </c>
      <c r="H7" s="6" t="s">
        <v>16</v>
      </c>
      <c r="L7" s="11" t="n">
        <f aca="false">IFERROR(AY46/AW46,0)</f>
        <v>0.822290853922843</v>
      </c>
      <c r="N7" s="6" t="s">
        <v>17</v>
      </c>
      <c r="R7" s="7" t="n">
        <f aca="false">BE46</f>
        <v>408980</v>
      </c>
      <c r="T7" s="6" t="s">
        <v>18</v>
      </c>
      <c r="X7" s="12" t="n">
        <f aca="false">BK46</f>
        <v>2.53079928814363</v>
      </c>
    </row>
    <row r="8" customFormat="false" ht="15" hidden="false" customHeight="false" outlineLevel="0" collapsed="false">
      <c r="B8" s="4" t="s">
        <v>19</v>
      </c>
      <c r="E8" s="13" t="s">
        <v>20</v>
      </c>
      <c r="H8" s="6" t="s">
        <v>21</v>
      </c>
      <c r="L8" s="14" t="n">
        <f aca="false">COUNTA(C16:C45)</f>
        <v>6</v>
      </c>
      <c r="N8" s="6" t="s">
        <v>22</v>
      </c>
      <c r="R8" s="15" t="n">
        <f aca="false">BM46</f>
        <v>95041.5086146324</v>
      </c>
      <c r="T8" s="6" t="s">
        <v>23</v>
      </c>
      <c r="X8" s="12" t="n">
        <f aca="false">IFERROR(-LN(1-BE46*AVERAGE(Q16:Q45)/BD46)/LN(1+AVERAGE(Q16:Q45)),"No recupera")</f>
        <v>3.06155229089654</v>
      </c>
    </row>
    <row r="9" customFormat="false" ht="15" hidden="false" customHeight="false" outlineLevel="0" collapsed="false">
      <c r="B9" s="4" t="s">
        <v>24</v>
      </c>
      <c r="E9" s="5" t="n">
        <v>2</v>
      </c>
      <c r="H9" s="6" t="s">
        <v>25</v>
      </c>
      <c r="L9" s="14" t="n">
        <f aca="false">COUNTIF(BN16:BN45,"ACEPTABLE")</f>
        <v>5</v>
      </c>
      <c r="N9" s="6" t="s">
        <v>26</v>
      </c>
      <c r="R9" s="15" t="n">
        <f aca="false">BI46</f>
        <v>583988.927510019</v>
      </c>
      <c r="T9" s="6" t="s">
        <v>27</v>
      </c>
      <c r="X9" s="14" t="n">
        <f aca="false">COUNTIF(AV16:AV45,"Excede")</f>
        <v>2</v>
      </c>
    </row>
    <row r="10" customFormat="false" ht="15" hidden="false" customHeight="false" outlineLevel="0" collapsed="false">
      <c r="B10" s="4" t="s">
        <v>28</v>
      </c>
      <c r="E10" s="16" t="n">
        <v>210</v>
      </c>
    </row>
    <row r="11" customFormat="false" ht="15" hidden="false" customHeight="false" outlineLevel="0" collapsed="false">
      <c r="B11" s="4" t="s">
        <v>29</v>
      </c>
      <c r="E11" s="16" t="n">
        <v>40000</v>
      </c>
    </row>
    <row r="14" customFormat="false" ht="15" hidden="false" customHeight="false" outlineLevel="0" collapsed="false">
      <c r="A14" s="17" t="s">
        <v>30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9" t="s">
        <v>31</v>
      </c>
      <c r="AA14" s="20"/>
      <c r="AB14" s="20"/>
      <c r="AC14" s="20"/>
      <c r="AD14" s="21" t="s">
        <v>32</v>
      </c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19" t="s">
        <v>33</v>
      </c>
      <c r="AP14" s="20"/>
      <c r="AQ14" s="20"/>
      <c r="AR14" s="20"/>
      <c r="AS14" s="20"/>
      <c r="AT14" s="20"/>
      <c r="AU14" s="20"/>
      <c r="AV14" s="20"/>
      <c r="AW14" s="23" t="s">
        <v>34</v>
      </c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5" t="s">
        <v>35</v>
      </c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</row>
    <row r="15" customFormat="false" ht="61.5" hidden="false" customHeight="true" outlineLevel="0" collapsed="false">
      <c r="A15" s="27" t="s">
        <v>36</v>
      </c>
      <c r="B15" s="27" t="s">
        <v>37</v>
      </c>
      <c r="C15" s="27" t="s">
        <v>38</v>
      </c>
      <c r="D15" s="27" t="s">
        <v>39</v>
      </c>
      <c r="E15" s="27" t="s">
        <v>40</v>
      </c>
      <c r="F15" s="27" t="s">
        <v>41</v>
      </c>
      <c r="G15" s="27" t="s">
        <v>42</v>
      </c>
      <c r="H15" s="27" t="s">
        <v>43</v>
      </c>
      <c r="I15" s="27" t="s">
        <v>44</v>
      </c>
      <c r="J15" s="27" t="s">
        <v>45</v>
      </c>
      <c r="K15" s="27" t="s">
        <v>46</v>
      </c>
      <c r="L15" s="27" t="s">
        <v>47</v>
      </c>
      <c r="M15" s="27" t="s">
        <v>48</v>
      </c>
      <c r="N15" s="27" t="s">
        <v>49</v>
      </c>
      <c r="O15" s="27" t="s">
        <v>50</v>
      </c>
      <c r="P15" s="27" t="s">
        <v>51</v>
      </c>
      <c r="Q15" s="27" t="s">
        <v>52</v>
      </c>
      <c r="R15" s="27" t="s">
        <v>53</v>
      </c>
      <c r="S15" s="27" t="s">
        <v>54</v>
      </c>
      <c r="T15" s="27" t="s">
        <v>55</v>
      </c>
      <c r="U15" s="27" t="s">
        <v>56</v>
      </c>
      <c r="V15" s="27" t="s">
        <v>57</v>
      </c>
      <c r="W15" s="27" t="s">
        <v>58</v>
      </c>
      <c r="X15" s="27" t="s">
        <v>59</v>
      </c>
      <c r="Y15" s="27" t="s">
        <v>60</v>
      </c>
      <c r="Z15" s="28" t="s">
        <v>61</v>
      </c>
      <c r="AA15" s="28" t="s">
        <v>62</v>
      </c>
      <c r="AB15" s="28" t="s">
        <v>63</v>
      </c>
      <c r="AC15" s="28" t="s">
        <v>64</v>
      </c>
      <c r="AD15" s="29" t="s">
        <v>65</v>
      </c>
      <c r="AE15" s="29" t="s">
        <v>66</v>
      </c>
      <c r="AF15" s="29" t="s">
        <v>67</v>
      </c>
      <c r="AG15" s="29" t="s">
        <v>68</v>
      </c>
      <c r="AH15" s="29" t="s">
        <v>69</v>
      </c>
      <c r="AI15" s="29" t="s">
        <v>70</v>
      </c>
      <c r="AJ15" s="29" t="s">
        <v>71</v>
      </c>
      <c r="AK15" s="29" t="s">
        <v>72</v>
      </c>
      <c r="AL15" s="29" t="s">
        <v>73</v>
      </c>
      <c r="AM15" s="29" t="s">
        <v>74</v>
      </c>
      <c r="AN15" s="29" t="s">
        <v>75</v>
      </c>
      <c r="AO15" s="28" t="s">
        <v>76</v>
      </c>
      <c r="AP15" s="28" t="s">
        <v>77</v>
      </c>
      <c r="AQ15" s="28" t="s">
        <v>78</v>
      </c>
      <c r="AR15" s="28" t="s">
        <v>79</v>
      </c>
      <c r="AS15" s="28" t="s">
        <v>80</v>
      </c>
      <c r="AT15" s="28" t="s">
        <v>81</v>
      </c>
      <c r="AU15" s="28" t="s">
        <v>82</v>
      </c>
      <c r="AV15" s="28" t="s">
        <v>83</v>
      </c>
      <c r="AW15" s="30" t="s">
        <v>84</v>
      </c>
      <c r="AX15" s="30" t="s">
        <v>85</v>
      </c>
      <c r="AY15" s="30" t="s">
        <v>86</v>
      </c>
      <c r="AZ15" s="30" t="s">
        <v>87</v>
      </c>
      <c r="BA15" s="30" t="s">
        <v>88</v>
      </c>
      <c r="BB15" s="30" t="s">
        <v>89</v>
      </c>
      <c r="BC15" s="30" t="s">
        <v>90</v>
      </c>
      <c r="BD15" s="30" t="s">
        <v>91</v>
      </c>
      <c r="BE15" s="30" t="s">
        <v>92</v>
      </c>
      <c r="BF15" s="30" t="s">
        <v>93</v>
      </c>
      <c r="BG15" s="30" t="s">
        <v>94</v>
      </c>
      <c r="BH15" s="30" t="s">
        <v>95</v>
      </c>
      <c r="BI15" s="30" t="s">
        <v>96</v>
      </c>
      <c r="BJ15" s="30" t="s">
        <v>97</v>
      </c>
      <c r="BK15" s="30" t="s">
        <v>98</v>
      </c>
      <c r="BL15" s="30" t="s">
        <v>99</v>
      </c>
      <c r="BM15" s="30" t="s">
        <v>22</v>
      </c>
      <c r="BN15" s="30" t="s">
        <v>100</v>
      </c>
      <c r="BO15" s="31" t="n">
        <v>0</v>
      </c>
      <c r="BP15" s="31" t="n">
        <v>1</v>
      </c>
      <c r="BQ15" s="31" t="n">
        <v>2</v>
      </c>
      <c r="BR15" s="31" t="n">
        <v>3</v>
      </c>
      <c r="BS15" s="31" t="n">
        <v>4</v>
      </c>
      <c r="BT15" s="31" t="n">
        <v>5</v>
      </c>
      <c r="BU15" s="31" t="n">
        <v>6</v>
      </c>
      <c r="BV15" s="31" t="n">
        <v>7</v>
      </c>
      <c r="BW15" s="31" t="n">
        <v>8</v>
      </c>
      <c r="BX15" s="31" t="n">
        <v>9</v>
      </c>
      <c r="BY15" s="31" t="n">
        <v>10</v>
      </c>
      <c r="BZ15" s="31" t="n">
        <v>11</v>
      </c>
      <c r="CA15" s="31" t="n">
        <v>12</v>
      </c>
      <c r="CB15" s="31" t="n">
        <v>13</v>
      </c>
      <c r="CC15" s="31" t="n">
        <v>14</v>
      </c>
      <c r="CD15" s="31" t="n">
        <v>15</v>
      </c>
    </row>
    <row r="16" customFormat="false" ht="15" hidden="false" customHeight="false" outlineLevel="0" collapsed="false">
      <c r="A16" s="32" t="n">
        <v>1</v>
      </c>
      <c r="B16" s="33" t="s">
        <v>101</v>
      </c>
      <c r="C16" s="34" t="s">
        <v>102</v>
      </c>
      <c r="D16" s="33" t="s">
        <v>103</v>
      </c>
      <c r="E16" s="33" t="s">
        <v>104</v>
      </c>
      <c r="F16" s="35" t="n">
        <v>114</v>
      </c>
      <c r="G16" s="35" t="n">
        <v>120</v>
      </c>
      <c r="H16" s="36" t="n">
        <v>8.3</v>
      </c>
      <c r="I16" s="37" t="n">
        <v>0.132</v>
      </c>
      <c r="J16" s="35" t="n">
        <v>2004</v>
      </c>
      <c r="K16" s="33" t="s">
        <v>105</v>
      </c>
      <c r="L16" s="34"/>
      <c r="M16" s="38"/>
      <c r="N16" s="39" t="n">
        <f aca="false">FC_CALC</f>
        <v>450000</v>
      </c>
      <c r="O16" s="40" t="n">
        <v>0.27</v>
      </c>
      <c r="P16" s="39" t="n">
        <v>720</v>
      </c>
      <c r="Q16" s="41" t="n">
        <v>0.1</v>
      </c>
      <c r="R16" s="34" t="s">
        <v>106</v>
      </c>
      <c r="S16" s="35" t="n">
        <v>1</v>
      </c>
      <c r="T16" s="34" t="s">
        <v>107</v>
      </c>
      <c r="U16" s="34" t="s">
        <v>108</v>
      </c>
      <c r="V16" s="39"/>
      <c r="W16" s="35" t="n">
        <v>9</v>
      </c>
      <c r="X16" s="35" t="n">
        <v>17</v>
      </c>
      <c r="Y16" s="39" t="n">
        <v>10000</v>
      </c>
      <c r="Z16" s="35" t="n">
        <v>4</v>
      </c>
      <c r="AA16" s="34" t="s">
        <v>109</v>
      </c>
      <c r="AB16" s="35" t="n">
        <v>1</v>
      </c>
      <c r="AC16" s="34" t="s">
        <v>109</v>
      </c>
      <c r="AD16" s="42" t="n">
        <f aca="false">IF($C16="","",AnioEval-J16)</f>
        <v>22</v>
      </c>
      <c r="AE16" s="43" t="n">
        <f aca="false">IF($C16="","",IFERROR(I16*AD16/H16,0))</f>
        <v>0.349879518072289</v>
      </c>
      <c r="AF16" s="44" t="n">
        <f aca="false">IF($C16="","",IF(INDEX(MecTipo,MATCH(K16,MecList,0))="F",IFERROR(INDEX(SusDF,MATCH(L16,SusList,0)),1),LOOKUP(AE16,ArtLim,ArtDF)))</f>
        <v>250</v>
      </c>
      <c r="AG16" s="44" t="n">
        <f aca="false">IF($C16="","",IF(ISNUMBER(M16),M16,AF16))</f>
        <v>250</v>
      </c>
      <c r="AH16" s="45" t="n">
        <f aca="false">IF($C16="","",INDEX(GFFval,MATCH(D16,GFFtipo,0)))</f>
        <v>3.06E-005</v>
      </c>
      <c r="AI16" s="45" t="n">
        <f aca="false">IF($C16="","",AH16*AG16*FMS)</f>
        <v>0.00241914241002881</v>
      </c>
      <c r="AJ16" s="46" t="n">
        <f aca="false">IF($C16="","",AI16*N16)</f>
        <v>1088.61408451296</v>
      </c>
      <c r="AK16" s="47" t="str">
        <f aca="false">IF($C16="","",IF(N(S16)=0,"No requerido",IF(AND(T16="Apto",U16="Pasa"),"APTO/PASA",IF(T16="No apto","NO APTO/REPARAR","REVISAR"))))</f>
        <v>APTO/PASA</v>
      </c>
      <c r="AL16" s="44" t="n">
        <f aca="false">IF($C16="","",IF(AK16="NO APTO/REPARAR",1,MAX(1,AG16*INDEX(EffRet,MATCH(R16,EffList,0))*INDEX(FFSfac,MATCH(AK16,FFSlist,0)))))</f>
        <v>1.25</v>
      </c>
      <c r="AM16" s="45" t="n">
        <f aca="false">IF($C16="","",AH16*AL16*FMS)</f>
        <v>1.2095712050144E-005</v>
      </c>
      <c r="AN16" s="46" t="n">
        <f aca="false">IF($C16="","",AM16*N16)</f>
        <v>5.44307042256482</v>
      </c>
      <c r="AO16" s="46" t="n">
        <f aca="false">IF($C16="","",IFERROR(AH16*FMS*INDEX(DFrep,Z16)*INDEX(FCrep,MATCH(AA16,CatLet,0)),AJ16))</f>
        <v>966.263537983348</v>
      </c>
      <c r="AP16" s="46" t="n">
        <f aca="false">IF($C16="","",IFERROR(AH16*FMS*INDEX(DFrep,AB16)*INDEX(FCrep,MATCH(AC16,CatLet,0)),AN16))</f>
        <v>3.05779600627642</v>
      </c>
      <c r="AQ16" s="48" t="str">
        <f aca="false">IF($C16="","",(1+SUMPRODUCT(--(AG16&gt;PcutDF)))&amp;CHOOSE(1+SUMPRODUCT(--(N16&gt;CcutFC)),"A","B","C","D","E"))</f>
        <v>4C</v>
      </c>
      <c r="AR16" s="48" t="str">
        <f aca="false">IF($C16="","",(1+SUMPRODUCT(--(AL16&gt;PcutDF)))&amp;CHOOSE(1+SUMPRODUCT(--(N16&gt;CcutFC)),"A","B","C","D","E"))</f>
        <v>1C</v>
      </c>
      <c r="AS16" s="48" t="str">
        <f aca="false">IF($C16="","",IF(AND(Z16&amp;AA16=AQ16,AB16&amp;AC16=AR16),"OK","REVISAR"))</f>
        <v>OK</v>
      </c>
      <c r="AT16" s="42" t="n">
        <f aca="false">IF($C16="","",IFERROR(INDEX(RAMlev,Z16,MATCH(AA16,CatLet,0)),""))</f>
        <v>3</v>
      </c>
      <c r="AU16" s="42" t="n">
        <f aca="false">IF($C16="","",IFERROR(INDEX(RAMlev,AB16,MATCH(AC16,CatLet,0)),""))</f>
        <v>1</v>
      </c>
      <c r="AV16" s="48" t="str">
        <f aca="false">IF($C16="","",IF(AU16="","",IF(AU16&lt;=ObjNivel,"Cumple","Excede")))</f>
        <v>Cumple</v>
      </c>
      <c r="AW16" s="46" t="n">
        <f aca="false">IF($C16="","",IF(Base="RAM",AO16,AJ16))</f>
        <v>1088.61408451296</v>
      </c>
      <c r="AX16" s="46" t="n">
        <f aca="false">IF($C16="","",IF(Base="RAM",AP16,AN16))</f>
        <v>5.44307042256482</v>
      </c>
      <c r="AY16" s="46" t="n">
        <f aca="false">IF($C16="","",AW16-AX16)</f>
        <v>1083.1710140904</v>
      </c>
      <c r="AZ16" s="46" t="n">
        <f aca="false">IF($C16="","",AY16*N(O16))</f>
        <v>292.456173804408</v>
      </c>
      <c r="BA16" s="46" t="n">
        <f aca="false">IF($C16="","",AY16-AZ16)</f>
        <v>790.714840285992</v>
      </c>
      <c r="BB16" s="46" t="n">
        <f aca="false">IF($C16="","",IFERROR(P16*(1/W16-1/X16),0))</f>
        <v>37.6470588235294</v>
      </c>
      <c r="BC16" s="46" t="n">
        <f aca="false">IF($C16="","",IFERROR(Y16*(1/W16-1/X16),0))</f>
        <v>522.875816993464</v>
      </c>
      <c r="BD16" s="46" t="n">
        <f aca="false">IF($C16="","",AY16+BB16+BC16)</f>
        <v>1643.69388990739</v>
      </c>
      <c r="BE16" s="46" t="n">
        <f aca="false">IF($C16="","",P16+INDEX(FFScost,N(S16)+1)+IF(AK16="NO APTO/REPARAR",N(V16),0)+RBIimpl)</f>
        <v>3930</v>
      </c>
      <c r="BF16" s="43" t="n">
        <f aca="false">IF($C16="","",IF(Q16=0,Horiz,(1-(1+Q16)^(-Horiz))/Q16))</f>
        <v>6.14456710570469</v>
      </c>
      <c r="BG16" s="46" t="n">
        <f aca="false">IF($C16="","",BD16*BF16)</f>
        <v>10099.7874077727</v>
      </c>
      <c r="BH16" s="49" t="n">
        <f aca="false">IF($C16="","",IFERROR(BG16/BE16,0))</f>
        <v>2.56992045999306</v>
      </c>
      <c r="BI16" s="50" t="n">
        <f aca="false">IF($C16="","",BG16-BE16)</f>
        <v>6169.78740777275</v>
      </c>
      <c r="BJ16" s="51" t="n">
        <f aca="false">IF($C16="","",IFERROR((Horiz*BD16-BE16)/BE16,0))</f>
        <v>3.18242720078217</v>
      </c>
      <c r="BK16" s="52" t="n">
        <f aca="false">IF($C16="","",IF(BD16&gt;0,BE16/BD16,"No recupera"))</f>
        <v>2.39095614100106</v>
      </c>
      <c r="BL16" s="52" t="n">
        <f aca="false">IF($C16="","",IF(BD16&lt;=0,"No recupera",IF(Q16=0,BE16/BD16,IFERROR(-LN(1-BE16*Q16/BD16)/LN(1+Q16),"No recupera"))))</f>
        <v>2.86692955864995</v>
      </c>
      <c r="BM16" s="50" t="n">
        <f aca="false">IF($C16="","",BD16-BE16/BF16)</f>
        <v>1004.10448801912</v>
      </c>
      <c r="BN16" s="47" t="str">
        <f aca="false">IF($C16="","",IF(BH16&gt;1,"ACEPTABLE","NO ACEPTABLE"))</f>
        <v>ACEPTABLE</v>
      </c>
      <c r="BO16" s="50" t="n">
        <f aca="false">IF($C16="","",-$BE16+IF($Q16=0,$BD16*MIN(BO$15,Horiz),$BD16*(1-(1+$Q16)^(-MIN(BO$15,Horiz)))/$Q16))</f>
        <v>-3930</v>
      </c>
      <c r="BP16" s="50" t="n">
        <f aca="false">IF($C16="","",-$BE16+IF($Q16=0,$BD16*MIN(BP$15,Horiz),$BD16*(1-(1+$Q16)^(-MIN(BP$15,Horiz)))/$Q16))</f>
        <v>-2435.73282735692</v>
      </c>
      <c r="BQ16" s="50" t="n">
        <f aca="false">IF($C16="","",-$BE16+IF($Q16=0,$BD16*MIN(BQ$15,Horiz),$BD16*(1-(1+$Q16)^(-MIN(BQ$15,Horiz)))/$Q16))</f>
        <v>-1077.30812495411</v>
      </c>
      <c r="BR16" s="50" t="n">
        <f aca="false">IF($C16="","",-$BE16+IF($Q16=0,$BD16*MIN(BR$15,Horiz),$BD16*(1-(1+$Q16)^(-MIN(BR$15,Horiz)))/$Q16))</f>
        <v>157.623422684805</v>
      </c>
      <c r="BS16" s="50" t="n">
        <f aca="false">IF($C16="","",-$BE16+IF($Q16=0,$BD16*MIN(BS$15,Horiz),$BD16*(1-(1+$Q16)^(-MIN(BS$15,Horiz)))/$Q16))</f>
        <v>1280.28846599291</v>
      </c>
      <c r="BT16" s="50" t="n">
        <f aca="false">IF($C16="","",-$BE16+IF($Q16=0,$BD16*MIN(BT$15,Horiz),$BD16*(1-(1+$Q16)^(-MIN(BT$15,Horiz)))/$Q16))</f>
        <v>2300.89305081846</v>
      </c>
      <c r="BU16" s="50" t="n">
        <f aca="false">IF($C16="","",-$BE16+IF($Q16=0,$BD16*MIN(BU$15,Horiz),$BD16*(1-(1+$Q16)^(-MIN(BU$15,Horiz)))/$Q16))</f>
        <v>3228.71540065986</v>
      </c>
      <c r="BV16" s="50" t="n">
        <f aca="false">IF($C16="","",-$BE16+IF($Q16=0,$BD16*MIN(BV$15,Horiz),$BD16*(1-(1+$Q16)^(-MIN(BV$15,Horiz)))/$Q16))</f>
        <v>4072.19026415205</v>
      </c>
      <c r="BW16" s="50" t="n">
        <f aca="false">IF($C16="","",-$BE16+IF($Q16=0,$BD16*MIN(BW$15,Horiz),$BD16*(1-(1+$Q16)^(-MIN(BW$15,Horiz)))/$Q16))</f>
        <v>4838.9855945995</v>
      </c>
      <c r="BX16" s="50" t="n">
        <f aca="false">IF($C16="","",-$BE16+IF($Q16=0,$BD16*MIN(BX$15,Horiz),$BD16*(1-(1+$Q16)^(-MIN(BX$15,Horiz)))/$Q16))</f>
        <v>5536.07225864263</v>
      </c>
      <c r="BY16" s="50" t="n">
        <f aca="false">IF($C16="","",-$BE16+IF($Q16=0,$BD16*MIN(BY$15,Horiz),$BD16*(1-(1+$Q16)^(-MIN(BY$15,Horiz)))/$Q16))</f>
        <v>6169.78740777275</v>
      </c>
      <c r="BZ16" s="50" t="n">
        <f aca="false">IF($C16="","",-$BE16+IF($Q16=0,$BD16*MIN(BZ$15,Horiz),$BD16*(1-(1+$Q16)^(-MIN(BZ$15,Horiz)))/$Q16))</f>
        <v>6169.78740777275</v>
      </c>
      <c r="CA16" s="50" t="n">
        <f aca="false">IF($C16="","",-$BE16+IF($Q16=0,$BD16*MIN(CA$15,Horiz),$BD16*(1-(1+$Q16)^(-MIN(CA$15,Horiz)))/$Q16))</f>
        <v>6169.78740777275</v>
      </c>
      <c r="CB16" s="50" t="n">
        <f aca="false">IF($C16="","",-$BE16+IF($Q16=0,$BD16*MIN(CB$15,Horiz),$BD16*(1-(1+$Q16)^(-MIN(CB$15,Horiz)))/$Q16))</f>
        <v>6169.78740777275</v>
      </c>
      <c r="CC16" s="50" t="n">
        <f aca="false">IF($C16="","",-$BE16+IF($Q16=0,$BD16*MIN(CC$15,Horiz),$BD16*(1-(1+$Q16)^(-MIN(CC$15,Horiz)))/$Q16))</f>
        <v>6169.78740777275</v>
      </c>
      <c r="CD16" s="50" t="n">
        <f aca="false">IF($C16="","",-$BE16+IF($Q16=0,$BD16*MIN(CD$15,Horiz),$BD16*(1-(1+$Q16)^(-MIN(CD$15,Horiz)))/$Q16))</f>
        <v>6169.78740777275</v>
      </c>
    </row>
    <row r="17" customFormat="false" ht="15" hidden="false" customHeight="false" outlineLevel="0" collapsed="false">
      <c r="A17" s="32" t="n">
        <v>2</v>
      </c>
      <c r="B17" s="33" t="s">
        <v>110</v>
      </c>
      <c r="C17" s="34" t="s">
        <v>111</v>
      </c>
      <c r="D17" s="33" t="s">
        <v>112</v>
      </c>
      <c r="E17" s="33" t="s">
        <v>113</v>
      </c>
      <c r="F17" s="35" t="n">
        <v>65</v>
      </c>
      <c r="G17" s="35" t="n">
        <v>380</v>
      </c>
      <c r="H17" s="36" t="n">
        <v>62</v>
      </c>
      <c r="I17" s="37" t="n">
        <v>0.08</v>
      </c>
      <c r="J17" s="35" t="n">
        <v>2019</v>
      </c>
      <c r="K17" s="33" t="s">
        <v>114</v>
      </c>
      <c r="L17" s="34" t="s">
        <v>115</v>
      </c>
      <c r="M17" s="38"/>
      <c r="N17" s="39" t="n">
        <v>12000000</v>
      </c>
      <c r="O17" s="40" t="n">
        <v>0.6</v>
      </c>
      <c r="P17" s="39" t="n">
        <v>45000</v>
      </c>
      <c r="Q17" s="41" t="n">
        <v>0.1</v>
      </c>
      <c r="R17" s="34" t="s">
        <v>116</v>
      </c>
      <c r="S17" s="35" t="n">
        <v>2</v>
      </c>
      <c r="T17" s="34" t="s">
        <v>107</v>
      </c>
      <c r="U17" s="34" t="s">
        <v>108</v>
      </c>
      <c r="V17" s="39"/>
      <c r="W17" s="35" t="n">
        <v>6</v>
      </c>
      <c r="X17" s="35" t="n">
        <v>12</v>
      </c>
      <c r="Y17" s="39" t="n">
        <v>800000</v>
      </c>
      <c r="Z17" s="35" t="n">
        <v>3</v>
      </c>
      <c r="AA17" s="34" t="s">
        <v>117</v>
      </c>
      <c r="AB17" s="35" t="n">
        <v>1</v>
      </c>
      <c r="AC17" s="34" t="s">
        <v>117</v>
      </c>
      <c r="AD17" s="42" t="n">
        <f aca="false">IF($C17="","",AnioEval-J17)</f>
        <v>7</v>
      </c>
      <c r="AE17" s="43" t="n">
        <f aca="false">IF($C17="","",IFERROR(I17*AD17/H17,0))</f>
        <v>0.00903225806451613</v>
      </c>
      <c r="AF17" s="44" t="n">
        <f aca="false">IF($C17="","",IF(INDEX(MecTipo,MATCH(K17,MecList,0))="F",IFERROR(INDEX(SusDF,MATCH(L17,SusList,0)),1),LOOKUP(AE17,ArtLim,ArtDF)))</f>
        <v>100</v>
      </c>
      <c r="AG17" s="44" t="n">
        <f aca="false">IF($C17="","",IF(ISNUMBER(M17),M17,AF17))</f>
        <v>100</v>
      </c>
      <c r="AH17" s="45" t="n">
        <f aca="false">IF($C17="","",INDEX(GFFval,MATCH(D17,GFFtipo,0)))</f>
        <v>3.06E-005</v>
      </c>
      <c r="AI17" s="45" t="n">
        <f aca="false">IF($C17="","",AH17*AG17*FMS)</f>
        <v>0.000967656964011524</v>
      </c>
      <c r="AJ17" s="46" t="n">
        <f aca="false">IF($C17="","",AI17*N17)</f>
        <v>11611.8835681383</v>
      </c>
      <c r="AK17" s="47" t="str">
        <f aca="false">IF($C17="","",IF(N(S17)=0,"No requerido",IF(AND(T17="Apto",U17="Pasa"),"APTO/PASA",IF(T17="No apto","NO APTO/REPARAR","REVISAR"))))</f>
        <v>APTO/PASA</v>
      </c>
      <c r="AL17" s="44" t="n">
        <f aca="false">IF($C17="","",IF(AK17="NO APTO/REPARAR",1,MAX(1,AG17*INDEX(EffRet,MATCH(R17,EffList,0))*INDEX(FFSfac,MATCH(AK17,FFSlist,0)))))</f>
        <v>1.5</v>
      </c>
      <c r="AM17" s="45" t="n">
        <f aca="false">IF($C17="","",AH17*AL17*FMS)</f>
        <v>1.45148544601729E-005</v>
      </c>
      <c r="AN17" s="46" t="n">
        <f aca="false">IF($C17="","",AM17*N17)</f>
        <v>174.178253522074</v>
      </c>
      <c r="AO17" s="46" t="n">
        <f aca="false">IF($C17="","",IFERROR(AH17*FMS*INDEX(DFrep,Z17)*INDEX(FCrep,MATCH(AA17,CatLet,0)),AJ17))</f>
        <v>13760.0820282439</v>
      </c>
      <c r="AP17" s="46" t="n">
        <f aca="false">IF($C17="","",IFERROR(AH17*FMS*INDEX(DFrep,AB17)*INDEX(FCrep,MATCH(AC17,CatLet,0)),AN17))</f>
        <v>305.779600627642</v>
      </c>
      <c r="AQ17" s="48" t="str">
        <f aca="false">IF($C17="","",(1+SUMPRODUCT(--(AG17&gt;PcutDF)))&amp;CHOOSE(1+SUMPRODUCT(--(N17&gt;CcutFC)),"A","B","C","D","E"))</f>
        <v>3E</v>
      </c>
      <c r="AR17" s="48" t="str">
        <f aca="false">IF($C17="","",(1+SUMPRODUCT(--(AL17&gt;PcutDF)))&amp;CHOOSE(1+SUMPRODUCT(--(N17&gt;CcutFC)),"A","B","C","D","E"))</f>
        <v>1E</v>
      </c>
      <c r="AS17" s="48" t="str">
        <f aca="false">IF($C17="","",IF(AND(Z17&amp;AA17=AQ17,AB17&amp;AC17=AR17),"OK","REVISAR"))</f>
        <v>OK</v>
      </c>
      <c r="AT17" s="42" t="n">
        <f aca="false">IF($C17="","",IFERROR(INDEX(RAMlev,Z17,MATCH(AA17,CatLet,0)),""))</f>
        <v>3</v>
      </c>
      <c r="AU17" s="42" t="n">
        <f aca="false">IF($C17="","",IFERROR(INDEX(RAMlev,AB17,MATCH(AC17,CatLet,0)),""))</f>
        <v>2</v>
      </c>
      <c r="AV17" s="48" t="str">
        <f aca="false">IF($C17="","",IF(AU17="","",IF(AU17&lt;=ObjNivel,"Cumple","Excede")))</f>
        <v>Cumple</v>
      </c>
      <c r="AW17" s="46" t="n">
        <f aca="false">IF($C17="","",IF(Base="RAM",AO17,AJ17))</f>
        <v>11611.8835681383</v>
      </c>
      <c r="AX17" s="46" t="n">
        <f aca="false">IF($C17="","",IF(Base="RAM",AP17,AN17))</f>
        <v>174.178253522074</v>
      </c>
      <c r="AY17" s="46" t="n">
        <f aca="false">IF($C17="","",AW17-AX17)</f>
        <v>11437.7053146162</v>
      </c>
      <c r="AZ17" s="46" t="n">
        <f aca="false">IF($C17="","",AY17*N(O17))</f>
        <v>6862.62318876973</v>
      </c>
      <c r="BA17" s="46" t="n">
        <f aca="false">IF($C17="","",AY17-AZ17)</f>
        <v>4575.08212584649</v>
      </c>
      <c r="BB17" s="46" t="n">
        <f aca="false">IF($C17="","",IFERROR(P17*(1/W17-1/X17),0))</f>
        <v>3750</v>
      </c>
      <c r="BC17" s="46" t="n">
        <f aca="false">IF($C17="","",IFERROR(Y17*(1/W17-1/X17),0))</f>
        <v>66666.6666666667</v>
      </c>
      <c r="BD17" s="46" t="n">
        <f aca="false">IF($C17="","",AY17+BB17+BC17)</f>
        <v>81854.3719812829</v>
      </c>
      <c r="BE17" s="46" t="n">
        <f aca="false">IF($C17="","",P17+INDEX(FFScost,N(S17)+1)+IF(AK17="NO APTO/REPARAR",N(V17),0)+RBIimpl)</f>
        <v>60210</v>
      </c>
      <c r="BF17" s="43" t="n">
        <f aca="false">IF($C17="","",IF(Q17=0,Horiz,(1-(1+Q17)^(-Horiz))/Q17))</f>
        <v>6.14456710570469</v>
      </c>
      <c r="BG17" s="46" t="n">
        <f aca="false">IF($C17="","",BD17*BF17)</f>
        <v>502959.681534306</v>
      </c>
      <c r="BH17" s="49" t="n">
        <f aca="false">IF($C17="","",IFERROR(BG17/BE17,0))</f>
        <v>8.35342437359751</v>
      </c>
      <c r="BI17" s="50" t="n">
        <f aca="false">IF($C17="","",BG17-BE17)</f>
        <v>442749.681534306</v>
      </c>
      <c r="BJ17" s="51" t="n">
        <f aca="false">IF($C17="","",IFERROR((Horiz*BD17-BE17)/BE17,0))</f>
        <v>12.5948134830232</v>
      </c>
      <c r="BK17" s="52" t="n">
        <f aca="false">IF($C17="","",IF(BD17&gt;0,BE17/BD17,"No recupera"))</f>
        <v>0.735574637525383</v>
      </c>
      <c r="BL17" s="52" t="n">
        <f aca="false">IF($C17="","",IF(BD17&lt;=0,"No recupera",IF(Q17=0,BE17/BD17,IFERROR(-LN(1-BE17*Q17/BD17)/LN(1+Q17),"No recupera"))))</f>
        <v>0.801627462416959</v>
      </c>
      <c r="BM17" s="50" t="n">
        <f aca="false">IF($C17="","",BD17-BE17/BF17)</f>
        <v>72055.4717554069</v>
      </c>
      <c r="BN17" s="47" t="str">
        <f aca="false">IF($C17="","",IF(BH17&gt;1,"ACEPTABLE","NO ACEPTABLE"))</f>
        <v>ACEPTABLE</v>
      </c>
      <c r="BO17" s="50" t="n">
        <f aca="false">IF($C17="","",-$BE17+IF($Q17=0,$BD17*MIN(BO$15,Horiz),$BD17*(1-(1+$Q17)^(-MIN(BO$15,Horiz)))/$Q17))</f>
        <v>-60210</v>
      </c>
      <c r="BP17" s="50" t="n">
        <f aca="false">IF($C17="","",-$BE17+IF($Q17=0,$BD17*MIN(BP$15,Horiz),$BD17*(1-(1+$Q17)^(-MIN(BP$15,Horiz)))/$Q17))</f>
        <v>14203.0654375299</v>
      </c>
      <c r="BQ17" s="50" t="n">
        <f aca="false">IF($C17="","",-$BE17+IF($Q17=0,$BD17*MIN(BQ$15,Horiz),$BD17*(1-(1+$Q17)^(-MIN(BQ$15,Horiz)))/$Q17))</f>
        <v>81851.3067443753</v>
      </c>
      <c r="BR17" s="50" t="n">
        <f aca="false">IF($C17="","",-$BE17+IF($Q17=0,$BD17*MIN(BR$15,Horiz),$BD17*(1-(1+$Q17)^(-MIN(BR$15,Horiz)))/$Q17))</f>
        <v>143349.707932417</v>
      </c>
      <c r="BS17" s="50" t="n">
        <f aca="false">IF($C17="","",-$BE17+IF($Q17=0,$BD17*MIN(BS$15,Horiz),$BD17*(1-(1+$Q17)^(-MIN(BS$15,Horiz)))/$Q17))</f>
        <v>199257.34537609</v>
      </c>
      <c r="BT17" s="50" t="n">
        <f aca="false">IF($C17="","",-$BE17+IF($Q17=0,$BD17*MIN(BT$15,Horiz),$BD17*(1-(1+$Q17)^(-MIN(BT$15,Horiz)))/$Q17))</f>
        <v>250082.470324885</v>
      </c>
      <c r="BU17" s="50" t="n">
        <f aca="false">IF($C17="","",-$BE17+IF($Q17=0,$BD17*MIN(BU$15,Horiz),$BD17*(1-(1+$Q17)^(-MIN(BU$15,Horiz)))/$Q17))</f>
        <v>296287.129369243</v>
      </c>
      <c r="BV17" s="50" t="n">
        <f aca="false">IF($C17="","",-$BE17+IF($Q17=0,$BD17*MIN(BV$15,Horiz),$BD17*(1-(1+$Q17)^(-MIN(BV$15,Horiz)))/$Q17))</f>
        <v>338291.364864115</v>
      </c>
      <c r="BW17" s="50" t="n">
        <f aca="false">IF($C17="","",-$BE17+IF($Q17=0,$BD17*MIN(BW$15,Horiz),$BD17*(1-(1+$Q17)^(-MIN(BW$15,Horiz)))/$Q17))</f>
        <v>376477.033495816</v>
      </c>
      <c r="BX17" s="50" t="n">
        <f aca="false">IF($C17="","",-$BE17+IF($Q17=0,$BD17*MIN(BX$15,Horiz),$BD17*(1-(1+$Q17)^(-MIN(BX$15,Horiz)))/$Q17))</f>
        <v>411191.277706454</v>
      </c>
      <c r="BY17" s="50" t="n">
        <f aca="false">IF($C17="","",-$BE17+IF($Q17=0,$BD17*MIN(BY$15,Horiz),$BD17*(1-(1+$Q17)^(-MIN(BY$15,Horiz)))/$Q17))</f>
        <v>442749.681534306</v>
      </c>
      <c r="BZ17" s="50" t="n">
        <f aca="false">IF($C17="","",-$BE17+IF($Q17=0,$BD17*MIN(BZ$15,Horiz),$BD17*(1-(1+$Q17)^(-MIN(BZ$15,Horiz)))/$Q17))</f>
        <v>442749.681534306</v>
      </c>
      <c r="CA17" s="50" t="n">
        <f aca="false">IF($C17="","",-$BE17+IF($Q17=0,$BD17*MIN(CA$15,Horiz),$BD17*(1-(1+$Q17)^(-MIN(CA$15,Horiz)))/$Q17))</f>
        <v>442749.681534306</v>
      </c>
      <c r="CB17" s="50" t="n">
        <f aca="false">IF($C17="","",-$BE17+IF($Q17=0,$BD17*MIN(CB$15,Horiz),$BD17*(1-(1+$Q17)^(-MIN(CB$15,Horiz)))/$Q17))</f>
        <v>442749.681534306</v>
      </c>
      <c r="CC17" s="50" t="n">
        <f aca="false">IF($C17="","",-$BE17+IF($Q17=0,$BD17*MIN(CC$15,Horiz),$BD17*(1-(1+$Q17)^(-MIN(CC$15,Horiz)))/$Q17))</f>
        <v>442749.681534306</v>
      </c>
      <c r="CD17" s="50" t="n">
        <f aca="false">IF($C17="","",-$BE17+IF($Q17=0,$BD17*MIN(CD$15,Horiz),$BD17*(1-(1+$Q17)^(-MIN(CD$15,Horiz)))/$Q17))</f>
        <v>442749.681534306</v>
      </c>
    </row>
    <row r="18" customFormat="false" ht="15" hidden="false" customHeight="false" outlineLevel="0" collapsed="false">
      <c r="A18" s="32" t="n">
        <v>3</v>
      </c>
      <c r="B18" s="33" t="s">
        <v>101</v>
      </c>
      <c r="C18" s="34" t="s">
        <v>118</v>
      </c>
      <c r="D18" s="33" t="s">
        <v>119</v>
      </c>
      <c r="E18" s="33" t="s">
        <v>120</v>
      </c>
      <c r="F18" s="35" t="n">
        <v>2.5</v>
      </c>
      <c r="G18" s="35" t="n">
        <v>340</v>
      </c>
      <c r="H18" s="36" t="n">
        <v>18</v>
      </c>
      <c r="I18" s="37" t="n">
        <v>0.5</v>
      </c>
      <c r="J18" s="35" t="n">
        <v>2017</v>
      </c>
      <c r="K18" s="33" t="s">
        <v>121</v>
      </c>
      <c r="L18" s="34"/>
      <c r="M18" s="38"/>
      <c r="N18" s="39" t="n">
        <v>6000000</v>
      </c>
      <c r="O18" s="40" t="n">
        <v>0.5</v>
      </c>
      <c r="P18" s="39" t="n">
        <v>30000</v>
      </c>
      <c r="Q18" s="41" t="n">
        <v>0.1</v>
      </c>
      <c r="R18" s="34" t="s">
        <v>116</v>
      </c>
      <c r="S18" s="35" t="n">
        <v>1</v>
      </c>
      <c r="T18" s="34" t="s">
        <v>122</v>
      </c>
      <c r="U18" s="34" t="s">
        <v>123</v>
      </c>
      <c r="V18" s="39" t="n">
        <v>250000</v>
      </c>
      <c r="W18" s="35" t="n">
        <v>6</v>
      </c>
      <c r="X18" s="35" t="n">
        <v>8</v>
      </c>
      <c r="Y18" s="39" t="n">
        <v>400000</v>
      </c>
      <c r="Z18" s="35" t="n">
        <v>3</v>
      </c>
      <c r="AA18" s="34" t="s">
        <v>124</v>
      </c>
      <c r="AB18" s="35" t="n">
        <v>1</v>
      </c>
      <c r="AC18" s="34" t="s">
        <v>124</v>
      </c>
      <c r="AD18" s="42" t="n">
        <f aca="false">IF($C18="","",AnioEval-J18)</f>
        <v>9</v>
      </c>
      <c r="AE18" s="43" t="n">
        <f aca="false">IF($C18="","",IFERROR(I18*AD18/H18,0))</f>
        <v>0.25</v>
      </c>
      <c r="AF18" s="44" t="n">
        <f aca="false">IF($C18="","",IF(INDEX(MecTipo,MATCH(K18,MecList,0))="F",IFERROR(INDEX(SusDF,MATCH(L18,SusList,0)),1),LOOKUP(AE18,ArtLim,ArtDF)))</f>
        <v>60</v>
      </c>
      <c r="AG18" s="44" t="n">
        <f aca="false">IF($C18="","",IF(ISNUMBER(M18),M18,AF18))</f>
        <v>60</v>
      </c>
      <c r="AH18" s="45" t="n">
        <f aca="false">IF($C18="","",INDEX(GFFval,MATCH(D18,GFFtipo,0)))</f>
        <v>3.06E-005</v>
      </c>
      <c r="AI18" s="45" t="n">
        <f aca="false">IF($C18="","",AH18*AG18*FMS)</f>
        <v>0.000580594178406915</v>
      </c>
      <c r="AJ18" s="46" t="n">
        <f aca="false">IF($C18="","",AI18*N18)</f>
        <v>3483.56507044149</v>
      </c>
      <c r="AK18" s="47" t="str">
        <f aca="false">IF($C18="","",IF(N(S18)=0,"No requerido",IF(AND(T18="Apto",U18="Pasa"),"APTO/PASA",IF(T18="No apto","NO APTO/REPARAR","REVISAR"))))</f>
        <v>NO APTO/REPARAR</v>
      </c>
      <c r="AL18" s="44" t="n">
        <f aca="false">IF($C18="","",IF(AK18="NO APTO/REPARAR",1,MAX(1,AG18*INDEX(EffRet,MATCH(R18,EffList,0))*INDEX(FFSfac,MATCH(AK18,FFSlist,0)))))</f>
        <v>1</v>
      </c>
      <c r="AM18" s="45" t="n">
        <f aca="false">IF($C18="","",AH18*AL18*FMS)</f>
        <v>9.67656964011524E-006</v>
      </c>
      <c r="AN18" s="46" t="n">
        <f aca="false">IF($C18="","",AM18*N18)</f>
        <v>58.0594178406914</v>
      </c>
      <c r="AO18" s="46" t="n">
        <f aca="false">IF($C18="","",IFERROR(AH18*FMS*INDEX(DFrep,Z18)*INDEX(FCrep,MATCH(AA18,CatLet,0)),AJ18))</f>
        <v>1376.00820282439</v>
      </c>
      <c r="AP18" s="46" t="n">
        <f aca="false">IF($C18="","",IFERROR(AH18*FMS*INDEX(DFrep,AB18)*INDEX(FCrep,MATCH(AC18,CatLet,0)),AN18))</f>
        <v>30.5779600627642</v>
      </c>
      <c r="AQ18" s="48" t="str">
        <f aca="false">IF($C18="","",(1+SUMPRODUCT(--(AG18&gt;PcutDF)))&amp;CHOOSE(1+SUMPRODUCT(--(N18&gt;CcutFC)),"A","B","C","D","E"))</f>
        <v>3D</v>
      </c>
      <c r="AR18" s="48" t="str">
        <f aca="false">IF($C18="","",(1+SUMPRODUCT(--(AL18&gt;PcutDF)))&amp;CHOOSE(1+SUMPRODUCT(--(N18&gt;CcutFC)),"A","B","C","D","E"))</f>
        <v>1D</v>
      </c>
      <c r="AS18" s="48" t="str">
        <f aca="false">IF($C18="","",IF(AND(Z18&amp;AA18=AQ18,AB18&amp;AC18=AR18),"OK","REVISAR"))</f>
        <v>OK</v>
      </c>
      <c r="AT18" s="42" t="n">
        <f aca="false">IF($C18="","",IFERROR(INDEX(RAMlev,Z18,MATCH(AA18,CatLet,0)),""))</f>
        <v>3</v>
      </c>
      <c r="AU18" s="42" t="n">
        <f aca="false">IF($C18="","",IFERROR(INDEX(RAMlev,AB18,MATCH(AC18,CatLet,0)),""))</f>
        <v>2</v>
      </c>
      <c r="AV18" s="48" t="str">
        <f aca="false">IF($C18="","",IF(AU18="","",IF(AU18&lt;=ObjNivel,"Cumple","Excede")))</f>
        <v>Cumple</v>
      </c>
      <c r="AW18" s="46" t="n">
        <f aca="false">IF($C18="","",IF(Base="RAM",AO18,AJ18))</f>
        <v>3483.56507044149</v>
      </c>
      <c r="AX18" s="46" t="n">
        <f aca="false">IF($C18="","",IF(Base="RAM",AP18,AN18))</f>
        <v>58.0594178406914</v>
      </c>
      <c r="AY18" s="46" t="n">
        <f aca="false">IF($C18="","",AW18-AX18)</f>
        <v>3425.5056526008</v>
      </c>
      <c r="AZ18" s="46" t="n">
        <f aca="false">IF($C18="","",AY18*N(O18))</f>
        <v>1712.7528263004</v>
      </c>
      <c r="BA18" s="46" t="n">
        <f aca="false">IF($C18="","",AY18-AZ18)</f>
        <v>1712.7528263004</v>
      </c>
      <c r="BB18" s="46" t="n">
        <f aca="false">IF($C18="","",IFERROR(P18*(1/W18-1/X18),0))</f>
        <v>1250</v>
      </c>
      <c r="BC18" s="46" t="n">
        <f aca="false">IF($C18="","",IFERROR(Y18*(1/W18-1/X18),0))</f>
        <v>16666.6666666667</v>
      </c>
      <c r="BD18" s="46" t="n">
        <f aca="false">IF($C18="","",AY18+BB18+BC18)</f>
        <v>21342.1723192675</v>
      </c>
      <c r="BE18" s="46" t="n">
        <f aca="false">IF($C18="","",P18+INDEX(FFScost,N(S18)+1)+IF(AK18="NO APTO/REPARAR",N(V18),0)+RBIimpl)</f>
        <v>283210</v>
      </c>
      <c r="BF18" s="43" t="n">
        <f aca="false">IF($C18="","",IF(Q18=0,Horiz,(1-(1+Q18)^(-Horiz))/Q18))</f>
        <v>6.14456710570469</v>
      </c>
      <c r="BG18" s="46" t="n">
        <f aca="false">IF($C18="","",BD18*BF18)</f>
        <v>131138.409997252</v>
      </c>
      <c r="BH18" s="49" t="n">
        <f aca="false">IF($C18="","",IFERROR(BG18/BE18,0))</f>
        <v>0.463043006946266</v>
      </c>
      <c r="BI18" s="50" t="n">
        <f aca="false">IF($C18="","",BG18-BE18)</f>
        <v>-152071.590002748</v>
      </c>
      <c r="BJ18" s="51" t="n">
        <f aca="false">IF($C18="","",IFERROR((Horiz*BD18-BE18)/BE18,0))</f>
        <v>-0.246418829869444</v>
      </c>
      <c r="BK18" s="52" t="n">
        <f aca="false">IF($C18="","",IF(BD18&gt;0,BE18/BD18,"No recupera"))</f>
        <v>13.2699706366967</v>
      </c>
      <c r="BL18" s="52" t="str">
        <f aca="false">IF($C18="","",IF(BD18&lt;=0,"No recupera",IF(Q18=0,BE18/BD18,IFERROR(-LN(1-BE18*Q18/BD18)/LN(1+Q18),"No recupera"))))</f>
        <v>No recupera</v>
      </c>
      <c r="BM18" s="50" t="n">
        <f aca="false">IF($C18="","",BD18-BE18/BF18)</f>
        <v>-24748.9509654086</v>
      </c>
      <c r="BN18" s="47" t="str">
        <f aca="false">IF($C18="","",IF(BH18&gt;1,"ACEPTABLE","NO ACEPTABLE"))</f>
        <v>NO ACEPTABLE</v>
      </c>
      <c r="BO18" s="50" t="n">
        <f aca="false">IF($C18="","",-$BE18+IF($Q18=0,$BD18*MIN(BO$15,Horiz),$BD18*(1-(1+$Q18)^(-MIN(BO$15,Horiz)))/$Q18))</f>
        <v>-283210</v>
      </c>
      <c r="BP18" s="50" t="n">
        <f aca="false">IF($C18="","",-$BE18+IF($Q18=0,$BD18*MIN(BP$15,Horiz),$BD18*(1-(1+$Q18)^(-MIN(BP$15,Horiz)))/$Q18))</f>
        <v>-263808.025164302</v>
      </c>
      <c r="BQ18" s="50" t="n">
        <f aca="false">IF($C18="","",-$BE18+IF($Q18=0,$BD18*MIN(BQ$15,Horiz),$BD18*(1-(1+$Q18)^(-MIN(BQ$15,Horiz)))/$Q18))</f>
        <v>-246169.866222759</v>
      </c>
      <c r="BR18" s="50" t="n">
        <f aca="false">IF($C18="","",-$BE18+IF($Q18=0,$BD18*MIN(BR$15,Horiz),$BD18*(1-(1+$Q18)^(-MIN(BR$15,Horiz)))/$Q18))</f>
        <v>-230135.176275901</v>
      </c>
      <c r="BS18" s="50" t="n">
        <f aca="false">IF($C18="","",-$BE18+IF($Q18=0,$BD18*MIN(BS$15,Horiz),$BD18*(1-(1+$Q18)^(-MIN(BS$15,Horiz)))/$Q18))</f>
        <v>-215558.185415122</v>
      </c>
      <c r="BT18" s="50" t="n">
        <f aca="false">IF($C18="","",-$BE18+IF($Q18=0,$BD18*MIN(BT$15,Horiz),$BD18*(1-(1+$Q18)^(-MIN(BT$15,Horiz)))/$Q18))</f>
        <v>-202306.375541686</v>
      </c>
      <c r="BU18" s="50" t="n">
        <f aca="false">IF($C18="","",-$BE18+IF($Q18=0,$BD18*MIN(BU$15,Horiz),$BD18*(1-(1+$Q18)^(-MIN(BU$15,Horiz)))/$Q18))</f>
        <v>-190259.275656744</v>
      </c>
      <c r="BV18" s="50" t="n">
        <f aca="false">IF($C18="","",-$BE18+IF($Q18=0,$BD18*MIN(BV$15,Horiz),$BD18*(1-(1+$Q18)^(-MIN(BV$15,Horiz)))/$Q18))</f>
        <v>-179307.366670433</v>
      </c>
      <c r="BW18" s="50" t="n">
        <f aca="false">IF($C18="","",-$BE18+IF($Q18=0,$BD18*MIN(BW$15,Horiz),$BD18*(1-(1+$Q18)^(-MIN(BW$15,Horiz)))/$Q18))</f>
        <v>-169351.085773787</v>
      </c>
      <c r="BX18" s="50" t="n">
        <f aca="false">IF($C18="","",-$BE18+IF($Q18=0,$BD18*MIN(BX$15,Horiz),$BD18*(1-(1+$Q18)^(-MIN(BX$15,Horiz)))/$Q18))</f>
        <v>-160299.92132229</v>
      </c>
      <c r="BY18" s="50" t="n">
        <f aca="false">IF($C18="","",-$BE18+IF($Q18=0,$BD18*MIN(BY$15,Horiz),$BD18*(1-(1+$Q18)^(-MIN(BY$15,Horiz)))/$Q18))</f>
        <v>-152071.590002748</v>
      </c>
      <c r="BZ18" s="50" t="n">
        <f aca="false">IF($C18="","",-$BE18+IF($Q18=0,$BD18*MIN(BZ$15,Horiz),$BD18*(1-(1+$Q18)^(-MIN(BZ$15,Horiz)))/$Q18))</f>
        <v>-152071.590002748</v>
      </c>
      <c r="CA18" s="50" t="n">
        <f aca="false">IF($C18="","",-$BE18+IF($Q18=0,$BD18*MIN(CA$15,Horiz),$BD18*(1-(1+$Q18)^(-MIN(CA$15,Horiz)))/$Q18))</f>
        <v>-152071.590002748</v>
      </c>
      <c r="CB18" s="50" t="n">
        <f aca="false">IF($C18="","",-$BE18+IF($Q18=0,$BD18*MIN(CB$15,Horiz),$BD18*(1-(1+$Q18)^(-MIN(CB$15,Horiz)))/$Q18))</f>
        <v>-152071.590002748</v>
      </c>
      <c r="CC18" s="50" t="n">
        <f aca="false">IF($C18="","",-$BE18+IF($Q18=0,$BD18*MIN(CC$15,Horiz),$BD18*(1-(1+$Q18)^(-MIN(CC$15,Horiz)))/$Q18))</f>
        <v>-152071.590002748</v>
      </c>
      <c r="CD18" s="50" t="n">
        <f aca="false">IF($C18="","",-$BE18+IF($Q18=0,$BD18*MIN(CD$15,Horiz),$BD18*(1-(1+$Q18)^(-MIN(CD$15,Horiz)))/$Q18))</f>
        <v>-152071.590002748</v>
      </c>
    </row>
    <row r="19" customFormat="false" ht="15" hidden="false" customHeight="false" outlineLevel="0" collapsed="false">
      <c r="A19" s="32" t="n">
        <v>4</v>
      </c>
      <c r="B19" s="33" t="s">
        <v>125</v>
      </c>
      <c r="C19" s="34" t="s">
        <v>126</v>
      </c>
      <c r="D19" s="33" t="s">
        <v>127</v>
      </c>
      <c r="E19" s="33" t="s">
        <v>128</v>
      </c>
      <c r="F19" s="35" t="n">
        <v>30</v>
      </c>
      <c r="G19" s="35" t="n">
        <v>480</v>
      </c>
      <c r="H19" s="36" t="n">
        <v>7.1</v>
      </c>
      <c r="I19" s="37" t="n">
        <v>0.3</v>
      </c>
      <c r="J19" s="35" t="n">
        <v>2020</v>
      </c>
      <c r="K19" s="33" t="s">
        <v>121</v>
      </c>
      <c r="L19" s="34"/>
      <c r="M19" s="38"/>
      <c r="N19" s="39" t="n">
        <v>4500000</v>
      </c>
      <c r="O19" s="40" t="n">
        <v>0.55</v>
      </c>
      <c r="P19" s="39" t="n">
        <v>18000</v>
      </c>
      <c r="Q19" s="41" t="n">
        <v>0.1</v>
      </c>
      <c r="R19" s="34" t="s">
        <v>109</v>
      </c>
      <c r="S19" s="35" t="n">
        <v>0</v>
      </c>
      <c r="T19" s="34"/>
      <c r="U19" s="34"/>
      <c r="V19" s="39"/>
      <c r="W19" s="35" t="n">
        <v>4</v>
      </c>
      <c r="X19" s="35" t="n">
        <v>6</v>
      </c>
      <c r="Y19" s="39" t="n">
        <v>250000</v>
      </c>
      <c r="Z19" s="35" t="n">
        <v>3</v>
      </c>
      <c r="AA19" s="34" t="s">
        <v>124</v>
      </c>
      <c r="AB19" s="35" t="n">
        <v>3</v>
      </c>
      <c r="AC19" s="34" t="s">
        <v>124</v>
      </c>
      <c r="AD19" s="42" t="n">
        <f aca="false">IF($C19="","",AnioEval-J19)</f>
        <v>6</v>
      </c>
      <c r="AE19" s="43" t="n">
        <f aca="false">IF($C19="","",IFERROR(I19*AD19/H19,0))</f>
        <v>0.253521126760563</v>
      </c>
      <c r="AF19" s="44" t="n">
        <f aca="false">IF($C19="","",IF(INDEX(MecTipo,MATCH(K19,MecList,0))="F",IFERROR(INDEX(SusDF,MATCH(L19,SusList,0)),1),LOOKUP(AE19,ArtLim,ArtDF)))</f>
        <v>60</v>
      </c>
      <c r="AG19" s="44" t="n">
        <f aca="false">IF($C19="","",IF(ISNUMBER(M19),M19,AF19))</f>
        <v>60</v>
      </c>
      <c r="AH19" s="45" t="n">
        <f aca="false">IF($C19="","",INDEX(GFFval,MATCH(D19,GFFtipo,0)))</f>
        <v>3.06E-005</v>
      </c>
      <c r="AI19" s="45" t="n">
        <f aca="false">IF($C19="","",AH19*AG19*FMS)</f>
        <v>0.000580594178406915</v>
      </c>
      <c r="AJ19" s="46" t="n">
        <f aca="false">IF($C19="","",AI19*N19)</f>
        <v>2612.67380283112</v>
      </c>
      <c r="AK19" s="47" t="str">
        <f aca="false">IF($C19="","",IF(N(S19)=0,"No requerido",IF(AND(T19="Apto",U19="Pasa"),"APTO/PASA",IF(T19="No apto","NO APTO/REPARAR","REVISAR"))))</f>
        <v>No requerido</v>
      </c>
      <c r="AL19" s="44" t="n">
        <f aca="false">IF($C19="","",IF(AK19="NO APTO/REPARAR",1,MAX(1,AG19*INDEX(EffRet,MATCH(R19,EffList,0))*INDEX(FFSfac,MATCH(AK19,FFSlist,0)))))</f>
        <v>30</v>
      </c>
      <c r="AM19" s="45" t="n">
        <f aca="false">IF($C19="","",AH19*AL19*FMS)</f>
        <v>0.000290297089203457</v>
      </c>
      <c r="AN19" s="46" t="n">
        <f aca="false">IF($C19="","",AM19*N19)</f>
        <v>1306.33690141556</v>
      </c>
      <c r="AO19" s="46" t="n">
        <f aca="false">IF($C19="","",IFERROR(AH19*FMS*INDEX(DFrep,Z19)*INDEX(FCrep,MATCH(AA19,CatLet,0)),AJ19))</f>
        <v>1376.00820282439</v>
      </c>
      <c r="AP19" s="46" t="n">
        <f aca="false">IF($C19="","",IFERROR(AH19*FMS*INDEX(DFrep,AB19)*INDEX(FCrep,MATCH(AC19,CatLet,0)),AN19))</f>
        <v>1376.00820282439</v>
      </c>
      <c r="AQ19" s="48" t="str">
        <f aca="false">IF($C19="","",(1+SUMPRODUCT(--(AG19&gt;PcutDF)))&amp;CHOOSE(1+SUMPRODUCT(--(N19&gt;CcutFC)),"A","B","C","D","E"))</f>
        <v>3D</v>
      </c>
      <c r="AR19" s="48" t="str">
        <f aca="false">IF($C19="","",(1+SUMPRODUCT(--(AL19&gt;PcutDF)))&amp;CHOOSE(1+SUMPRODUCT(--(N19&gt;CcutFC)),"A","B","C","D","E"))</f>
        <v>3D</v>
      </c>
      <c r="AS19" s="48" t="str">
        <f aca="false">IF($C19="","",IF(AND(Z19&amp;AA19=AQ19,AB19&amp;AC19=AR19),"OK","REVISAR"))</f>
        <v>OK</v>
      </c>
      <c r="AT19" s="42" t="n">
        <f aca="false">IF($C19="","",IFERROR(INDEX(RAMlev,Z19,MATCH(AA19,CatLet,0)),""))</f>
        <v>3</v>
      </c>
      <c r="AU19" s="42" t="n">
        <f aca="false">IF($C19="","",IFERROR(INDEX(RAMlev,AB19,MATCH(AC19,CatLet,0)),""))</f>
        <v>3</v>
      </c>
      <c r="AV19" s="48" t="str">
        <f aca="false">IF($C19="","",IF(AU19="","",IF(AU19&lt;=ObjNivel,"Cumple","Excede")))</f>
        <v>Excede</v>
      </c>
      <c r="AW19" s="46" t="n">
        <f aca="false">IF($C19="","",IF(Base="RAM",AO19,AJ19))</f>
        <v>2612.67380283112</v>
      </c>
      <c r="AX19" s="46" t="n">
        <f aca="false">IF($C19="","",IF(Base="RAM",AP19,AN19))</f>
        <v>1306.33690141556</v>
      </c>
      <c r="AY19" s="46" t="n">
        <f aca="false">IF($C19="","",AW19-AX19)</f>
        <v>1306.33690141556</v>
      </c>
      <c r="AZ19" s="46" t="n">
        <f aca="false">IF($C19="","",AY19*N(O19))</f>
        <v>718.485295778557</v>
      </c>
      <c r="BA19" s="46" t="n">
        <f aca="false">IF($C19="","",AY19-AZ19)</f>
        <v>587.851605637001</v>
      </c>
      <c r="BB19" s="46" t="n">
        <f aca="false">IF($C19="","",IFERROR(P19*(1/W19-1/X19),0))</f>
        <v>1500</v>
      </c>
      <c r="BC19" s="46" t="n">
        <f aca="false">IF($C19="","",IFERROR(Y19*(1/W19-1/X19),0))</f>
        <v>20833.3333333333</v>
      </c>
      <c r="BD19" s="46" t="n">
        <f aca="false">IF($C19="","",AY19+BB19+BC19)</f>
        <v>23639.6702347489</v>
      </c>
      <c r="BE19" s="46" t="n">
        <f aca="false">IF($C19="","",P19+INDEX(FFScost,N(S19)+1)+IF(AK19="NO APTO/REPARAR",N(V19),0)+RBIimpl)</f>
        <v>18210</v>
      </c>
      <c r="BF19" s="43" t="n">
        <f aca="false">IF($C19="","",IF(Q19=0,Horiz,(1-(1+Q19)^(-Horiz))/Q19))</f>
        <v>6.14456710570469</v>
      </c>
      <c r="BG19" s="46" t="n">
        <f aca="false">IF($C19="","",BD19*BF19)</f>
        <v>145255.540114144</v>
      </c>
      <c r="BH19" s="49" t="n">
        <f aca="false">IF($C19="","",IFERROR(BG19/BE19,0))</f>
        <v>7.97669083548293</v>
      </c>
      <c r="BI19" s="50" t="n">
        <f aca="false">IF($C19="","",BG19-BE19)</f>
        <v>127045.540114144</v>
      </c>
      <c r="BJ19" s="51" t="n">
        <f aca="false">IF($C19="","",IFERROR((Horiz*BD19-BE19)/BE19,0))</f>
        <v>11.9816969987638</v>
      </c>
      <c r="BK19" s="52" t="n">
        <f aca="false">IF($C19="","",IF(BD19&gt;0,BE19/BD19,"No recupera"))</f>
        <v>0.770315314011123</v>
      </c>
      <c r="BL19" s="52" t="n">
        <f aca="false">IF($C19="","",IF(BD19&lt;=0,"No recupera",IF(Q19=0,BE19/BD19,IFERROR(-LN(1-BE19*Q19/BD19)/LN(1+Q19),"No recupera"))))</f>
        <v>0.841045595466088</v>
      </c>
      <c r="BM19" s="50" t="n">
        <f aca="false">IF($C19="","",BD19-BE19/BF19)</f>
        <v>20676.0765939384</v>
      </c>
      <c r="BN19" s="47" t="str">
        <f aca="false">IF($C19="","",IF(BH19&gt;1,"ACEPTABLE","NO ACEPTABLE"))</f>
        <v>ACEPTABLE</v>
      </c>
      <c r="BO19" s="50" t="n">
        <f aca="false">IF($C19="","",-$BE19+IF($Q19=0,$BD19*MIN(BO$15,Horiz),$BD19*(1-(1+$Q19)^(-MIN(BO$15,Horiz)))/$Q19))</f>
        <v>-18210</v>
      </c>
      <c r="BP19" s="50" t="n">
        <f aca="false">IF($C19="","",-$BE19+IF($Q19=0,$BD19*MIN(BP$15,Horiz),$BD19*(1-(1+$Q19)^(-MIN(BP$15,Horiz)))/$Q19))</f>
        <v>3280.60930431718</v>
      </c>
      <c r="BQ19" s="50" t="n">
        <f aca="false">IF($C19="","",-$BE19+IF($Q19=0,$BD19*MIN(BQ$15,Horiz),$BD19*(1-(1+$Q19)^(-MIN(BQ$15,Horiz)))/$Q19))</f>
        <v>22817.5268536964</v>
      </c>
      <c r="BR19" s="50" t="n">
        <f aca="false">IF($C19="","",-$BE19+IF($Q19=0,$BD19*MIN(BR$15,Horiz),$BD19*(1-(1+$Q19)^(-MIN(BR$15,Horiz)))/$Q19))</f>
        <v>40578.3609894958</v>
      </c>
      <c r="BS19" s="50" t="n">
        <f aca="false">IF($C19="","",-$BE19+IF($Q19=0,$BD19*MIN(BS$15,Horiz),$BD19*(1-(1+$Q19)^(-MIN(BS$15,Horiz)))/$Q19))</f>
        <v>56724.5738402224</v>
      </c>
      <c r="BT19" s="50" t="n">
        <f aca="false">IF($C19="","",-$BE19+IF($Q19=0,$BD19*MIN(BT$15,Horiz),$BD19*(1-(1+$Q19)^(-MIN(BT$15,Horiz)))/$Q19))</f>
        <v>71402.9491590649</v>
      </c>
      <c r="BU19" s="50" t="n">
        <f aca="false">IF($C19="","",-$BE19+IF($Q19=0,$BD19*MIN(BU$15,Horiz),$BD19*(1-(1+$Q19)^(-MIN(BU$15,Horiz)))/$Q19))</f>
        <v>84746.9267216489</v>
      </c>
      <c r="BV19" s="50" t="n">
        <f aca="false">IF($C19="","",-$BE19+IF($Q19=0,$BD19*MIN(BV$15,Horiz),$BD19*(1-(1+$Q19)^(-MIN(BV$15,Horiz)))/$Q19))</f>
        <v>96877.8154149071</v>
      </c>
      <c r="BW19" s="50" t="n">
        <f aca="false">IF($C19="","",-$BE19+IF($Q19=0,$BD19*MIN(BW$15,Horiz),$BD19*(1-(1+$Q19)^(-MIN(BW$15,Horiz)))/$Q19))</f>
        <v>107905.896045142</v>
      </c>
      <c r="BX19" s="50" t="n">
        <f aca="false">IF($C19="","",-$BE19+IF($Q19=0,$BD19*MIN(BX$15,Horiz),$BD19*(1-(1+$Q19)^(-MIN(BX$15,Horiz)))/$Q19))</f>
        <v>117931.42389081</v>
      </c>
      <c r="BY19" s="50" t="n">
        <f aca="false">IF($C19="","",-$BE19+IF($Q19=0,$BD19*MIN(BY$15,Horiz),$BD19*(1-(1+$Q19)^(-MIN(BY$15,Horiz)))/$Q19))</f>
        <v>127045.540114144</v>
      </c>
      <c r="BZ19" s="50" t="n">
        <f aca="false">IF($C19="","",-$BE19+IF($Q19=0,$BD19*MIN(BZ$15,Horiz),$BD19*(1-(1+$Q19)^(-MIN(BZ$15,Horiz)))/$Q19))</f>
        <v>127045.540114144</v>
      </c>
      <c r="CA19" s="50" t="n">
        <f aca="false">IF($C19="","",-$BE19+IF($Q19=0,$BD19*MIN(CA$15,Horiz),$BD19*(1-(1+$Q19)^(-MIN(CA$15,Horiz)))/$Q19))</f>
        <v>127045.540114144</v>
      </c>
      <c r="CB19" s="50" t="n">
        <f aca="false">IF($C19="","",-$BE19+IF($Q19=0,$BD19*MIN(CB$15,Horiz),$BD19*(1-(1+$Q19)^(-MIN(CB$15,Horiz)))/$Q19))</f>
        <v>127045.540114144</v>
      </c>
      <c r="CC19" s="50" t="n">
        <f aca="false">IF($C19="","",-$BE19+IF($Q19=0,$BD19*MIN(CC$15,Horiz),$BD19*(1-(1+$Q19)^(-MIN(CC$15,Horiz)))/$Q19))</f>
        <v>127045.540114144</v>
      </c>
      <c r="CD19" s="50" t="n">
        <f aca="false">IF($C19="","",-$BE19+IF($Q19=0,$BD19*MIN(CD$15,Horiz),$BD19*(1-(1+$Q19)^(-MIN(CD$15,Horiz)))/$Q19))</f>
        <v>127045.540114144</v>
      </c>
    </row>
    <row r="20" customFormat="false" ht="15" hidden="false" customHeight="false" outlineLevel="0" collapsed="false">
      <c r="A20" s="32" t="n">
        <v>5</v>
      </c>
      <c r="B20" s="33" t="s">
        <v>129</v>
      </c>
      <c r="C20" s="34" t="s">
        <v>130</v>
      </c>
      <c r="D20" s="33" t="s">
        <v>131</v>
      </c>
      <c r="E20" s="33" t="s">
        <v>132</v>
      </c>
      <c r="F20" s="35" t="n">
        <v>8</v>
      </c>
      <c r="G20" s="35" t="n">
        <v>60</v>
      </c>
      <c r="H20" s="36" t="n">
        <v>14</v>
      </c>
      <c r="I20" s="37" t="n">
        <v>0.05</v>
      </c>
      <c r="J20" s="35" t="n">
        <v>2016</v>
      </c>
      <c r="K20" s="33" t="s">
        <v>133</v>
      </c>
      <c r="L20" s="34" t="s">
        <v>134</v>
      </c>
      <c r="M20" s="38"/>
      <c r="N20" s="39" t="n">
        <v>3000000</v>
      </c>
      <c r="O20" s="40" t="n">
        <v>0.4</v>
      </c>
      <c r="P20" s="39" t="n">
        <v>22000</v>
      </c>
      <c r="Q20" s="41" t="n">
        <v>0.1</v>
      </c>
      <c r="R20" s="34" t="s">
        <v>116</v>
      </c>
      <c r="S20" s="35" t="n">
        <v>2</v>
      </c>
      <c r="T20" s="34" t="s">
        <v>107</v>
      </c>
      <c r="U20" s="34" t="s">
        <v>123</v>
      </c>
      <c r="V20" s="39"/>
      <c r="W20" s="35" t="n">
        <v>6</v>
      </c>
      <c r="X20" s="35" t="n">
        <v>9</v>
      </c>
      <c r="Y20" s="39" t="n">
        <v>300000</v>
      </c>
      <c r="Z20" s="35" t="n">
        <v>4</v>
      </c>
      <c r="AA20" s="34" t="s">
        <v>124</v>
      </c>
      <c r="AB20" s="35" t="n">
        <v>4</v>
      </c>
      <c r="AC20" s="34" t="s">
        <v>124</v>
      </c>
      <c r="AD20" s="42" t="n">
        <f aca="false">IF($C20="","",AnioEval-J20)</f>
        <v>10</v>
      </c>
      <c r="AE20" s="43" t="n">
        <f aca="false">IF($C20="","",IFERROR(I20*AD20/H20,0))</f>
        <v>0.0357142857142857</v>
      </c>
      <c r="AF20" s="44" t="n">
        <f aca="false">IF($C20="","",IF(INDEX(MecTipo,MATCH(K20,MecList,0))="F",IFERROR(INDEX(SusDF,MATCH(L20,SusList,0)),1),LOOKUP(AE20,ArtLim,ArtDF)))</f>
        <v>500</v>
      </c>
      <c r="AG20" s="44" t="n">
        <f aca="false">IF($C20="","",IF(ISNUMBER(M20),M20,AF20))</f>
        <v>500</v>
      </c>
      <c r="AH20" s="45" t="n">
        <f aca="false">IF($C20="","",INDEX(GFFval,MATCH(D20,GFFtipo,0)))</f>
        <v>3.06E-005</v>
      </c>
      <c r="AI20" s="45" t="n">
        <f aca="false">IF($C20="","",AH20*AG20*FMS)</f>
        <v>0.00483828482005762</v>
      </c>
      <c r="AJ20" s="46" t="n">
        <f aca="false">IF($C20="","",AI20*N20)</f>
        <v>14514.8544601729</v>
      </c>
      <c r="AK20" s="47" t="str">
        <f aca="false">IF($C20="","",IF(N(S20)=0,"No requerido",IF(AND(T20="Apto",U20="Pasa"),"APTO/PASA",IF(T20="No apto","NO APTO/REPARAR","REVISAR"))))</f>
        <v>REVISAR</v>
      </c>
      <c r="AL20" s="44" t="n">
        <f aca="false">IF($C20="","",IF(AK20="NO APTO/REPARAR",1,MAX(1,AG20*INDEX(EffRet,MATCH(R20,EffList,0))*INDEX(FFSfac,MATCH(AK20,FFSlist,0)))))</f>
        <v>150</v>
      </c>
      <c r="AM20" s="45" t="n">
        <f aca="false">IF($C20="","",AH20*AL20*FMS)</f>
        <v>0.00145148544601729</v>
      </c>
      <c r="AN20" s="46" t="n">
        <f aca="false">IF($C20="","",AM20*N20)</f>
        <v>4354.45633805186</v>
      </c>
      <c r="AO20" s="46" t="n">
        <f aca="false">IF($C20="","",IFERROR(AH20*FMS*INDEX(DFrep,Z20)*INDEX(FCrep,MATCH(AA20,CatLet,0)),AJ20))</f>
        <v>9662.63537983348</v>
      </c>
      <c r="AP20" s="46" t="n">
        <f aca="false">IF($C20="","",IFERROR(AH20*FMS*INDEX(DFrep,AB20)*INDEX(FCrep,MATCH(AC20,CatLet,0)),AN20))</f>
        <v>9662.63537983348</v>
      </c>
      <c r="AQ20" s="48" t="str">
        <f aca="false">IF($C20="","",(1+SUMPRODUCT(--(AG20&gt;PcutDF)))&amp;CHOOSE(1+SUMPRODUCT(--(N20&gt;CcutFC)),"A","B","C","D","E"))</f>
        <v>4D</v>
      </c>
      <c r="AR20" s="48" t="str">
        <f aca="false">IF($C20="","",(1+SUMPRODUCT(--(AL20&gt;PcutDF)))&amp;CHOOSE(1+SUMPRODUCT(--(N20&gt;CcutFC)),"A","B","C","D","E"))</f>
        <v>4D</v>
      </c>
      <c r="AS20" s="48" t="str">
        <f aca="false">IF($C20="","",IF(AND(Z20&amp;AA20=AQ20,AB20&amp;AC20=AR20),"OK","REVISAR"))</f>
        <v>OK</v>
      </c>
      <c r="AT20" s="42" t="n">
        <f aca="false">IF($C20="","",IFERROR(INDEX(RAMlev,Z20,MATCH(AA20,CatLet,0)),""))</f>
        <v>3</v>
      </c>
      <c r="AU20" s="42" t="n">
        <f aca="false">IF($C20="","",IFERROR(INDEX(RAMlev,AB20,MATCH(AC20,CatLet,0)),""))</f>
        <v>3</v>
      </c>
      <c r="AV20" s="48" t="str">
        <f aca="false">IF($C20="","",IF(AU20="","",IF(AU20&lt;=ObjNivel,"Cumple","Excede")))</f>
        <v>Excede</v>
      </c>
      <c r="AW20" s="46" t="n">
        <f aca="false">IF($C20="","",IF(Base="RAM",AO20,AJ20))</f>
        <v>14514.8544601729</v>
      </c>
      <c r="AX20" s="46" t="n">
        <f aca="false">IF($C20="","",IF(Base="RAM",AP20,AN20))</f>
        <v>4354.45633805186</v>
      </c>
      <c r="AY20" s="46" t="n">
        <f aca="false">IF($C20="","",AW20-AX20)</f>
        <v>10160.398122121</v>
      </c>
      <c r="AZ20" s="46" t="n">
        <f aca="false">IF($C20="","",AY20*N(O20))</f>
        <v>4064.1592488484</v>
      </c>
      <c r="BA20" s="46" t="n">
        <f aca="false">IF($C20="","",AY20-AZ20)</f>
        <v>6096.2388732726</v>
      </c>
      <c r="BB20" s="46" t="n">
        <f aca="false">IF($C20="","",IFERROR(P20*(1/W20-1/X20),0))</f>
        <v>1222.22222222222</v>
      </c>
      <c r="BC20" s="46" t="n">
        <f aca="false">IF($C20="","",IFERROR(Y20*(1/W20-1/X20),0))</f>
        <v>16666.6666666667</v>
      </c>
      <c r="BD20" s="46" t="n">
        <f aca="false">IF($C20="","",AY20+BB20+BC20)</f>
        <v>28049.2870110099</v>
      </c>
      <c r="BE20" s="46" t="n">
        <f aca="false">IF($C20="","",P20+INDEX(FFScost,N(S20)+1)+IF(AK20="NO APTO/REPARAR",N(V20),0)+RBIimpl)</f>
        <v>37210</v>
      </c>
      <c r="BF20" s="43" t="n">
        <f aca="false">IF($C20="","",IF(Q20=0,Horiz,(1-(1+Q20)^(-Horiz))/Q20))</f>
        <v>6.14456710570469</v>
      </c>
      <c r="BG20" s="46" t="n">
        <f aca="false">IF($C20="","",BD20*BF20)</f>
        <v>172350.726306321</v>
      </c>
      <c r="BH20" s="49" t="n">
        <f aca="false">IF($C20="","",IFERROR(BG20/BE20,0))</f>
        <v>4.63183892250258</v>
      </c>
      <c r="BI20" s="50" t="n">
        <f aca="false">IF($C20="","",BG20-BE20)</f>
        <v>135140.726306321</v>
      </c>
      <c r="BJ20" s="51" t="n">
        <f aca="false">IF($C20="","",IFERROR((Horiz*BD20-BE20)/BE20,0))</f>
        <v>6.53810454474869</v>
      </c>
      <c r="BK20" s="52" t="n">
        <f aca="false">IF($C20="","",IF(BD20&gt;0,BE20/BD20,"No recupera"))</f>
        <v>1.32659343481331</v>
      </c>
      <c r="BL20" s="52" t="n">
        <f aca="false">IF($C20="","",IF(BD20&lt;=0,"No recupera",IF(Q20=0,BE20/BD20,IFERROR(-LN(1-BE20*Q20/BD20)/LN(1+Q20),"No recupera"))))</f>
        <v>1.4932661502819</v>
      </c>
      <c r="BM20" s="50" t="n">
        <f aca="false">IF($C20="","",BD20-BE20/BF20)</f>
        <v>21993.5308674316</v>
      </c>
      <c r="BN20" s="47" t="str">
        <f aca="false">IF($C20="","",IF(BH20&gt;1,"ACEPTABLE","NO ACEPTABLE"))</f>
        <v>ACEPTABLE</v>
      </c>
      <c r="BO20" s="50" t="n">
        <f aca="false">IF($C20="","",-$BE20+IF($Q20=0,$BD20*MIN(BO$15,Horiz),$BD20*(1-(1+$Q20)^(-MIN(BO$15,Horiz)))/$Q20))</f>
        <v>-37210</v>
      </c>
      <c r="BP20" s="50" t="n">
        <f aca="false">IF($C20="","",-$BE20+IF($Q20=0,$BD20*MIN(BP$15,Horiz),$BD20*(1-(1+$Q20)^(-MIN(BP$15,Horiz)))/$Q20))</f>
        <v>-11710.6481718092</v>
      </c>
      <c r="BQ20" s="50" t="n">
        <f aca="false">IF($C20="","",-$BE20+IF($Q20=0,$BD20*MIN(BQ$15,Horiz),$BD20*(1-(1+$Q20)^(-MIN(BQ$15,Horiz)))/$Q20))</f>
        <v>11470.5807629097</v>
      </c>
      <c r="BR20" s="50" t="n">
        <f aca="false">IF($C20="","",-$BE20+IF($Q20=0,$BD20*MIN(BR$15,Horiz),$BD20*(1-(1+$Q20)^(-MIN(BR$15,Horiz)))/$Q20))</f>
        <v>32544.4252490179</v>
      </c>
      <c r="BS20" s="50" t="n">
        <f aca="false">IF($C20="","",-$BE20+IF($Q20=0,$BD20*MIN(BS$15,Horiz),$BD20*(1-(1+$Q20)^(-MIN(BS$15,Horiz)))/$Q20))</f>
        <v>51702.4656909343</v>
      </c>
      <c r="BT20" s="50" t="n">
        <f aca="false">IF($C20="","",-$BE20+IF($Q20=0,$BD20*MIN(BT$15,Horiz),$BD20*(1-(1+$Q20)^(-MIN(BT$15,Horiz)))/$Q20))</f>
        <v>69118.8660926766</v>
      </c>
      <c r="BU20" s="50" t="n">
        <f aca="false">IF($C20="","",-$BE20+IF($Q20=0,$BD20*MIN(BU$15,Horiz),$BD20*(1-(1+$Q20)^(-MIN(BU$15,Horiz)))/$Q20))</f>
        <v>84951.9573669877</v>
      </c>
      <c r="BV20" s="50" t="n">
        <f aca="false">IF($C20="","",-$BE20+IF($Q20=0,$BD20*MIN(BV$15,Horiz),$BD20*(1-(1+$Q20)^(-MIN(BV$15,Horiz)))/$Q20))</f>
        <v>99345.6767072706</v>
      </c>
      <c r="BW20" s="50" t="n">
        <f aca="false">IF($C20="","",-$BE20+IF($Q20=0,$BD20*MIN(BW$15,Horiz),$BD20*(1-(1+$Q20)^(-MIN(BW$15,Horiz)))/$Q20))</f>
        <v>112430.876107528</v>
      </c>
      <c r="BX20" s="50" t="n">
        <f aca="false">IF($C20="","",-$BE20+IF($Q20=0,$BD20*MIN(BX$15,Horiz),$BD20*(1-(1+$Q20)^(-MIN(BX$15,Horiz)))/$Q20))</f>
        <v>124326.511925943</v>
      </c>
      <c r="BY20" s="50" t="n">
        <f aca="false">IF($C20="","",-$BE20+IF($Q20=0,$BD20*MIN(BY$15,Horiz),$BD20*(1-(1+$Q20)^(-MIN(BY$15,Horiz)))/$Q20))</f>
        <v>135140.726306321</v>
      </c>
      <c r="BZ20" s="50" t="n">
        <f aca="false">IF($C20="","",-$BE20+IF($Q20=0,$BD20*MIN(BZ$15,Horiz),$BD20*(1-(1+$Q20)^(-MIN(BZ$15,Horiz)))/$Q20))</f>
        <v>135140.726306321</v>
      </c>
      <c r="CA20" s="50" t="n">
        <f aca="false">IF($C20="","",-$BE20+IF($Q20=0,$BD20*MIN(CA$15,Horiz),$BD20*(1-(1+$Q20)^(-MIN(CA$15,Horiz)))/$Q20))</f>
        <v>135140.726306321</v>
      </c>
      <c r="CB20" s="50" t="n">
        <f aca="false">IF($C20="","",-$BE20+IF($Q20=0,$BD20*MIN(CB$15,Horiz),$BD20*(1-(1+$Q20)^(-MIN(CB$15,Horiz)))/$Q20))</f>
        <v>135140.726306321</v>
      </c>
      <c r="CC20" s="50" t="n">
        <f aca="false">IF($C20="","",-$BE20+IF($Q20=0,$BD20*MIN(CC$15,Horiz),$BD20*(1-(1+$Q20)^(-MIN(CC$15,Horiz)))/$Q20))</f>
        <v>135140.726306321</v>
      </c>
      <c r="CD20" s="50" t="n">
        <f aca="false">IF($C20="","",-$BE20+IF($Q20=0,$BD20*MIN(CD$15,Horiz),$BD20*(1-(1+$Q20)^(-MIN(CD$15,Horiz)))/$Q20))</f>
        <v>135140.726306321</v>
      </c>
    </row>
    <row r="21" customFormat="false" ht="15" hidden="false" customHeight="false" outlineLevel="0" collapsed="false">
      <c r="A21" s="32" t="n">
        <v>6</v>
      </c>
      <c r="B21" s="33" t="s">
        <v>110</v>
      </c>
      <c r="C21" s="34" t="s">
        <v>135</v>
      </c>
      <c r="D21" s="33" t="s">
        <v>103</v>
      </c>
      <c r="E21" s="33" t="s">
        <v>136</v>
      </c>
      <c r="F21" s="35" t="n">
        <v>20</v>
      </c>
      <c r="G21" s="35" t="n">
        <v>150</v>
      </c>
      <c r="H21" s="36" t="n">
        <v>9</v>
      </c>
      <c r="I21" s="37" t="n">
        <v>0.127</v>
      </c>
      <c r="J21" s="35" t="n">
        <v>2015</v>
      </c>
      <c r="K21" s="33" t="s">
        <v>137</v>
      </c>
      <c r="L21" s="34"/>
      <c r="M21" s="38"/>
      <c r="N21" s="39" t="n">
        <v>900000</v>
      </c>
      <c r="O21" s="40" t="n">
        <v>0.3</v>
      </c>
      <c r="P21" s="39" t="n">
        <v>6000</v>
      </c>
      <c r="Q21" s="41" t="n">
        <v>0.1</v>
      </c>
      <c r="R21" s="34" t="s">
        <v>116</v>
      </c>
      <c r="S21" s="35" t="n">
        <v>0</v>
      </c>
      <c r="T21" s="34"/>
      <c r="U21" s="34"/>
      <c r="V21" s="39"/>
      <c r="W21" s="35" t="n">
        <v>5</v>
      </c>
      <c r="X21" s="35" t="n">
        <v>8</v>
      </c>
      <c r="Y21" s="39" t="n">
        <v>60000</v>
      </c>
      <c r="Z21" s="35" t="n">
        <v>2</v>
      </c>
      <c r="AA21" s="34" t="s">
        <v>109</v>
      </c>
      <c r="AB21" s="35" t="n">
        <v>2</v>
      </c>
      <c r="AC21" s="34" t="s">
        <v>109</v>
      </c>
      <c r="AD21" s="42" t="n">
        <f aca="false">IF($C21="","",AnioEval-J21)</f>
        <v>11</v>
      </c>
      <c r="AE21" s="43" t="n">
        <f aca="false">IF($C21="","",IFERROR(I21*AD21/H21,0))</f>
        <v>0.155222222222222</v>
      </c>
      <c r="AF21" s="44" t="n">
        <f aca="false">IF($C21="","",IF(INDEX(MecTipo,MATCH(K21,MecList,0))="F",IFERROR(INDEX(SusDF,MATCH(L21,SusList,0)),1),LOOKUP(AE21,ArtLim,ArtDF)))</f>
        <v>20</v>
      </c>
      <c r="AG21" s="44" t="n">
        <f aca="false">IF($C21="","",IF(ISNUMBER(M21),M21,AF21))</f>
        <v>20</v>
      </c>
      <c r="AH21" s="45" t="n">
        <f aca="false">IF($C21="","",INDEX(GFFval,MATCH(D21,GFFtipo,0)))</f>
        <v>3.06E-005</v>
      </c>
      <c r="AI21" s="45" t="n">
        <f aca="false">IF($C21="","",AH21*AG21*FMS)</f>
        <v>0.000193531392802305</v>
      </c>
      <c r="AJ21" s="46" t="n">
        <f aca="false">IF($C21="","",AI21*N21)</f>
        <v>174.178253522074</v>
      </c>
      <c r="AK21" s="47" t="str">
        <f aca="false">IF($C21="","",IF(N(S21)=0,"No requerido",IF(AND(T21="Apto",U21="Pasa"),"APTO/PASA",IF(T21="No apto","NO APTO/REPARAR","REVISAR"))))</f>
        <v>No requerido</v>
      </c>
      <c r="AL21" s="44" t="n">
        <f aca="false">IF($C21="","",IF(AK21="NO APTO/REPARAR",1,MAX(1,AG21*INDEX(EffRet,MATCH(R21,EffList,0))*INDEX(FFSfac,MATCH(AK21,FFSlist,0)))))</f>
        <v>6</v>
      </c>
      <c r="AM21" s="45" t="n">
        <f aca="false">IF($C21="","",AH21*AL21*FMS)</f>
        <v>5.80594178406915E-005</v>
      </c>
      <c r="AN21" s="46" t="n">
        <f aca="false">IF($C21="","",AM21*N21)</f>
        <v>52.2534760566223</v>
      </c>
      <c r="AO21" s="46" t="n">
        <f aca="false">IF($C21="","",IFERROR(AH21*FMS*INDEX(DFrep,Z21)*INDEX(FCrep,MATCH(AA21,CatLet,0)),AJ21))</f>
        <v>18.3467760376585</v>
      </c>
      <c r="AP21" s="46" t="n">
        <f aca="false">IF($C21="","",IFERROR(AH21*FMS*INDEX(DFrep,AB21)*INDEX(FCrep,MATCH(AC21,CatLet,0)),AN21))</f>
        <v>18.3467760376585</v>
      </c>
      <c r="AQ21" s="48" t="str">
        <f aca="false">IF($C21="","",(1+SUMPRODUCT(--(AG21&gt;PcutDF)))&amp;CHOOSE(1+SUMPRODUCT(--(N21&gt;CcutFC)),"A","B","C","D","E"))</f>
        <v>2C</v>
      </c>
      <c r="AR21" s="48" t="str">
        <f aca="false">IF($C21="","",(1+SUMPRODUCT(--(AL21&gt;PcutDF)))&amp;CHOOSE(1+SUMPRODUCT(--(N21&gt;CcutFC)),"A","B","C","D","E"))</f>
        <v>2C</v>
      </c>
      <c r="AS21" s="48" t="str">
        <f aca="false">IF($C21="","",IF(AND(Z21&amp;AA21=AQ21,AB21&amp;AC21=AR21),"OK","REVISAR"))</f>
        <v>OK</v>
      </c>
      <c r="AT21" s="42" t="n">
        <f aca="false">IF($C21="","",IFERROR(INDEX(RAMlev,Z21,MATCH(AA21,CatLet,0)),""))</f>
        <v>2</v>
      </c>
      <c r="AU21" s="42" t="n">
        <f aca="false">IF($C21="","",IFERROR(INDEX(RAMlev,AB21,MATCH(AC21,CatLet,0)),""))</f>
        <v>2</v>
      </c>
      <c r="AV21" s="48" t="str">
        <f aca="false">IF($C21="","",IF(AU21="","",IF(AU21&lt;=ObjNivel,"Cumple","Excede")))</f>
        <v>Cumple</v>
      </c>
      <c r="AW21" s="46" t="n">
        <f aca="false">IF($C21="","",IF(Base="RAM",AO21,AJ21))</f>
        <v>174.178253522074</v>
      </c>
      <c r="AX21" s="46" t="n">
        <f aca="false">IF($C21="","",IF(Base="RAM",AP21,AN21))</f>
        <v>52.2534760566223</v>
      </c>
      <c r="AY21" s="46" t="n">
        <f aca="false">IF($C21="","",AW21-AX21)</f>
        <v>121.924777465452</v>
      </c>
      <c r="AZ21" s="46" t="n">
        <f aca="false">IF($C21="","",AY21*N(O21))</f>
        <v>36.5774332396356</v>
      </c>
      <c r="BA21" s="46" t="n">
        <f aca="false">IF($C21="","",AY21-AZ21)</f>
        <v>85.3473442258164</v>
      </c>
      <c r="BB21" s="46" t="n">
        <f aca="false">IF($C21="","",IFERROR(P21*(1/W21-1/X21),0))</f>
        <v>450</v>
      </c>
      <c r="BC21" s="46" t="n">
        <f aca="false">IF($C21="","",IFERROR(Y21*(1/W21-1/X21),0))</f>
        <v>4500</v>
      </c>
      <c r="BD21" s="46" t="n">
        <f aca="false">IF($C21="","",AY21+BB21+BC21)</f>
        <v>5071.92477746545</v>
      </c>
      <c r="BE21" s="46" t="n">
        <f aca="false">IF($C21="","",P21+INDEX(FFScost,N(S21)+1)+IF(AK21="NO APTO/REPARAR",N(V21),0)+RBIimpl)</f>
        <v>6210</v>
      </c>
      <c r="BF21" s="43" t="n">
        <f aca="false">IF($C21="","",IF(Q21=0,Horiz,(1-(1+Q21)^(-Horiz))/Q21))</f>
        <v>6.14456710570469</v>
      </c>
      <c r="BG21" s="46" t="n">
        <f aca="false">IF($C21="","",BD21*BF21)</f>
        <v>31164.7821502228</v>
      </c>
      <c r="BH21" s="49" t="n">
        <f aca="false">IF($C21="","",IFERROR(BG21/BE21,0))</f>
        <v>5.0184834380391</v>
      </c>
      <c r="BI21" s="50" t="n">
        <f aca="false">IF($C21="","",BG21-BE21)</f>
        <v>24954.7821502228</v>
      </c>
      <c r="BJ21" s="51" t="n">
        <f aca="false">IF($C21="","",IFERROR((Horiz*BD21-BE21)/BE21,0))</f>
        <v>7.16735068835017</v>
      </c>
      <c r="BK21" s="52" t="n">
        <f aca="false">IF($C21="","",IF(BD21&gt;0,BE21/BD21,"No recupera"))</f>
        <v>1.22438724398891</v>
      </c>
      <c r="BL21" s="52" t="n">
        <f aca="false">IF($C21="","",IF(BD21&lt;=0,"No recupera",IF(Q21=0,BE21/BD21,IFERROR(-LN(1-BE21*Q21/BD21)/LN(1+Q21),"No recupera"))))</f>
        <v>1.3703520086038</v>
      </c>
      <c r="BM21" s="50" t="n">
        <f aca="false">IF($C21="","",BD21-BE21/BF21)</f>
        <v>4061.27587524506</v>
      </c>
      <c r="BN21" s="47" t="str">
        <f aca="false">IF($C21="","",IF(BH21&gt;1,"ACEPTABLE","NO ACEPTABLE"))</f>
        <v>ACEPTABLE</v>
      </c>
      <c r="BO21" s="50" t="n">
        <f aca="false">IF($C21="","",-$BE21+IF($Q21=0,$BD21*MIN(BO$15,Horiz),$BD21*(1-(1+$Q21)^(-MIN(BO$15,Horiz)))/$Q21))</f>
        <v>-6210</v>
      </c>
      <c r="BP21" s="50" t="n">
        <f aca="false">IF($C21="","",-$BE21+IF($Q21=0,$BD21*MIN(BP$15,Horiz),$BD21*(1-(1+$Q21)^(-MIN(BP$15,Horiz)))/$Q21))</f>
        <v>-1599.15929321322</v>
      </c>
      <c r="BQ21" s="50" t="n">
        <f aca="false">IF($C21="","",-$BE21+IF($Q21=0,$BD21*MIN(BQ$15,Horiz),$BD21*(1-(1+$Q21)^(-MIN(BQ$15,Horiz)))/$Q21))</f>
        <v>2592.51407659294</v>
      </c>
      <c r="BR21" s="50" t="n">
        <f aca="false">IF($C21="","",-$BE21+IF($Q21=0,$BD21*MIN(BR$15,Horiz),$BD21*(1-(1+$Q21)^(-MIN(BR$15,Horiz)))/$Q21))</f>
        <v>6403.12623096218</v>
      </c>
      <c r="BS21" s="50" t="n">
        <f aca="false">IF($C21="","",-$BE21+IF($Q21=0,$BD21*MIN(BS$15,Horiz),$BD21*(1-(1+$Q21)^(-MIN(BS$15,Horiz)))/$Q21))</f>
        <v>9867.31909857058</v>
      </c>
      <c r="BT21" s="50" t="n">
        <f aca="false">IF($C21="","",-$BE21+IF($Q21=0,$BD21*MIN(BT$15,Horiz),$BD21*(1-(1+$Q21)^(-MIN(BT$15,Horiz)))/$Q21))</f>
        <v>13016.5853418509</v>
      </c>
      <c r="BU21" s="50" t="n">
        <f aca="false">IF($C21="","",-$BE21+IF($Q21=0,$BD21*MIN(BU$15,Horiz),$BD21*(1-(1+$Q21)^(-MIN(BU$15,Horiz)))/$Q21))</f>
        <v>15879.554653924</v>
      </c>
      <c r="BV21" s="50" t="n">
        <f aca="false">IF($C21="","",-$BE21+IF($Q21=0,$BD21*MIN(BV$15,Horiz),$BD21*(1-(1+$Q21)^(-MIN(BV$15,Horiz)))/$Q21))</f>
        <v>18482.2540285359</v>
      </c>
      <c r="BW21" s="50" t="n">
        <f aca="false">IF($C21="","",-$BE21+IF($Q21=0,$BD21*MIN(BW$15,Horiz),$BD21*(1-(1+$Q21)^(-MIN(BW$15,Horiz)))/$Q21))</f>
        <v>20848.3443690921</v>
      </c>
      <c r="BX21" s="50" t="n">
        <f aca="false">IF($C21="","",-$BE21+IF($Q21=0,$BD21*MIN(BX$15,Horiz),$BD21*(1-(1+$Q21)^(-MIN(BX$15,Horiz)))/$Q21))</f>
        <v>22999.3355877796</v>
      </c>
      <c r="BY21" s="50" t="n">
        <f aca="false">IF($C21="","",-$BE21+IF($Q21=0,$BD21*MIN(BY$15,Horiz),$BD21*(1-(1+$Q21)^(-MIN(BY$15,Horiz)))/$Q21))</f>
        <v>24954.7821502228</v>
      </c>
      <c r="BZ21" s="50" t="n">
        <f aca="false">IF($C21="","",-$BE21+IF($Q21=0,$BD21*MIN(BZ$15,Horiz),$BD21*(1-(1+$Q21)^(-MIN(BZ$15,Horiz)))/$Q21))</f>
        <v>24954.7821502228</v>
      </c>
      <c r="CA21" s="50" t="n">
        <f aca="false">IF($C21="","",-$BE21+IF($Q21=0,$BD21*MIN(CA$15,Horiz),$BD21*(1-(1+$Q21)^(-MIN(CA$15,Horiz)))/$Q21))</f>
        <v>24954.7821502228</v>
      </c>
      <c r="CB21" s="50" t="n">
        <f aca="false">IF($C21="","",-$BE21+IF($Q21=0,$BD21*MIN(CB$15,Horiz),$BD21*(1-(1+$Q21)^(-MIN(CB$15,Horiz)))/$Q21))</f>
        <v>24954.7821502228</v>
      </c>
      <c r="CC21" s="50" t="n">
        <f aca="false">IF($C21="","",-$BE21+IF($Q21=0,$BD21*MIN(CC$15,Horiz),$BD21*(1-(1+$Q21)^(-MIN(CC$15,Horiz)))/$Q21))</f>
        <v>24954.7821502228</v>
      </c>
      <c r="CD21" s="50" t="n">
        <f aca="false">IF($C21="","",-$BE21+IF($Q21=0,$BD21*MIN(CD$15,Horiz),$BD21*(1-(1+$Q21)^(-MIN(CD$15,Horiz)))/$Q21))</f>
        <v>24954.7821502228</v>
      </c>
    </row>
    <row r="22" customFormat="false" ht="15" hidden="false" customHeight="false" outlineLevel="0" collapsed="false">
      <c r="A22" s="32" t="n">
        <v>7</v>
      </c>
      <c r="B22" s="33"/>
      <c r="C22" s="34"/>
      <c r="D22" s="33"/>
      <c r="E22" s="33"/>
      <c r="F22" s="35"/>
      <c r="G22" s="35"/>
      <c r="H22" s="36"/>
      <c r="I22" s="37"/>
      <c r="J22" s="35"/>
      <c r="K22" s="33"/>
      <c r="L22" s="34"/>
      <c r="M22" s="38"/>
      <c r="N22" s="39"/>
      <c r="O22" s="40"/>
      <c r="P22" s="39"/>
      <c r="Q22" s="41"/>
      <c r="R22" s="34"/>
      <c r="S22" s="35"/>
      <c r="T22" s="34"/>
      <c r="U22" s="34"/>
      <c r="V22" s="39"/>
      <c r="W22" s="35"/>
      <c r="X22" s="35"/>
      <c r="Y22" s="39"/>
      <c r="Z22" s="35"/>
      <c r="AA22" s="34"/>
      <c r="AB22" s="35"/>
      <c r="AC22" s="34"/>
      <c r="AD22" s="42" t="str">
        <f aca="false">IF($C22="","",AnioEval-J22)</f>
        <v/>
      </c>
      <c r="AE22" s="43" t="str">
        <f aca="false">IF($C22="","",IFERROR(I22*AD22/H22,0))</f>
        <v/>
      </c>
      <c r="AF22" s="44" t="str">
        <f aca="false">IF($C22="","",IF(INDEX(MecTipo,MATCH(K22,MecList,0))="F",IFERROR(INDEX(SusDF,MATCH(L22,SusList,0)),1),LOOKUP(AE22,ArtLim,ArtDF)))</f>
        <v/>
      </c>
      <c r="AG22" s="44" t="str">
        <f aca="false">IF($C22="","",IF(ISNUMBER(M22),M22,AF22))</f>
        <v/>
      </c>
      <c r="AH22" s="45" t="str">
        <f aca="false">IF($C22="","",INDEX(GFFval,MATCH(D22,GFFtipo,0)))</f>
        <v/>
      </c>
      <c r="AI22" s="45" t="str">
        <f aca="false">IF($C22="","",AH22*AG22*FMS)</f>
        <v/>
      </c>
      <c r="AJ22" s="46" t="str">
        <f aca="false">IF($C22="","",AI22*N22)</f>
        <v/>
      </c>
      <c r="AK22" s="47" t="str">
        <f aca="false">IF($C22="","",IF(N(S22)=0,"No requerido",IF(AND(T22="Apto",U22="Pasa"),"APTO/PASA",IF(T22="No apto","NO APTO/REPARAR","REVISAR"))))</f>
        <v/>
      </c>
      <c r="AL22" s="44" t="str">
        <f aca="false">IF($C22="","",IF(AK22="NO APTO/REPARAR",1,MAX(1,AG22*INDEX(EffRet,MATCH(R22,EffList,0))*INDEX(FFSfac,MATCH(AK22,FFSlist,0)))))</f>
        <v/>
      </c>
      <c r="AM22" s="45" t="str">
        <f aca="false">IF($C22="","",AH22*AL22*FMS)</f>
        <v/>
      </c>
      <c r="AN22" s="46" t="str">
        <f aca="false">IF($C22="","",AM22*N22)</f>
        <v/>
      </c>
      <c r="AO22" s="46" t="str">
        <f aca="false">IF($C22="","",IFERROR(AH22*FMS*INDEX(DFrep,Z22)*INDEX(FCrep,MATCH(AA22,CatLet,0)),AJ22))</f>
        <v/>
      </c>
      <c r="AP22" s="46" t="str">
        <f aca="false">IF($C22="","",IFERROR(AH22*FMS*INDEX(DFrep,AB22)*INDEX(FCrep,MATCH(AC22,CatLet,0)),AN22))</f>
        <v/>
      </c>
      <c r="AQ22" s="48" t="str">
        <f aca="false">IF($C22="","",(1+SUMPRODUCT(--(AG22&gt;PcutDF)))&amp;CHOOSE(1+SUMPRODUCT(--(N22&gt;CcutFC)),"A","B","C","D","E"))</f>
        <v/>
      </c>
      <c r="AR22" s="48" t="str">
        <f aca="false">IF($C22="","",(1+SUMPRODUCT(--(AL22&gt;PcutDF)))&amp;CHOOSE(1+SUMPRODUCT(--(N22&gt;CcutFC)),"A","B","C","D","E"))</f>
        <v/>
      </c>
      <c r="AS22" s="48" t="str">
        <f aca="false">IF($C22="","",IF(AND(Z22&amp;AA22=AQ22,AB22&amp;AC22=AR22),"OK","REVISAR"))</f>
        <v/>
      </c>
      <c r="AT22" s="42" t="str">
        <f aca="false">IF($C22="","",IFERROR(INDEX(RAMlev,Z22,MATCH(AA22,CatLet,0)),""))</f>
        <v/>
      </c>
      <c r="AU22" s="42" t="str">
        <f aca="false">IF($C22="","",IFERROR(INDEX(RAMlev,AB22,MATCH(AC22,CatLet,0)),""))</f>
        <v/>
      </c>
      <c r="AV22" s="48" t="str">
        <f aca="false">IF($C22="","",IF(AU22="","",IF(AU22&lt;=ObjNivel,"Cumple","Excede")))</f>
        <v/>
      </c>
      <c r="AW22" s="46" t="str">
        <f aca="false">IF($C22="","",IF(Base="RAM",AO22,AJ22))</f>
        <v/>
      </c>
      <c r="AX22" s="46" t="str">
        <f aca="false">IF($C22="","",IF(Base="RAM",AP22,AN22))</f>
        <v/>
      </c>
      <c r="AY22" s="46" t="str">
        <f aca="false">IF($C22="","",AW22-AX22)</f>
        <v/>
      </c>
      <c r="AZ22" s="46" t="str">
        <f aca="false">IF($C22="","",AY22*N(O22))</f>
        <v/>
      </c>
      <c r="BA22" s="46" t="str">
        <f aca="false">IF($C22="","",AY22-AZ22)</f>
        <v/>
      </c>
      <c r="BB22" s="46" t="str">
        <f aca="false">IF($C22="","",IFERROR(P22*(1/W22-1/X22),0))</f>
        <v/>
      </c>
      <c r="BC22" s="46" t="str">
        <f aca="false">IF($C22="","",IFERROR(Y22*(1/W22-1/X22),0))</f>
        <v/>
      </c>
      <c r="BD22" s="46" t="str">
        <f aca="false">IF($C22="","",AY22+BB22+BC22)</f>
        <v/>
      </c>
      <c r="BE22" s="46" t="str">
        <f aca="false">IF($C22="","",P22+INDEX(FFScost,N(S22)+1)+IF(AK22="NO APTO/REPARAR",N(V22),0)+RBIimpl)</f>
        <v/>
      </c>
      <c r="BF22" s="43" t="str">
        <f aca="false">IF($C22="","",IF(Q22=0,Horiz,(1-(1+Q22)^(-Horiz))/Q22))</f>
        <v/>
      </c>
      <c r="BG22" s="46" t="str">
        <f aca="false">IF($C22="","",BD22*BF22)</f>
        <v/>
      </c>
      <c r="BH22" s="49" t="str">
        <f aca="false">IF($C22="","",IFERROR(BG22/BE22,0))</f>
        <v/>
      </c>
      <c r="BI22" s="50" t="str">
        <f aca="false">IF($C22="","",BG22-BE22)</f>
        <v/>
      </c>
      <c r="BJ22" s="51" t="str">
        <f aca="false">IF($C22="","",IFERROR((Horiz*BD22-BE22)/BE22,0))</f>
        <v/>
      </c>
      <c r="BK22" s="52" t="str">
        <f aca="false">IF($C22="","",IF(BD22&gt;0,BE22/BD22,"No recupera"))</f>
        <v/>
      </c>
      <c r="BL22" s="52" t="str">
        <f aca="false">IF($C22="","",IF(BD22&lt;=0,"No recupera",IF(Q22=0,BE22/BD22,IFERROR(-LN(1-BE22*Q22/BD22)/LN(1+Q22),"No recupera"))))</f>
        <v/>
      </c>
      <c r="BM22" s="50" t="str">
        <f aca="false">IF($C22="","",BD22-BE22/BF22)</f>
        <v/>
      </c>
      <c r="BN22" s="47" t="str">
        <f aca="false">IF($C22="","",IF(BH22&gt;1,"ACEPTABLE","NO ACEPTABLE"))</f>
        <v/>
      </c>
      <c r="BO22" s="50" t="str">
        <f aca="false">IF($C22="","",-$BE22+IF($Q22=0,$BD22*MIN(BO$15,Horiz),$BD22*(1-(1+$Q22)^(-MIN(BO$15,Horiz)))/$Q22))</f>
        <v/>
      </c>
      <c r="BP22" s="50" t="str">
        <f aca="false">IF($C22="","",-$BE22+IF($Q22=0,$BD22*MIN(BP$15,Horiz),$BD22*(1-(1+$Q22)^(-MIN(BP$15,Horiz)))/$Q22))</f>
        <v/>
      </c>
      <c r="BQ22" s="50" t="str">
        <f aca="false">IF($C22="","",-$BE22+IF($Q22=0,$BD22*MIN(BQ$15,Horiz),$BD22*(1-(1+$Q22)^(-MIN(BQ$15,Horiz)))/$Q22))</f>
        <v/>
      </c>
      <c r="BR22" s="50" t="str">
        <f aca="false">IF($C22="","",-$BE22+IF($Q22=0,$BD22*MIN(BR$15,Horiz),$BD22*(1-(1+$Q22)^(-MIN(BR$15,Horiz)))/$Q22))</f>
        <v/>
      </c>
      <c r="BS22" s="50" t="str">
        <f aca="false">IF($C22="","",-$BE22+IF($Q22=0,$BD22*MIN(BS$15,Horiz),$BD22*(1-(1+$Q22)^(-MIN(BS$15,Horiz)))/$Q22))</f>
        <v/>
      </c>
      <c r="BT22" s="50" t="str">
        <f aca="false">IF($C22="","",-$BE22+IF($Q22=0,$BD22*MIN(BT$15,Horiz),$BD22*(1-(1+$Q22)^(-MIN(BT$15,Horiz)))/$Q22))</f>
        <v/>
      </c>
      <c r="BU22" s="50" t="str">
        <f aca="false">IF($C22="","",-$BE22+IF($Q22=0,$BD22*MIN(BU$15,Horiz),$BD22*(1-(1+$Q22)^(-MIN(BU$15,Horiz)))/$Q22))</f>
        <v/>
      </c>
      <c r="BV22" s="50" t="str">
        <f aca="false">IF($C22="","",-$BE22+IF($Q22=0,$BD22*MIN(BV$15,Horiz),$BD22*(1-(1+$Q22)^(-MIN(BV$15,Horiz)))/$Q22))</f>
        <v/>
      </c>
      <c r="BW22" s="50" t="str">
        <f aca="false">IF($C22="","",-$BE22+IF($Q22=0,$BD22*MIN(BW$15,Horiz),$BD22*(1-(1+$Q22)^(-MIN(BW$15,Horiz)))/$Q22))</f>
        <v/>
      </c>
      <c r="BX22" s="50" t="str">
        <f aca="false">IF($C22="","",-$BE22+IF($Q22=0,$BD22*MIN(BX$15,Horiz),$BD22*(1-(1+$Q22)^(-MIN(BX$15,Horiz)))/$Q22))</f>
        <v/>
      </c>
      <c r="BY22" s="50" t="str">
        <f aca="false">IF($C22="","",-$BE22+IF($Q22=0,$BD22*MIN(BY$15,Horiz),$BD22*(1-(1+$Q22)^(-MIN(BY$15,Horiz)))/$Q22))</f>
        <v/>
      </c>
      <c r="BZ22" s="50" t="str">
        <f aca="false">IF($C22="","",-$BE22+IF($Q22=0,$BD22*MIN(BZ$15,Horiz),$BD22*(1-(1+$Q22)^(-MIN(BZ$15,Horiz)))/$Q22))</f>
        <v/>
      </c>
      <c r="CA22" s="50" t="str">
        <f aca="false">IF($C22="","",-$BE22+IF($Q22=0,$BD22*MIN(CA$15,Horiz),$BD22*(1-(1+$Q22)^(-MIN(CA$15,Horiz)))/$Q22))</f>
        <v/>
      </c>
      <c r="CB22" s="50" t="str">
        <f aca="false">IF($C22="","",-$BE22+IF($Q22=0,$BD22*MIN(CB$15,Horiz),$BD22*(1-(1+$Q22)^(-MIN(CB$15,Horiz)))/$Q22))</f>
        <v/>
      </c>
      <c r="CC22" s="50" t="str">
        <f aca="false">IF($C22="","",-$BE22+IF($Q22=0,$BD22*MIN(CC$15,Horiz),$BD22*(1-(1+$Q22)^(-MIN(CC$15,Horiz)))/$Q22))</f>
        <v/>
      </c>
      <c r="CD22" s="50" t="str">
        <f aca="false">IF($C22="","",-$BE22+IF($Q22=0,$BD22*MIN(CD$15,Horiz),$BD22*(1-(1+$Q22)^(-MIN(CD$15,Horiz)))/$Q22))</f>
        <v/>
      </c>
    </row>
    <row r="23" customFormat="false" ht="15" hidden="false" customHeight="false" outlineLevel="0" collapsed="false">
      <c r="A23" s="32" t="n">
        <v>8</v>
      </c>
      <c r="B23" s="33"/>
      <c r="C23" s="34"/>
      <c r="D23" s="33"/>
      <c r="E23" s="33"/>
      <c r="F23" s="35"/>
      <c r="G23" s="35"/>
      <c r="H23" s="36"/>
      <c r="I23" s="37"/>
      <c r="J23" s="35"/>
      <c r="K23" s="33"/>
      <c r="L23" s="34"/>
      <c r="M23" s="38"/>
      <c r="N23" s="39"/>
      <c r="O23" s="40"/>
      <c r="P23" s="39"/>
      <c r="Q23" s="41"/>
      <c r="R23" s="34"/>
      <c r="S23" s="35"/>
      <c r="T23" s="34"/>
      <c r="U23" s="34"/>
      <c r="V23" s="39"/>
      <c r="W23" s="35"/>
      <c r="X23" s="35"/>
      <c r="Y23" s="39"/>
      <c r="Z23" s="35"/>
      <c r="AA23" s="34"/>
      <c r="AB23" s="35"/>
      <c r="AC23" s="34"/>
      <c r="AD23" s="42" t="str">
        <f aca="false">IF($C23="","",AnioEval-J23)</f>
        <v/>
      </c>
      <c r="AE23" s="43" t="str">
        <f aca="false">IF($C23="","",IFERROR(I23*AD23/H23,0))</f>
        <v/>
      </c>
      <c r="AF23" s="44" t="str">
        <f aca="false">IF($C23="","",IF(INDEX(MecTipo,MATCH(K23,MecList,0))="F",IFERROR(INDEX(SusDF,MATCH(L23,SusList,0)),1),LOOKUP(AE23,ArtLim,ArtDF)))</f>
        <v/>
      </c>
      <c r="AG23" s="44" t="str">
        <f aca="false">IF($C23="","",IF(ISNUMBER(M23),M23,AF23))</f>
        <v/>
      </c>
      <c r="AH23" s="45" t="str">
        <f aca="false">IF($C23="","",INDEX(GFFval,MATCH(D23,GFFtipo,0)))</f>
        <v/>
      </c>
      <c r="AI23" s="45" t="str">
        <f aca="false">IF($C23="","",AH23*AG23*FMS)</f>
        <v/>
      </c>
      <c r="AJ23" s="46" t="str">
        <f aca="false">IF($C23="","",AI23*N23)</f>
        <v/>
      </c>
      <c r="AK23" s="47" t="str">
        <f aca="false">IF($C23="","",IF(N(S23)=0,"No requerido",IF(AND(T23="Apto",U23="Pasa"),"APTO/PASA",IF(T23="No apto","NO APTO/REPARAR","REVISAR"))))</f>
        <v/>
      </c>
      <c r="AL23" s="44" t="str">
        <f aca="false">IF($C23="","",IF(AK23="NO APTO/REPARAR",1,MAX(1,AG23*INDEX(EffRet,MATCH(R23,EffList,0))*INDEX(FFSfac,MATCH(AK23,FFSlist,0)))))</f>
        <v/>
      </c>
      <c r="AM23" s="45" t="str">
        <f aca="false">IF($C23="","",AH23*AL23*FMS)</f>
        <v/>
      </c>
      <c r="AN23" s="46" t="str">
        <f aca="false">IF($C23="","",AM23*N23)</f>
        <v/>
      </c>
      <c r="AO23" s="46" t="str">
        <f aca="false">IF($C23="","",IFERROR(AH23*FMS*INDEX(DFrep,Z23)*INDEX(FCrep,MATCH(AA23,CatLet,0)),AJ23))</f>
        <v/>
      </c>
      <c r="AP23" s="46" t="str">
        <f aca="false">IF($C23="","",IFERROR(AH23*FMS*INDEX(DFrep,AB23)*INDEX(FCrep,MATCH(AC23,CatLet,0)),AN23))</f>
        <v/>
      </c>
      <c r="AQ23" s="48" t="str">
        <f aca="false">IF($C23="","",(1+SUMPRODUCT(--(AG23&gt;PcutDF)))&amp;CHOOSE(1+SUMPRODUCT(--(N23&gt;CcutFC)),"A","B","C","D","E"))</f>
        <v/>
      </c>
      <c r="AR23" s="48" t="str">
        <f aca="false">IF($C23="","",(1+SUMPRODUCT(--(AL23&gt;PcutDF)))&amp;CHOOSE(1+SUMPRODUCT(--(N23&gt;CcutFC)),"A","B","C","D","E"))</f>
        <v/>
      </c>
      <c r="AS23" s="48" t="str">
        <f aca="false">IF($C23="","",IF(AND(Z23&amp;AA23=AQ23,AB23&amp;AC23=AR23),"OK","REVISAR"))</f>
        <v/>
      </c>
      <c r="AT23" s="42" t="str">
        <f aca="false">IF($C23="","",IFERROR(INDEX(RAMlev,Z23,MATCH(AA23,CatLet,0)),""))</f>
        <v/>
      </c>
      <c r="AU23" s="42" t="str">
        <f aca="false">IF($C23="","",IFERROR(INDEX(RAMlev,AB23,MATCH(AC23,CatLet,0)),""))</f>
        <v/>
      </c>
      <c r="AV23" s="48" t="str">
        <f aca="false">IF($C23="","",IF(AU23="","",IF(AU23&lt;=ObjNivel,"Cumple","Excede")))</f>
        <v/>
      </c>
      <c r="AW23" s="46" t="str">
        <f aca="false">IF($C23="","",IF(Base="RAM",AO23,AJ23))</f>
        <v/>
      </c>
      <c r="AX23" s="46" t="str">
        <f aca="false">IF($C23="","",IF(Base="RAM",AP23,AN23))</f>
        <v/>
      </c>
      <c r="AY23" s="46" t="str">
        <f aca="false">IF($C23="","",AW23-AX23)</f>
        <v/>
      </c>
      <c r="AZ23" s="46" t="str">
        <f aca="false">IF($C23="","",AY23*N(O23))</f>
        <v/>
      </c>
      <c r="BA23" s="46" t="str">
        <f aca="false">IF($C23="","",AY23-AZ23)</f>
        <v/>
      </c>
      <c r="BB23" s="46" t="str">
        <f aca="false">IF($C23="","",IFERROR(P23*(1/W23-1/X23),0))</f>
        <v/>
      </c>
      <c r="BC23" s="46" t="str">
        <f aca="false">IF($C23="","",IFERROR(Y23*(1/W23-1/X23),0))</f>
        <v/>
      </c>
      <c r="BD23" s="46" t="str">
        <f aca="false">IF($C23="","",AY23+BB23+BC23)</f>
        <v/>
      </c>
      <c r="BE23" s="46" t="str">
        <f aca="false">IF($C23="","",P23+INDEX(FFScost,N(S23)+1)+IF(AK23="NO APTO/REPARAR",N(V23),0)+RBIimpl)</f>
        <v/>
      </c>
      <c r="BF23" s="43" t="str">
        <f aca="false">IF($C23="","",IF(Q23=0,Horiz,(1-(1+Q23)^(-Horiz))/Q23))</f>
        <v/>
      </c>
      <c r="BG23" s="46" t="str">
        <f aca="false">IF($C23="","",BD23*BF23)</f>
        <v/>
      </c>
      <c r="BH23" s="49" t="str">
        <f aca="false">IF($C23="","",IFERROR(BG23/BE23,0))</f>
        <v/>
      </c>
      <c r="BI23" s="50" t="str">
        <f aca="false">IF($C23="","",BG23-BE23)</f>
        <v/>
      </c>
      <c r="BJ23" s="51" t="str">
        <f aca="false">IF($C23="","",IFERROR((Horiz*BD23-BE23)/BE23,0))</f>
        <v/>
      </c>
      <c r="BK23" s="52" t="str">
        <f aca="false">IF($C23="","",IF(BD23&gt;0,BE23/BD23,"No recupera"))</f>
        <v/>
      </c>
      <c r="BL23" s="52" t="str">
        <f aca="false">IF($C23="","",IF(BD23&lt;=0,"No recupera",IF(Q23=0,BE23/BD23,IFERROR(-LN(1-BE23*Q23/BD23)/LN(1+Q23),"No recupera"))))</f>
        <v/>
      </c>
      <c r="BM23" s="50" t="str">
        <f aca="false">IF($C23="","",BD23-BE23/BF23)</f>
        <v/>
      </c>
      <c r="BN23" s="47" t="str">
        <f aca="false">IF($C23="","",IF(BH23&gt;1,"ACEPTABLE","NO ACEPTABLE"))</f>
        <v/>
      </c>
      <c r="BO23" s="50" t="str">
        <f aca="false">IF($C23="","",-$BE23+IF($Q23=0,$BD23*MIN(BO$15,Horiz),$BD23*(1-(1+$Q23)^(-MIN(BO$15,Horiz)))/$Q23))</f>
        <v/>
      </c>
      <c r="BP23" s="50" t="str">
        <f aca="false">IF($C23="","",-$BE23+IF($Q23=0,$BD23*MIN(BP$15,Horiz),$BD23*(1-(1+$Q23)^(-MIN(BP$15,Horiz)))/$Q23))</f>
        <v/>
      </c>
      <c r="BQ23" s="50" t="str">
        <f aca="false">IF($C23="","",-$BE23+IF($Q23=0,$BD23*MIN(BQ$15,Horiz),$BD23*(1-(1+$Q23)^(-MIN(BQ$15,Horiz)))/$Q23))</f>
        <v/>
      </c>
      <c r="BR23" s="50" t="str">
        <f aca="false">IF($C23="","",-$BE23+IF($Q23=0,$BD23*MIN(BR$15,Horiz),$BD23*(1-(1+$Q23)^(-MIN(BR$15,Horiz)))/$Q23))</f>
        <v/>
      </c>
      <c r="BS23" s="50" t="str">
        <f aca="false">IF($C23="","",-$BE23+IF($Q23=0,$BD23*MIN(BS$15,Horiz),$BD23*(1-(1+$Q23)^(-MIN(BS$15,Horiz)))/$Q23))</f>
        <v/>
      </c>
      <c r="BT23" s="50" t="str">
        <f aca="false">IF($C23="","",-$BE23+IF($Q23=0,$BD23*MIN(BT$15,Horiz),$BD23*(1-(1+$Q23)^(-MIN(BT$15,Horiz)))/$Q23))</f>
        <v/>
      </c>
      <c r="BU23" s="50" t="str">
        <f aca="false">IF($C23="","",-$BE23+IF($Q23=0,$BD23*MIN(BU$15,Horiz),$BD23*(1-(1+$Q23)^(-MIN(BU$15,Horiz)))/$Q23))</f>
        <v/>
      </c>
      <c r="BV23" s="50" t="str">
        <f aca="false">IF($C23="","",-$BE23+IF($Q23=0,$BD23*MIN(BV$15,Horiz),$BD23*(1-(1+$Q23)^(-MIN(BV$15,Horiz)))/$Q23))</f>
        <v/>
      </c>
      <c r="BW23" s="50" t="str">
        <f aca="false">IF($C23="","",-$BE23+IF($Q23=0,$BD23*MIN(BW$15,Horiz),$BD23*(1-(1+$Q23)^(-MIN(BW$15,Horiz)))/$Q23))</f>
        <v/>
      </c>
      <c r="BX23" s="50" t="str">
        <f aca="false">IF($C23="","",-$BE23+IF($Q23=0,$BD23*MIN(BX$15,Horiz),$BD23*(1-(1+$Q23)^(-MIN(BX$15,Horiz)))/$Q23))</f>
        <v/>
      </c>
      <c r="BY23" s="50" t="str">
        <f aca="false">IF($C23="","",-$BE23+IF($Q23=0,$BD23*MIN(BY$15,Horiz),$BD23*(1-(1+$Q23)^(-MIN(BY$15,Horiz)))/$Q23))</f>
        <v/>
      </c>
      <c r="BZ23" s="50" t="str">
        <f aca="false">IF($C23="","",-$BE23+IF($Q23=0,$BD23*MIN(BZ$15,Horiz),$BD23*(1-(1+$Q23)^(-MIN(BZ$15,Horiz)))/$Q23))</f>
        <v/>
      </c>
      <c r="CA23" s="50" t="str">
        <f aca="false">IF($C23="","",-$BE23+IF($Q23=0,$BD23*MIN(CA$15,Horiz),$BD23*(1-(1+$Q23)^(-MIN(CA$15,Horiz)))/$Q23))</f>
        <v/>
      </c>
      <c r="CB23" s="50" t="str">
        <f aca="false">IF($C23="","",-$BE23+IF($Q23=0,$BD23*MIN(CB$15,Horiz),$BD23*(1-(1+$Q23)^(-MIN(CB$15,Horiz)))/$Q23))</f>
        <v/>
      </c>
      <c r="CC23" s="50" t="str">
        <f aca="false">IF($C23="","",-$BE23+IF($Q23=0,$BD23*MIN(CC$15,Horiz),$BD23*(1-(1+$Q23)^(-MIN(CC$15,Horiz)))/$Q23))</f>
        <v/>
      </c>
      <c r="CD23" s="50" t="str">
        <f aca="false">IF($C23="","",-$BE23+IF($Q23=0,$BD23*MIN(CD$15,Horiz),$BD23*(1-(1+$Q23)^(-MIN(CD$15,Horiz)))/$Q23))</f>
        <v/>
      </c>
    </row>
    <row r="24" customFormat="false" ht="15" hidden="false" customHeight="false" outlineLevel="0" collapsed="false">
      <c r="A24" s="32" t="n">
        <v>9</v>
      </c>
      <c r="B24" s="33"/>
      <c r="C24" s="34"/>
      <c r="D24" s="33"/>
      <c r="E24" s="33"/>
      <c r="F24" s="35"/>
      <c r="G24" s="35"/>
      <c r="H24" s="36"/>
      <c r="I24" s="37"/>
      <c r="J24" s="35"/>
      <c r="K24" s="33"/>
      <c r="L24" s="34"/>
      <c r="M24" s="38"/>
      <c r="N24" s="39"/>
      <c r="O24" s="40"/>
      <c r="P24" s="39"/>
      <c r="Q24" s="41"/>
      <c r="R24" s="34"/>
      <c r="S24" s="35"/>
      <c r="T24" s="34"/>
      <c r="U24" s="34"/>
      <c r="V24" s="39"/>
      <c r="W24" s="35"/>
      <c r="X24" s="35"/>
      <c r="Y24" s="39"/>
      <c r="Z24" s="35"/>
      <c r="AA24" s="34"/>
      <c r="AB24" s="35"/>
      <c r="AC24" s="34"/>
      <c r="AD24" s="42" t="str">
        <f aca="false">IF($C24="","",AnioEval-J24)</f>
        <v/>
      </c>
      <c r="AE24" s="43" t="str">
        <f aca="false">IF($C24="","",IFERROR(I24*AD24/H24,0))</f>
        <v/>
      </c>
      <c r="AF24" s="44" t="str">
        <f aca="false">IF($C24="","",IF(INDEX(MecTipo,MATCH(K24,MecList,0))="F",IFERROR(INDEX(SusDF,MATCH(L24,SusList,0)),1),LOOKUP(AE24,ArtLim,ArtDF)))</f>
        <v/>
      </c>
      <c r="AG24" s="44" t="str">
        <f aca="false">IF($C24="","",IF(ISNUMBER(M24),M24,AF24))</f>
        <v/>
      </c>
      <c r="AH24" s="45" t="str">
        <f aca="false">IF($C24="","",INDEX(GFFval,MATCH(D24,GFFtipo,0)))</f>
        <v/>
      </c>
      <c r="AI24" s="45" t="str">
        <f aca="false">IF($C24="","",AH24*AG24*FMS)</f>
        <v/>
      </c>
      <c r="AJ24" s="46" t="str">
        <f aca="false">IF($C24="","",AI24*N24)</f>
        <v/>
      </c>
      <c r="AK24" s="47" t="str">
        <f aca="false">IF($C24="","",IF(N(S24)=0,"No requerido",IF(AND(T24="Apto",U24="Pasa"),"APTO/PASA",IF(T24="No apto","NO APTO/REPARAR","REVISAR"))))</f>
        <v/>
      </c>
      <c r="AL24" s="44" t="str">
        <f aca="false">IF($C24="","",IF(AK24="NO APTO/REPARAR",1,MAX(1,AG24*INDEX(EffRet,MATCH(R24,EffList,0))*INDEX(FFSfac,MATCH(AK24,FFSlist,0)))))</f>
        <v/>
      </c>
      <c r="AM24" s="45" t="str">
        <f aca="false">IF($C24="","",AH24*AL24*FMS)</f>
        <v/>
      </c>
      <c r="AN24" s="46" t="str">
        <f aca="false">IF($C24="","",AM24*N24)</f>
        <v/>
      </c>
      <c r="AO24" s="46" t="str">
        <f aca="false">IF($C24="","",IFERROR(AH24*FMS*INDEX(DFrep,Z24)*INDEX(FCrep,MATCH(AA24,CatLet,0)),AJ24))</f>
        <v/>
      </c>
      <c r="AP24" s="46" t="str">
        <f aca="false">IF($C24="","",IFERROR(AH24*FMS*INDEX(DFrep,AB24)*INDEX(FCrep,MATCH(AC24,CatLet,0)),AN24))</f>
        <v/>
      </c>
      <c r="AQ24" s="48" t="str">
        <f aca="false">IF($C24="","",(1+SUMPRODUCT(--(AG24&gt;PcutDF)))&amp;CHOOSE(1+SUMPRODUCT(--(N24&gt;CcutFC)),"A","B","C","D","E"))</f>
        <v/>
      </c>
      <c r="AR24" s="48" t="str">
        <f aca="false">IF($C24="","",(1+SUMPRODUCT(--(AL24&gt;PcutDF)))&amp;CHOOSE(1+SUMPRODUCT(--(N24&gt;CcutFC)),"A","B","C","D","E"))</f>
        <v/>
      </c>
      <c r="AS24" s="48" t="str">
        <f aca="false">IF($C24="","",IF(AND(Z24&amp;AA24=AQ24,AB24&amp;AC24=AR24),"OK","REVISAR"))</f>
        <v/>
      </c>
      <c r="AT24" s="42" t="str">
        <f aca="false">IF($C24="","",IFERROR(INDEX(RAMlev,Z24,MATCH(AA24,CatLet,0)),""))</f>
        <v/>
      </c>
      <c r="AU24" s="42" t="str">
        <f aca="false">IF($C24="","",IFERROR(INDEX(RAMlev,AB24,MATCH(AC24,CatLet,0)),""))</f>
        <v/>
      </c>
      <c r="AV24" s="48" t="str">
        <f aca="false">IF($C24="","",IF(AU24="","",IF(AU24&lt;=ObjNivel,"Cumple","Excede")))</f>
        <v/>
      </c>
      <c r="AW24" s="46" t="str">
        <f aca="false">IF($C24="","",IF(Base="RAM",AO24,AJ24))</f>
        <v/>
      </c>
      <c r="AX24" s="46" t="str">
        <f aca="false">IF($C24="","",IF(Base="RAM",AP24,AN24))</f>
        <v/>
      </c>
      <c r="AY24" s="46" t="str">
        <f aca="false">IF($C24="","",AW24-AX24)</f>
        <v/>
      </c>
      <c r="AZ24" s="46" t="str">
        <f aca="false">IF($C24="","",AY24*N(O24))</f>
        <v/>
      </c>
      <c r="BA24" s="46" t="str">
        <f aca="false">IF($C24="","",AY24-AZ24)</f>
        <v/>
      </c>
      <c r="BB24" s="46" t="str">
        <f aca="false">IF($C24="","",IFERROR(P24*(1/W24-1/X24),0))</f>
        <v/>
      </c>
      <c r="BC24" s="46" t="str">
        <f aca="false">IF($C24="","",IFERROR(Y24*(1/W24-1/X24),0))</f>
        <v/>
      </c>
      <c r="BD24" s="46" t="str">
        <f aca="false">IF($C24="","",AY24+BB24+BC24)</f>
        <v/>
      </c>
      <c r="BE24" s="46" t="str">
        <f aca="false">IF($C24="","",P24+INDEX(FFScost,N(S24)+1)+IF(AK24="NO APTO/REPARAR",N(V24),0)+RBIimpl)</f>
        <v/>
      </c>
      <c r="BF24" s="43" t="str">
        <f aca="false">IF($C24="","",IF(Q24=0,Horiz,(1-(1+Q24)^(-Horiz))/Q24))</f>
        <v/>
      </c>
      <c r="BG24" s="46" t="str">
        <f aca="false">IF($C24="","",BD24*BF24)</f>
        <v/>
      </c>
      <c r="BH24" s="49" t="str">
        <f aca="false">IF($C24="","",IFERROR(BG24/BE24,0))</f>
        <v/>
      </c>
      <c r="BI24" s="50" t="str">
        <f aca="false">IF($C24="","",BG24-BE24)</f>
        <v/>
      </c>
      <c r="BJ24" s="51" t="str">
        <f aca="false">IF($C24="","",IFERROR((Horiz*BD24-BE24)/BE24,0))</f>
        <v/>
      </c>
      <c r="BK24" s="52" t="str">
        <f aca="false">IF($C24="","",IF(BD24&gt;0,BE24/BD24,"No recupera"))</f>
        <v/>
      </c>
      <c r="BL24" s="52" t="str">
        <f aca="false">IF($C24="","",IF(BD24&lt;=0,"No recupera",IF(Q24=0,BE24/BD24,IFERROR(-LN(1-BE24*Q24/BD24)/LN(1+Q24),"No recupera"))))</f>
        <v/>
      </c>
      <c r="BM24" s="50" t="str">
        <f aca="false">IF($C24="","",BD24-BE24/BF24)</f>
        <v/>
      </c>
      <c r="BN24" s="47" t="str">
        <f aca="false">IF($C24="","",IF(BH24&gt;1,"ACEPTABLE","NO ACEPTABLE"))</f>
        <v/>
      </c>
      <c r="BO24" s="50" t="str">
        <f aca="false">IF($C24="","",-$BE24+IF($Q24=0,$BD24*MIN(BO$15,Horiz),$BD24*(1-(1+$Q24)^(-MIN(BO$15,Horiz)))/$Q24))</f>
        <v/>
      </c>
      <c r="BP24" s="50" t="str">
        <f aca="false">IF($C24="","",-$BE24+IF($Q24=0,$BD24*MIN(BP$15,Horiz),$BD24*(1-(1+$Q24)^(-MIN(BP$15,Horiz)))/$Q24))</f>
        <v/>
      </c>
      <c r="BQ24" s="50" t="str">
        <f aca="false">IF($C24="","",-$BE24+IF($Q24=0,$BD24*MIN(BQ$15,Horiz),$BD24*(1-(1+$Q24)^(-MIN(BQ$15,Horiz)))/$Q24))</f>
        <v/>
      </c>
      <c r="BR24" s="50" t="str">
        <f aca="false">IF($C24="","",-$BE24+IF($Q24=0,$BD24*MIN(BR$15,Horiz),$BD24*(1-(1+$Q24)^(-MIN(BR$15,Horiz)))/$Q24))</f>
        <v/>
      </c>
      <c r="BS24" s="50" t="str">
        <f aca="false">IF($C24="","",-$BE24+IF($Q24=0,$BD24*MIN(BS$15,Horiz),$BD24*(1-(1+$Q24)^(-MIN(BS$15,Horiz)))/$Q24))</f>
        <v/>
      </c>
      <c r="BT24" s="50" t="str">
        <f aca="false">IF($C24="","",-$BE24+IF($Q24=0,$BD24*MIN(BT$15,Horiz),$BD24*(1-(1+$Q24)^(-MIN(BT$15,Horiz)))/$Q24))</f>
        <v/>
      </c>
      <c r="BU24" s="50" t="str">
        <f aca="false">IF($C24="","",-$BE24+IF($Q24=0,$BD24*MIN(BU$15,Horiz),$BD24*(1-(1+$Q24)^(-MIN(BU$15,Horiz)))/$Q24))</f>
        <v/>
      </c>
      <c r="BV24" s="50" t="str">
        <f aca="false">IF($C24="","",-$BE24+IF($Q24=0,$BD24*MIN(BV$15,Horiz),$BD24*(1-(1+$Q24)^(-MIN(BV$15,Horiz)))/$Q24))</f>
        <v/>
      </c>
      <c r="BW24" s="50" t="str">
        <f aca="false">IF($C24="","",-$BE24+IF($Q24=0,$BD24*MIN(BW$15,Horiz),$BD24*(1-(1+$Q24)^(-MIN(BW$15,Horiz)))/$Q24))</f>
        <v/>
      </c>
      <c r="BX24" s="50" t="str">
        <f aca="false">IF($C24="","",-$BE24+IF($Q24=0,$BD24*MIN(BX$15,Horiz),$BD24*(1-(1+$Q24)^(-MIN(BX$15,Horiz)))/$Q24))</f>
        <v/>
      </c>
      <c r="BY24" s="50" t="str">
        <f aca="false">IF($C24="","",-$BE24+IF($Q24=0,$BD24*MIN(BY$15,Horiz),$BD24*(1-(1+$Q24)^(-MIN(BY$15,Horiz)))/$Q24))</f>
        <v/>
      </c>
      <c r="BZ24" s="50" t="str">
        <f aca="false">IF($C24="","",-$BE24+IF($Q24=0,$BD24*MIN(BZ$15,Horiz),$BD24*(1-(1+$Q24)^(-MIN(BZ$15,Horiz)))/$Q24))</f>
        <v/>
      </c>
      <c r="CA24" s="50" t="str">
        <f aca="false">IF($C24="","",-$BE24+IF($Q24=0,$BD24*MIN(CA$15,Horiz),$BD24*(1-(1+$Q24)^(-MIN(CA$15,Horiz)))/$Q24))</f>
        <v/>
      </c>
      <c r="CB24" s="50" t="str">
        <f aca="false">IF($C24="","",-$BE24+IF($Q24=0,$BD24*MIN(CB$15,Horiz),$BD24*(1-(1+$Q24)^(-MIN(CB$15,Horiz)))/$Q24))</f>
        <v/>
      </c>
      <c r="CC24" s="50" t="str">
        <f aca="false">IF($C24="","",-$BE24+IF($Q24=0,$BD24*MIN(CC$15,Horiz),$BD24*(1-(1+$Q24)^(-MIN(CC$15,Horiz)))/$Q24))</f>
        <v/>
      </c>
      <c r="CD24" s="50" t="str">
        <f aca="false">IF($C24="","",-$BE24+IF($Q24=0,$BD24*MIN(CD$15,Horiz),$BD24*(1-(1+$Q24)^(-MIN(CD$15,Horiz)))/$Q24))</f>
        <v/>
      </c>
    </row>
    <row r="25" customFormat="false" ht="15" hidden="false" customHeight="false" outlineLevel="0" collapsed="false">
      <c r="A25" s="32" t="n">
        <v>10</v>
      </c>
      <c r="B25" s="33"/>
      <c r="C25" s="34"/>
      <c r="D25" s="33"/>
      <c r="E25" s="33"/>
      <c r="F25" s="35"/>
      <c r="G25" s="35"/>
      <c r="H25" s="36"/>
      <c r="I25" s="37"/>
      <c r="J25" s="35"/>
      <c r="K25" s="33"/>
      <c r="L25" s="34"/>
      <c r="M25" s="38"/>
      <c r="N25" s="39"/>
      <c r="O25" s="40"/>
      <c r="P25" s="39"/>
      <c r="Q25" s="41"/>
      <c r="R25" s="34"/>
      <c r="S25" s="35"/>
      <c r="T25" s="34"/>
      <c r="U25" s="34"/>
      <c r="V25" s="39"/>
      <c r="W25" s="35"/>
      <c r="X25" s="35"/>
      <c r="Y25" s="39"/>
      <c r="Z25" s="35"/>
      <c r="AA25" s="34"/>
      <c r="AB25" s="35"/>
      <c r="AC25" s="34"/>
      <c r="AD25" s="42" t="str">
        <f aca="false">IF($C25="","",AnioEval-J25)</f>
        <v/>
      </c>
      <c r="AE25" s="43" t="str">
        <f aca="false">IF($C25="","",IFERROR(I25*AD25/H25,0))</f>
        <v/>
      </c>
      <c r="AF25" s="44" t="str">
        <f aca="false">IF($C25="","",IF(INDEX(MecTipo,MATCH(K25,MecList,0))="F",IFERROR(INDEX(SusDF,MATCH(L25,SusList,0)),1),LOOKUP(AE25,ArtLim,ArtDF)))</f>
        <v/>
      </c>
      <c r="AG25" s="44" t="str">
        <f aca="false">IF($C25="","",IF(ISNUMBER(M25),M25,AF25))</f>
        <v/>
      </c>
      <c r="AH25" s="45" t="str">
        <f aca="false">IF($C25="","",INDEX(GFFval,MATCH(D25,GFFtipo,0)))</f>
        <v/>
      </c>
      <c r="AI25" s="45" t="str">
        <f aca="false">IF($C25="","",AH25*AG25*FMS)</f>
        <v/>
      </c>
      <c r="AJ25" s="46" t="str">
        <f aca="false">IF($C25="","",AI25*N25)</f>
        <v/>
      </c>
      <c r="AK25" s="47" t="str">
        <f aca="false">IF($C25="","",IF(N(S25)=0,"No requerido",IF(AND(T25="Apto",U25="Pasa"),"APTO/PASA",IF(T25="No apto","NO APTO/REPARAR","REVISAR"))))</f>
        <v/>
      </c>
      <c r="AL25" s="44" t="str">
        <f aca="false">IF($C25="","",IF(AK25="NO APTO/REPARAR",1,MAX(1,AG25*INDEX(EffRet,MATCH(R25,EffList,0))*INDEX(FFSfac,MATCH(AK25,FFSlist,0)))))</f>
        <v/>
      </c>
      <c r="AM25" s="45" t="str">
        <f aca="false">IF($C25="","",AH25*AL25*FMS)</f>
        <v/>
      </c>
      <c r="AN25" s="46" t="str">
        <f aca="false">IF($C25="","",AM25*N25)</f>
        <v/>
      </c>
      <c r="AO25" s="46" t="str">
        <f aca="false">IF($C25="","",IFERROR(AH25*FMS*INDEX(DFrep,Z25)*INDEX(FCrep,MATCH(AA25,CatLet,0)),AJ25))</f>
        <v/>
      </c>
      <c r="AP25" s="46" t="str">
        <f aca="false">IF($C25="","",IFERROR(AH25*FMS*INDEX(DFrep,AB25)*INDEX(FCrep,MATCH(AC25,CatLet,0)),AN25))</f>
        <v/>
      </c>
      <c r="AQ25" s="48" t="str">
        <f aca="false">IF($C25="","",(1+SUMPRODUCT(--(AG25&gt;PcutDF)))&amp;CHOOSE(1+SUMPRODUCT(--(N25&gt;CcutFC)),"A","B","C","D","E"))</f>
        <v/>
      </c>
      <c r="AR25" s="48" t="str">
        <f aca="false">IF($C25="","",(1+SUMPRODUCT(--(AL25&gt;PcutDF)))&amp;CHOOSE(1+SUMPRODUCT(--(N25&gt;CcutFC)),"A","B","C","D","E"))</f>
        <v/>
      </c>
      <c r="AS25" s="48" t="str">
        <f aca="false">IF($C25="","",IF(AND(Z25&amp;AA25=AQ25,AB25&amp;AC25=AR25),"OK","REVISAR"))</f>
        <v/>
      </c>
      <c r="AT25" s="42" t="str">
        <f aca="false">IF($C25="","",IFERROR(INDEX(RAMlev,Z25,MATCH(AA25,CatLet,0)),""))</f>
        <v/>
      </c>
      <c r="AU25" s="42" t="str">
        <f aca="false">IF($C25="","",IFERROR(INDEX(RAMlev,AB25,MATCH(AC25,CatLet,0)),""))</f>
        <v/>
      </c>
      <c r="AV25" s="48" t="str">
        <f aca="false">IF($C25="","",IF(AU25="","",IF(AU25&lt;=ObjNivel,"Cumple","Excede")))</f>
        <v/>
      </c>
      <c r="AW25" s="46" t="str">
        <f aca="false">IF($C25="","",IF(Base="RAM",AO25,AJ25))</f>
        <v/>
      </c>
      <c r="AX25" s="46" t="str">
        <f aca="false">IF($C25="","",IF(Base="RAM",AP25,AN25))</f>
        <v/>
      </c>
      <c r="AY25" s="46" t="str">
        <f aca="false">IF($C25="","",AW25-AX25)</f>
        <v/>
      </c>
      <c r="AZ25" s="46" t="str">
        <f aca="false">IF($C25="","",AY25*N(O25))</f>
        <v/>
      </c>
      <c r="BA25" s="46" t="str">
        <f aca="false">IF($C25="","",AY25-AZ25)</f>
        <v/>
      </c>
      <c r="BB25" s="46" t="str">
        <f aca="false">IF($C25="","",IFERROR(P25*(1/W25-1/X25),0))</f>
        <v/>
      </c>
      <c r="BC25" s="46" t="str">
        <f aca="false">IF($C25="","",IFERROR(Y25*(1/W25-1/X25),0))</f>
        <v/>
      </c>
      <c r="BD25" s="46" t="str">
        <f aca="false">IF($C25="","",AY25+BB25+BC25)</f>
        <v/>
      </c>
      <c r="BE25" s="46" t="str">
        <f aca="false">IF($C25="","",P25+INDEX(FFScost,N(S25)+1)+IF(AK25="NO APTO/REPARAR",N(V25),0)+RBIimpl)</f>
        <v/>
      </c>
      <c r="BF25" s="43" t="str">
        <f aca="false">IF($C25="","",IF(Q25=0,Horiz,(1-(1+Q25)^(-Horiz))/Q25))</f>
        <v/>
      </c>
      <c r="BG25" s="46" t="str">
        <f aca="false">IF($C25="","",BD25*BF25)</f>
        <v/>
      </c>
      <c r="BH25" s="49" t="str">
        <f aca="false">IF($C25="","",IFERROR(BG25/BE25,0))</f>
        <v/>
      </c>
      <c r="BI25" s="50" t="str">
        <f aca="false">IF($C25="","",BG25-BE25)</f>
        <v/>
      </c>
      <c r="BJ25" s="51" t="str">
        <f aca="false">IF($C25="","",IFERROR((Horiz*BD25-BE25)/BE25,0))</f>
        <v/>
      </c>
      <c r="BK25" s="52" t="str">
        <f aca="false">IF($C25="","",IF(BD25&gt;0,BE25/BD25,"No recupera"))</f>
        <v/>
      </c>
      <c r="BL25" s="52" t="str">
        <f aca="false">IF($C25="","",IF(BD25&lt;=0,"No recupera",IF(Q25=0,BE25/BD25,IFERROR(-LN(1-BE25*Q25/BD25)/LN(1+Q25),"No recupera"))))</f>
        <v/>
      </c>
      <c r="BM25" s="50" t="str">
        <f aca="false">IF($C25="","",BD25-BE25/BF25)</f>
        <v/>
      </c>
      <c r="BN25" s="47" t="str">
        <f aca="false">IF($C25="","",IF(BH25&gt;1,"ACEPTABLE","NO ACEPTABLE"))</f>
        <v/>
      </c>
      <c r="BO25" s="50" t="str">
        <f aca="false">IF($C25="","",-$BE25+IF($Q25=0,$BD25*MIN(BO$15,Horiz),$BD25*(1-(1+$Q25)^(-MIN(BO$15,Horiz)))/$Q25))</f>
        <v/>
      </c>
      <c r="BP25" s="50" t="str">
        <f aca="false">IF($C25="","",-$BE25+IF($Q25=0,$BD25*MIN(BP$15,Horiz),$BD25*(1-(1+$Q25)^(-MIN(BP$15,Horiz)))/$Q25))</f>
        <v/>
      </c>
      <c r="BQ25" s="50" t="str">
        <f aca="false">IF($C25="","",-$BE25+IF($Q25=0,$BD25*MIN(BQ$15,Horiz),$BD25*(1-(1+$Q25)^(-MIN(BQ$15,Horiz)))/$Q25))</f>
        <v/>
      </c>
      <c r="BR25" s="50" t="str">
        <f aca="false">IF($C25="","",-$BE25+IF($Q25=0,$BD25*MIN(BR$15,Horiz),$BD25*(1-(1+$Q25)^(-MIN(BR$15,Horiz)))/$Q25))</f>
        <v/>
      </c>
      <c r="BS25" s="50" t="str">
        <f aca="false">IF($C25="","",-$BE25+IF($Q25=0,$BD25*MIN(BS$15,Horiz),$BD25*(1-(1+$Q25)^(-MIN(BS$15,Horiz)))/$Q25))</f>
        <v/>
      </c>
      <c r="BT25" s="50" t="str">
        <f aca="false">IF($C25="","",-$BE25+IF($Q25=0,$BD25*MIN(BT$15,Horiz),$BD25*(1-(1+$Q25)^(-MIN(BT$15,Horiz)))/$Q25))</f>
        <v/>
      </c>
      <c r="BU25" s="50" t="str">
        <f aca="false">IF($C25="","",-$BE25+IF($Q25=0,$BD25*MIN(BU$15,Horiz),$BD25*(1-(1+$Q25)^(-MIN(BU$15,Horiz)))/$Q25))</f>
        <v/>
      </c>
      <c r="BV25" s="50" t="str">
        <f aca="false">IF($C25="","",-$BE25+IF($Q25=0,$BD25*MIN(BV$15,Horiz),$BD25*(1-(1+$Q25)^(-MIN(BV$15,Horiz)))/$Q25))</f>
        <v/>
      </c>
      <c r="BW25" s="50" t="str">
        <f aca="false">IF($C25="","",-$BE25+IF($Q25=0,$BD25*MIN(BW$15,Horiz),$BD25*(1-(1+$Q25)^(-MIN(BW$15,Horiz)))/$Q25))</f>
        <v/>
      </c>
      <c r="BX25" s="50" t="str">
        <f aca="false">IF($C25="","",-$BE25+IF($Q25=0,$BD25*MIN(BX$15,Horiz),$BD25*(1-(1+$Q25)^(-MIN(BX$15,Horiz)))/$Q25))</f>
        <v/>
      </c>
      <c r="BY25" s="50" t="str">
        <f aca="false">IF($C25="","",-$BE25+IF($Q25=0,$BD25*MIN(BY$15,Horiz),$BD25*(1-(1+$Q25)^(-MIN(BY$15,Horiz)))/$Q25))</f>
        <v/>
      </c>
      <c r="BZ25" s="50" t="str">
        <f aca="false">IF($C25="","",-$BE25+IF($Q25=0,$BD25*MIN(BZ$15,Horiz),$BD25*(1-(1+$Q25)^(-MIN(BZ$15,Horiz)))/$Q25))</f>
        <v/>
      </c>
      <c r="CA25" s="50" t="str">
        <f aca="false">IF($C25="","",-$BE25+IF($Q25=0,$BD25*MIN(CA$15,Horiz),$BD25*(1-(1+$Q25)^(-MIN(CA$15,Horiz)))/$Q25))</f>
        <v/>
      </c>
      <c r="CB25" s="50" t="str">
        <f aca="false">IF($C25="","",-$BE25+IF($Q25=0,$BD25*MIN(CB$15,Horiz),$BD25*(1-(1+$Q25)^(-MIN(CB$15,Horiz)))/$Q25))</f>
        <v/>
      </c>
      <c r="CC25" s="50" t="str">
        <f aca="false">IF($C25="","",-$BE25+IF($Q25=0,$BD25*MIN(CC$15,Horiz),$BD25*(1-(1+$Q25)^(-MIN(CC$15,Horiz)))/$Q25))</f>
        <v/>
      </c>
      <c r="CD25" s="50" t="str">
        <f aca="false">IF($C25="","",-$BE25+IF($Q25=0,$BD25*MIN(CD$15,Horiz),$BD25*(1-(1+$Q25)^(-MIN(CD$15,Horiz)))/$Q25))</f>
        <v/>
      </c>
    </row>
    <row r="26" customFormat="false" ht="15" hidden="false" customHeight="false" outlineLevel="0" collapsed="false">
      <c r="A26" s="32" t="n">
        <v>11</v>
      </c>
      <c r="B26" s="33"/>
      <c r="C26" s="34"/>
      <c r="D26" s="33"/>
      <c r="E26" s="33"/>
      <c r="F26" s="35"/>
      <c r="G26" s="35"/>
      <c r="H26" s="36"/>
      <c r="I26" s="37"/>
      <c r="J26" s="35"/>
      <c r="K26" s="33"/>
      <c r="L26" s="34"/>
      <c r="M26" s="38"/>
      <c r="N26" s="39"/>
      <c r="O26" s="40"/>
      <c r="P26" s="39"/>
      <c r="Q26" s="41"/>
      <c r="R26" s="34"/>
      <c r="S26" s="35"/>
      <c r="T26" s="34"/>
      <c r="U26" s="34"/>
      <c r="V26" s="39"/>
      <c r="W26" s="35"/>
      <c r="X26" s="35"/>
      <c r="Y26" s="39"/>
      <c r="Z26" s="35"/>
      <c r="AA26" s="34"/>
      <c r="AB26" s="35"/>
      <c r="AC26" s="34"/>
      <c r="AD26" s="42" t="str">
        <f aca="false">IF($C26="","",AnioEval-J26)</f>
        <v/>
      </c>
      <c r="AE26" s="43" t="str">
        <f aca="false">IF($C26="","",IFERROR(I26*AD26/H26,0))</f>
        <v/>
      </c>
      <c r="AF26" s="44" t="str">
        <f aca="false">IF($C26="","",IF(INDEX(MecTipo,MATCH(K26,MecList,0))="F",IFERROR(INDEX(SusDF,MATCH(L26,SusList,0)),1),LOOKUP(AE26,ArtLim,ArtDF)))</f>
        <v/>
      </c>
      <c r="AG26" s="44" t="str">
        <f aca="false">IF($C26="","",IF(ISNUMBER(M26),M26,AF26))</f>
        <v/>
      </c>
      <c r="AH26" s="45" t="str">
        <f aca="false">IF($C26="","",INDEX(GFFval,MATCH(D26,GFFtipo,0)))</f>
        <v/>
      </c>
      <c r="AI26" s="45" t="str">
        <f aca="false">IF($C26="","",AH26*AG26*FMS)</f>
        <v/>
      </c>
      <c r="AJ26" s="46" t="str">
        <f aca="false">IF($C26="","",AI26*N26)</f>
        <v/>
      </c>
      <c r="AK26" s="47" t="str">
        <f aca="false">IF($C26="","",IF(N(S26)=0,"No requerido",IF(AND(T26="Apto",U26="Pasa"),"APTO/PASA",IF(T26="No apto","NO APTO/REPARAR","REVISAR"))))</f>
        <v/>
      </c>
      <c r="AL26" s="44" t="str">
        <f aca="false">IF($C26="","",IF(AK26="NO APTO/REPARAR",1,MAX(1,AG26*INDEX(EffRet,MATCH(R26,EffList,0))*INDEX(FFSfac,MATCH(AK26,FFSlist,0)))))</f>
        <v/>
      </c>
      <c r="AM26" s="45" t="str">
        <f aca="false">IF($C26="","",AH26*AL26*FMS)</f>
        <v/>
      </c>
      <c r="AN26" s="46" t="str">
        <f aca="false">IF($C26="","",AM26*N26)</f>
        <v/>
      </c>
      <c r="AO26" s="46" t="str">
        <f aca="false">IF($C26="","",IFERROR(AH26*FMS*INDEX(DFrep,Z26)*INDEX(FCrep,MATCH(AA26,CatLet,0)),AJ26))</f>
        <v/>
      </c>
      <c r="AP26" s="46" t="str">
        <f aca="false">IF($C26="","",IFERROR(AH26*FMS*INDEX(DFrep,AB26)*INDEX(FCrep,MATCH(AC26,CatLet,0)),AN26))</f>
        <v/>
      </c>
      <c r="AQ26" s="48" t="str">
        <f aca="false">IF($C26="","",(1+SUMPRODUCT(--(AG26&gt;PcutDF)))&amp;CHOOSE(1+SUMPRODUCT(--(N26&gt;CcutFC)),"A","B","C","D","E"))</f>
        <v/>
      </c>
      <c r="AR26" s="48" t="str">
        <f aca="false">IF($C26="","",(1+SUMPRODUCT(--(AL26&gt;PcutDF)))&amp;CHOOSE(1+SUMPRODUCT(--(N26&gt;CcutFC)),"A","B","C","D","E"))</f>
        <v/>
      </c>
      <c r="AS26" s="48" t="str">
        <f aca="false">IF($C26="","",IF(AND(Z26&amp;AA26=AQ26,AB26&amp;AC26=AR26),"OK","REVISAR"))</f>
        <v/>
      </c>
      <c r="AT26" s="42" t="str">
        <f aca="false">IF($C26="","",IFERROR(INDEX(RAMlev,Z26,MATCH(AA26,CatLet,0)),""))</f>
        <v/>
      </c>
      <c r="AU26" s="42" t="str">
        <f aca="false">IF($C26="","",IFERROR(INDEX(RAMlev,AB26,MATCH(AC26,CatLet,0)),""))</f>
        <v/>
      </c>
      <c r="AV26" s="48" t="str">
        <f aca="false">IF($C26="","",IF(AU26="","",IF(AU26&lt;=ObjNivel,"Cumple","Excede")))</f>
        <v/>
      </c>
      <c r="AW26" s="46" t="str">
        <f aca="false">IF($C26="","",IF(Base="RAM",AO26,AJ26))</f>
        <v/>
      </c>
      <c r="AX26" s="46" t="str">
        <f aca="false">IF($C26="","",IF(Base="RAM",AP26,AN26))</f>
        <v/>
      </c>
      <c r="AY26" s="46" t="str">
        <f aca="false">IF($C26="","",AW26-AX26)</f>
        <v/>
      </c>
      <c r="AZ26" s="46" t="str">
        <f aca="false">IF($C26="","",AY26*N(O26))</f>
        <v/>
      </c>
      <c r="BA26" s="46" t="str">
        <f aca="false">IF($C26="","",AY26-AZ26)</f>
        <v/>
      </c>
      <c r="BB26" s="46" t="str">
        <f aca="false">IF($C26="","",IFERROR(P26*(1/W26-1/X26),0))</f>
        <v/>
      </c>
      <c r="BC26" s="46" t="str">
        <f aca="false">IF($C26="","",IFERROR(Y26*(1/W26-1/X26),0))</f>
        <v/>
      </c>
      <c r="BD26" s="46" t="str">
        <f aca="false">IF($C26="","",AY26+BB26+BC26)</f>
        <v/>
      </c>
      <c r="BE26" s="46" t="str">
        <f aca="false">IF($C26="","",P26+INDEX(FFScost,N(S26)+1)+IF(AK26="NO APTO/REPARAR",N(V26),0)+RBIimpl)</f>
        <v/>
      </c>
      <c r="BF26" s="43" t="str">
        <f aca="false">IF($C26="","",IF(Q26=0,Horiz,(1-(1+Q26)^(-Horiz))/Q26))</f>
        <v/>
      </c>
      <c r="BG26" s="46" t="str">
        <f aca="false">IF($C26="","",BD26*BF26)</f>
        <v/>
      </c>
      <c r="BH26" s="49" t="str">
        <f aca="false">IF($C26="","",IFERROR(BG26/BE26,0))</f>
        <v/>
      </c>
      <c r="BI26" s="50" t="str">
        <f aca="false">IF($C26="","",BG26-BE26)</f>
        <v/>
      </c>
      <c r="BJ26" s="51" t="str">
        <f aca="false">IF($C26="","",IFERROR((Horiz*BD26-BE26)/BE26,0))</f>
        <v/>
      </c>
      <c r="BK26" s="52" t="str">
        <f aca="false">IF($C26="","",IF(BD26&gt;0,BE26/BD26,"No recupera"))</f>
        <v/>
      </c>
      <c r="BL26" s="52" t="str">
        <f aca="false">IF($C26="","",IF(BD26&lt;=0,"No recupera",IF(Q26=0,BE26/BD26,IFERROR(-LN(1-BE26*Q26/BD26)/LN(1+Q26),"No recupera"))))</f>
        <v/>
      </c>
      <c r="BM26" s="50" t="str">
        <f aca="false">IF($C26="","",BD26-BE26/BF26)</f>
        <v/>
      </c>
      <c r="BN26" s="47" t="str">
        <f aca="false">IF($C26="","",IF(BH26&gt;1,"ACEPTABLE","NO ACEPTABLE"))</f>
        <v/>
      </c>
      <c r="BO26" s="50" t="str">
        <f aca="false">IF($C26="","",-$BE26+IF($Q26=0,$BD26*MIN(BO$15,Horiz),$BD26*(1-(1+$Q26)^(-MIN(BO$15,Horiz)))/$Q26))</f>
        <v/>
      </c>
      <c r="BP26" s="50" t="str">
        <f aca="false">IF($C26="","",-$BE26+IF($Q26=0,$BD26*MIN(BP$15,Horiz),$BD26*(1-(1+$Q26)^(-MIN(BP$15,Horiz)))/$Q26))</f>
        <v/>
      </c>
      <c r="BQ26" s="50" t="str">
        <f aca="false">IF($C26="","",-$BE26+IF($Q26=0,$BD26*MIN(BQ$15,Horiz),$BD26*(1-(1+$Q26)^(-MIN(BQ$15,Horiz)))/$Q26))</f>
        <v/>
      </c>
      <c r="BR26" s="50" t="str">
        <f aca="false">IF($C26="","",-$BE26+IF($Q26=0,$BD26*MIN(BR$15,Horiz),$BD26*(1-(1+$Q26)^(-MIN(BR$15,Horiz)))/$Q26))</f>
        <v/>
      </c>
      <c r="BS26" s="50" t="str">
        <f aca="false">IF($C26="","",-$BE26+IF($Q26=0,$BD26*MIN(BS$15,Horiz),$BD26*(1-(1+$Q26)^(-MIN(BS$15,Horiz)))/$Q26))</f>
        <v/>
      </c>
      <c r="BT26" s="50" t="str">
        <f aca="false">IF($C26="","",-$BE26+IF($Q26=0,$BD26*MIN(BT$15,Horiz),$BD26*(1-(1+$Q26)^(-MIN(BT$15,Horiz)))/$Q26))</f>
        <v/>
      </c>
      <c r="BU26" s="50" t="str">
        <f aca="false">IF($C26="","",-$BE26+IF($Q26=0,$BD26*MIN(BU$15,Horiz),$BD26*(1-(1+$Q26)^(-MIN(BU$15,Horiz)))/$Q26))</f>
        <v/>
      </c>
      <c r="BV26" s="50" t="str">
        <f aca="false">IF($C26="","",-$BE26+IF($Q26=0,$BD26*MIN(BV$15,Horiz),$BD26*(1-(1+$Q26)^(-MIN(BV$15,Horiz)))/$Q26))</f>
        <v/>
      </c>
      <c r="BW26" s="50" t="str">
        <f aca="false">IF($C26="","",-$BE26+IF($Q26=0,$BD26*MIN(BW$15,Horiz),$BD26*(1-(1+$Q26)^(-MIN(BW$15,Horiz)))/$Q26))</f>
        <v/>
      </c>
      <c r="BX26" s="50" t="str">
        <f aca="false">IF($C26="","",-$BE26+IF($Q26=0,$BD26*MIN(BX$15,Horiz),$BD26*(1-(1+$Q26)^(-MIN(BX$15,Horiz)))/$Q26))</f>
        <v/>
      </c>
      <c r="BY26" s="50" t="str">
        <f aca="false">IF($C26="","",-$BE26+IF($Q26=0,$BD26*MIN(BY$15,Horiz),$BD26*(1-(1+$Q26)^(-MIN(BY$15,Horiz)))/$Q26))</f>
        <v/>
      </c>
      <c r="BZ26" s="50" t="str">
        <f aca="false">IF($C26="","",-$BE26+IF($Q26=0,$BD26*MIN(BZ$15,Horiz),$BD26*(1-(1+$Q26)^(-MIN(BZ$15,Horiz)))/$Q26))</f>
        <v/>
      </c>
      <c r="CA26" s="50" t="str">
        <f aca="false">IF($C26="","",-$BE26+IF($Q26=0,$BD26*MIN(CA$15,Horiz),$BD26*(1-(1+$Q26)^(-MIN(CA$15,Horiz)))/$Q26))</f>
        <v/>
      </c>
      <c r="CB26" s="50" t="str">
        <f aca="false">IF($C26="","",-$BE26+IF($Q26=0,$BD26*MIN(CB$15,Horiz),$BD26*(1-(1+$Q26)^(-MIN(CB$15,Horiz)))/$Q26))</f>
        <v/>
      </c>
      <c r="CC26" s="50" t="str">
        <f aca="false">IF($C26="","",-$BE26+IF($Q26=0,$BD26*MIN(CC$15,Horiz),$BD26*(1-(1+$Q26)^(-MIN(CC$15,Horiz)))/$Q26))</f>
        <v/>
      </c>
      <c r="CD26" s="50" t="str">
        <f aca="false">IF($C26="","",-$BE26+IF($Q26=0,$BD26*MIN(CD$15,Horiz),$BD26*(1-(1+$Q26)^(-MIN(CD$15,Horiz)))/$Q26))</f>
        <v/>
      </c>
    </row>
    <row r="27" customFormat="false" ht="15" hidden="false" customHeight="false" outlineLevel="0" collapsed="false">
      <c r="A27" s="32" t="n">
        <v>12</v>
      </c>
      <c r="B27" s="33"/>
      <c r="C27" s="34"/>
      <c r="D27" s="33"/>
      <c r="E27" s="33"/>
      <c r="F27" s="35"/>
      <c r="G27" s="35"/>
      <c r="H27" s="36"/>
      <c r="I27" s="37"/>
      <c r="J27" s="35"/>
      <c r="K27" s="33"/>
      <c r="L27" s="34"/>
      <c r="M27" s="38"/>
      <c r="N27" s="39"/>
      <c r="O27" s="40"/>
      <c r="P27" s="39"/>
      <c r="Q27" s="41"/>
      <c r="R27" s="34"/>
      <c r="S27" s="35"/>
      <c r="T27" s="34"/>
      <c r="U27" s="34"/>
      <c r="V27" s="39"/>
      <c r="W27" s="35"/>
      <c r="X27" s="35"/>
      <c r="Y27" s="39"/>
      <c r="Z27" s="35"/>
      <c r="AA27" s="34"/>
      <c r="AB27" s="35"/>
      <c r="AC27" s="34"/>
      <c r="AD27" s="42" t="str">
        <f aca="false">IF($C27="","",AnioEval-J27)</f>
        <v/>
      </c>
      <c r="AE27" s="43" t="str">
        <f aca="false">IF($C27="","",IFERROR(I27*AD27/H27,0))</f>
        <v/>
      </c>
      <c r="AF27" s="44" t="str">
        <f aca="false">IF($C27="","",IF(INDEX(MecTipo,MATCH(K27,MecList,0))="F",IFERROR(INDEX(SusDF,MATCH(L27,SusList,0)),1),LOOKUP(AE27,ArtLim,ArtDF)))</f>
        <v/>
      </c>
      <c r="AG27" s="44" t="str">
        <f aca="false">IF($C27="","",IF(ISNUMBER(M27),M27,AF27))</f>
        <v/>
      </c>
      <c r="AH27" s="45" t="str">
        <f aca="false">IF($C27="","",INDEX(GFFval,MATCH(D27,GFFtipo,0)))</f>
        <v/>
      </c>
      <c r="AI27" s="45" t="str">
        <f aca="false">IF($C27="","",AH27*AG27*FMS)</f>
        <v/>
      </c>
      <c r="AJ27" s="46" t="str">
        <f aca="false">IF($C27="","",AI27*N27)</f>
        <v/>
      </c>
      <c r="AK27" s="47" t="str">
        <f aca="false">IF($C27="","",IF(N(S27)=0,"No requerido",IF(AND(T27="Apto",U27="Pasa"),"APTO/PASA",IF(T27="No apto","NO APTO/REPARAR","REVISAR"))))</f>
        <v/>
      </c>
      <c r="AL27" s="44" t="str">
        <f aca="false">IF($C27="","",IF(AK27="NO APTO/REPARAR",1,MAX(1,AG27*INDEX(EffRet,MATCH(R27,EffList,0))*INDEX(FFSfac,MATCH(AK27,FFSlist,0)))))</f>
        <v/>
      </c>
      <c r="AM27" s="45" t="str">
        <f aca="false">IF($C27="","",AH27*AL27*FMS)</f>
        <v/>
      </c>
      <c r="AN27" s="46" t="str">
        <f aca="false">IF($C27="","",AM27*N27)</f>
        <v/>
      </c>
      <c r="AO27" s="46" t="str">
        <f aca="false">IF($C27="","",IFERROR(AH27*FMS*INDEX(DFrep,Z27)*INDEX(FCrep,MATCH(AA27,CatLet,0)),AJ27))</f>
        <v/>
      </c>
      <c r="AP27" s="46" t="str">
        <f aca="false">IF($C27="","",IFERROR(AH27*FMS*INDEX(DFrep,AB27)*INDEX(FCrep,MATCH(AC27,CatLet,0)),AN27))</f>
        <v/>
      </c>
      <c r="AQ27" s="48" t="str">
        <f aca="false">IF($C27="","",(1+SUMPRODUCT(--(AG27&gt;PcutDF)))&amp;CHOOSE(1+SUMPRODUCT(--(N27&gt;CcutFC)),"A","B","C","D","E"))</f>
        <v/>
      </c>
      <c r="AR27" s="48" t="str">
        <f aca="false">IF($C27="","",(1+SUMPRODUCT(--(AL27&gt;PcutDF)))&amp;CHOOSE(1+SUMPRODUCT(--(N27&gt;CcutFC)),"A","B","C","D","E"))</f>
        <v/>
      </c>
      <c r="AS27" s="48" t="str">
        <f aca="false">IF($C27="","",IF(AND(Z27&amp;AA27=AQ27,AB27&amp;AC27=AR27),"OK","REVISAR"))</f>
        <v/>
      </c>
      <c r="AT27" s="42" t="str">
        <f aca="false">IF($C27="","",IFERROR(INDEX(RAMlev,Z27,MATCH(AA27,CatLet,0)),""))</f>
        <v/>
      </c>
      <c r="AU27" s="42" t="str">
        <f aca="false">IF($C27="","",IFERROR(INDEX(RAMlev,AB27,MATCH(AC27,CatLet,0)),""))</f>
        <v/>
      </c>
      <c r="AV27" s="48" t="str">
        <f aca="false">IF($C27="","",IF(AU27="","",IF(AU27&lt;=ObjNivel,"Cumple","Excede")))</f>
        <v/>
      </c>
      <c r="AW27" s="46" t="str">
        <f aca="false">IF($C27="","",IF(Base="RAM",AO27,AJ27))</f>
        <v/>
      </c>
      <c r="AX27" s="46" t="str">
        <f aca="false">IF($C27="","",IF(Base="RAM",AP27,AN27))</f>
        <v/>
      </c>
      <c r="AY27" s="46" t="str">
        <f aca="false">IF($C27="","",AW27-AX27)</f>
        <v/>
      </c>
      <c r="AZ27" s="46" t="str">
        <f aca="false">IF($C27="","",AY27*N(O27))</f>
        <v/>
      </c>
      <c r="BA27" s="46" t="str">
        <f aca="false">IF($C27="","",AY27-AZ27)</f>
        <v/>
      </c>
      <c r="BB27" s="46" t="str">
        <f aca="false">IF($C27="","",IFERROR(P27*(1/W27-1/X27),0))</f>
        <v/>
      </c>
      <c r="BC27" s="46" t="str">
        <f aca="false">IF($C27="","",IFERROR(Y27*(1/W27-1/X27),0))</f>
        <v/>
      </c>
      <c r="BD27" s="46" t="str">
        <f aca="false">IF($C27="","",AY27+BB27+BC27)</f>
        <v/>
      </c>
      <c r="BE27" s="46" t="str">
        <f aca="false">IF($C27="","",P27+INDEX(FFScost,N(S27)+1)+IF(AK27="NO APTO/REPARAR",N(V27),0)+RBIimpl)</f>
        <v/>
      </c>
      <c r="BF27" s="43" t="str">
        <f aca="false">IF($C27="","",IF(Q27=0,Horiz,(1-(1+Q27)^(-Horiz))/Q27))</f>
        <v/>
      </c>
      <c r="BG27" s="46" t="str">
        <f aca="false">IF($C27="","",BD27*BF27)</f>
        <v/>
      </c>
      <c r="BH27" s="49" t="str">
        <f aca="false">IF($C27="","",IFERROR(BG27/BE27,0))</f>
        <v/>
      </c>
      <c r="BI27" s="50" t="str">
        <f aca="false">IF($C27="","",BG27-BE27)</f>
        <v/>
      </c>
      <c r="BJ27" s="51" t="str">
        <f aca="false">IF($C27="","",IFERROR((Horiz*BD27-BE27)/BE27,0))</f>
        <v/>
      </c>
      <c r="BK27" s="52" t="str">
        <f aca="false">IF($C27="","",IF(BD27&gt;0,BE27/BD27,"No recupera"))</f>
        <v/>
      </c>
      <c r="BL27" s="52" t="str">
        <f aca="false">IF($C27="","",IF(BD27&lt;=0,"No recupera",IF(Q27=0,BE27/BD27,IFERROR(-LN(1-BE27*Q27/BD27)/LN(1+Q27),"No recupera"))))</f>
        <v/>
      </c>
      <c r="BM27" s="50" t="str">
        <f aca="false">IF($C27="","",BD27-BE27/BF27)</f>
        <v/>
      </c>
      <c r="BN27" s="47" t="str">
        <f aca="false">IF($C27="","",IF(BH27&gt;1,"ACEPTABLE","NO ACEPTABLE"))</f>
        <v/>
      </c>
      <c r="BO27" s="50" t="str">
        <f aca="false">IF($C27="","",-$BE27+IF($Q27=0,$BD27*MIN(BO$15,Horiz),$BD27*(1-(1+$Q27)^(-MIN(BO$15,Horiz)))/$Q27))</f>
        <v/>
      </c>
      <c r="BP27" s="50" t="str">
        <f aca="false">IF($C27="","",-$BE27+IF($Q27=0,$BD27*MIN(BP$15,Horiz),$BD27*(1-(1+$Q27)^(-MIN(BP$15,Horiz)))/$Q27))</f>
        <v/>
      </c>
      <c r="BQ27" s="50" t="str">
        <f aca="false">IF($C27="","",-$BE27+IF($Q27=0,$BD27*MIN(BQ$15,Horiz),$BD27*(1-(1+$Q27)^(-MIN(BQ$15,Horiz)))/$Q27))</f>
        <v/>
      </c>
      <c r="BR27" s="50" t="str">
        <f aca="false">IF($C27="","",-$BE27+IF($Q27=0,$BD27*MIN(BR$15,Horiz),$BD27*(1-(1+$Q27)^(-MIN(BR$15,Horiz)))/$Q27))</f>
        <v/>
      </c>
      <c r="BS27" s="50" t="str">
        <f aca="false">IF($C27="","",-$BE27+IF($Q27=0,$BD27*MIN(BS$15,Horiz),$BD27*(1-(1+$Q27)^(-MIN(BS$15,Horiz)))/$Q27))</f>
        <v/>
      </c>
      <c r="BT27" s="50" t="str">
        <f aca="false">IF($C27="","",-$BE27+IF($Q27=0,$BD27*MIN(BT$15,Horiz),$BD27*(1-(1+$Q27)^(-MIN(BT$15,Horiz)))/$Q27))</f>
        <v/>
      </c>
      <c r="BU27" s="50" t="str">
        <f aca="false">IF($C27="","",-$BE27+IF($Q27=0,$BD27*MIN(BU$15,Horiz),$BD27*(1-(1+$Q27)^(-MIN(BU$15,Horiz)))/$Q27))</f>
        <v/>
      </c>
      <c r="BV27" s="50" t="str">
        <f aca="false">IF($C27="","",-$BE27+IF($Q27=0,$BD27*MIN(BV$15,Horiz),$BD27*(1-(1+$Q27)^(-MIN(BV$15,Horiz)))/$Q27))</f>
        <v/>
      </c>
      <c r="BW27" s="50" t="str">
        <f aca="false">IF($C27="","",-$BE27+IF($Q27=0,$BD27*MIN(BW$15,Horiz),$BD27*(1-(1+$Q27)^(-MIN(BW$15,Horiz)))/$Q27))</f>
        <v/>
      </c>
      <c r="BX27" s="50" t="str">
        <f aca="false">IF($C27="","",-$BE27+IF($Q27=0,$BD27*MIN(BX$15,Horiz),$BD27*(1-(1+$Q27)^(-MIN(BX$15,Horiz)))/$Q27))</f>
        <v/>
      </c>
      <c r="BY27" s="50" t="str">
        <f aca="false">IF($C27="","",-$BE27+IF($Q27=0,$BD27*MIN(BY$15,Horiz),$BD27*(1-(1+$Q27)^(-MIN(BY$15,Horiz)))/$Q27))</f>
        <v/>
      </c>
      <c r="BZ27" s="50" t="str">
        <f aca="false">IF($C27="","",-$BE27+IF($Q27=0,$BD27*MIN(BZ$15,Horiz),$BD27*(1-(1+$Q27)^(-MIN(BZ$15,Horiz)))/$Q27))</f>
        <v/>
      </c>
      <c r="CA27" s="50" t="str">
        <f aca="false">IF($C27="","",-$BE27+IF($Q27=0,$BD27*MIN(CA$15,Horiz),$BD27*(1-(1+$Q27)^(-MIN(CA$15,Horiz)))/$Q27))</f>
        <v/>
      </c>
      <c r="CB27" s="50" t="str">
        <f aca="false">IF($C27="","",-$BE27+IF($Q27=0,$BD27*MIN(CB$15,Horiz),$BD27*(1-(1+$Q27)^(-MIN(CB$15,Horiz)))/$Q27))</f>
        <v/>
      </c>
      <c r="CC27" s="50" t="str">
        <f aca="false">IF($C27="","",-$BE27+IF($Q27=0,$BD27*MIN(CC$15,Horiz),$BD27*(1-(1+$Q27)^(-MIN(CC$15,Horiz)))/$Q27))</f>
        <v/>
      </c>
      <c r="CD27" s="50" t="str">
        <f aca="false">IF($C27="","",-$BE27+IF($Q27=0,$BD27*MIN(CD$15,Horiz),$BD27*(1-(1+$Q27)^(-MIN(CD$15,Horiz)))/$Q27))</f>
        <v/>
      </c>
    </row>
    <row r="28" customFormat="false" ht="15" hidden="false" customHeight="false" outlineLevel="0" collapsed="false">
      <c r="A28" s="32" t="n">
        <v>13</v>
      </c>
      <c r="B28" s="33"/>
      <c r="C28" s="34"/>
      <c r="D28" s="33"/>
      <c r="E28" s="33"/>
      <c r="F28" s="35"/>
      <c r="G28" s="35"/>
      <c r="H28" s="36"/>
      <c r="I28" s="37"/>
      <c r="J28" s="35"/>
      <c r="K28" s="33"/>
      <c r="L28" s="34"/>
      <c r="M28" s="38"/>
      <c r="N28" s="39"/>
      <c r="O28" s="40"/>
      <c r="P28" s="39"/>
      <c r="Q28" s="41"/>
      <c r="R28" s="34"/>
      <c r="S28" s="35"/>
      <c r="T28" s="34"/>
      <c r="U28" s="34"/>
      <c r="V28" s="39"/>
      <c r="W28" s="35"/>
      <c r="X28" s="35"/>
      <c r="Y28" s="39"/>
      <c r="Z28" s="35"/>
      <c r="AA28" s="34"/>
      <c r="AB28" s="35"/>
      <c r="AC28" s="34"/>
      <c r="AD28" s="42" t="str">
        <f aca="false">IF($C28="","",AnioEval-J28)</f>
        <v/>
      </c>
      <c r="AE28" s="43" t="str">
        <f aca="false">IF($C28="","",IFERROR(I28*AD28/H28,0))</f>
        <v/>
      </c>
      <c r="AF28" s="44" t="str">
        <f aca="false">IF($C28="","",IF(INDEX(MecTipo,MATCH(K28,MecList,0))="F",IFERROR(INDEX(SusDF,MATCH(L28,SusList,0)),1),LOOKUP(AE28,ArtLim,ArtDF)))</f>
        <v/>
      </c>
      <c r="AG28" s="44" t="str">
        <f aca="false">IF($C28="","",IF(ISNUMBER(M28),M28,AF28))</f>
        <v/>
      </c>
      <c r="AH28" s="45" t="str">
        <f aca="false">IF($C28="","",INDEX(GFFval,MATCH(D28,GFFtipo,0)))</f>
        <v/>
      </c>
      <c r="AI28" s="45" t="str">
        <f aca="false">IF($C28="","",AH28*AG28*FMS)</f>
        <v/>
      </c>
      <c r="AJ28" s="46" t="str">
        <f aca="false">IF($C28="","",AI28*N28)</f>
        <v/>
      </c>
      <c r="AK28" s="47" t="str">
        <f aca="false">IF($C28="","",IF(N(S28)=0,"No requerido",IF(AND(T28="Apto",U28="Pasa"),"APTO/PASA",IF(T28="No apto","NO APTO/REPARAR","REVISAR"))))</f>
        <v/>
      </c>
      <c r="AL28" s="44" t="str">
        <f aca="false">IF($C28="","",IF(AK28="NO APTO/REPARAR",1,MAX(1,AG28*INDEX(EffRet,MATCH(R28,EffList,0))*INDEX(FFSfac,MATCH(AK28,FFSlist,0)))))</f>
        <v/>
      </c>
      <c r="AM28" s="45" t="str">
        <f aca="false">IF($C28="","",AH28*AL28*FMS)</f>
        <v/>
      </c>
      <c r="AN28" s="46" t="str">
        <f aca="false">IF($C28="","",AM28*N28)</f>
        <v/>
      </c>
      <c r="AO28" s="46" t="str">
        <f aca="false">IF($C28="","",IFERROR(AH28*FMS*INDEX(DFrep,Z28)*INDEX(FCrep,MATCH(AA28,CatLet,0)),AJ28))</f>
        <v/>
      </c>
      <c r="AP28" s="46" t="str">
        <f aca="false">IF($C28="","",IFERROR(AH28*FMS*INDEX(DFrep,AB28)*INDEX(FCrep,MATCH(AC28,CatLet,0)),AN28))</f>
        <v/>
      </c>
      <c r="AQ28" s="48" t="str">
        <f aca="false">IF($C28="","",(1+SUMPRODUCT(--(AG28&gt;PcutDF)))&amp;CHOOSE(1+SUMPRODUCT(--(N28&gt;CcutFC)),"A","B","C","D","E"))</f>
        <v/>
      </c>
      <c r="AR28" s="48" t="str">
        <f aca="false">IF($C28="","",(1+SUMPRODUCT(--(AL28&gt;PcutDF)))&amp;CHOOSE(1+SUMPRODUCT(--(N28&gt;CcutFC)),"A","B","C","D","E"))</f>
        <v/>
      </c>
      <c r="AS28" s="48" t="str">
        <f aca="false">IF($C28="","",IF(AND(Z28&amp;AA28=AQ28,AB28&amp;AC28=AR28),"OK","REVISAR"))</f>
        <v/>
      </c>
      <c r="AT28" s="42" t="str">
        <f aca="false">IF($C28="","",IFERROR(INDEX(RAMlev,Z28,MATCH(AA28,CatLet,0)),""))</f>
        <v/>
      </c>
      <c r="AU28" s="42" t="str">
        <f aca="false">IF($C28="","",IFERROR(INDEX(RAMlev,AB28,MATCH(AC28,CatLet,0)),""))</f>
        <v/>
      </c>
      <c r="AV28" s="48" t="str">
        <f aca="false">IF($C28="","",IF(AU28="","",IF(AU28&lt;=ObjNivel,"Cumple","Excede")))</f>
        <v/>
      </c>
      <c r="AW28" s="46" t="str">
        <f aca="false">IF($C28="","",IF(Base="RAM",AO28,AJ28))</f>
        <v/>
      </c>
      <c r="AX28" s="46" t="str">
        <f aca="false">IF($C28="","",IF(Base="RAM",AP28,AN28))</f>
        <v/>
      </c>
      <c r="AY28" s="46" t="str">
        <f aca="false">IF($C28="","",AW28-AX28)</f>
        <v/>
      </c>
      <c r="AZ28" s="46" t="str">
        <f aca="false">IF($C28="","",AY28*N(O28))</f>
        <v/>
      </c>
      <c r="BA28" s="46" t="str">
        <f aca="false">IF($C28="","",AY28-AZ28)</f>
        <v/>
      </c>
      <c r="BB28" s="46" t="str">
        <f aca="false">IF($C28="","",IFERROR(P28*(1/W28-1/X28),0))</f>
        <v/>
      </c>
      <c r="BC28" s="46" t="str">
        <f aca="false">IF($C28="","",IFERROR(Y28*(1/W28-1/X28),0))</f>
        <v/>
      </c>
      <c r="BD28" s="46" t="str">
        <f aca="false">IF($C28="","",AY28+BB28+BC28)</f>
        <v/>
      </c>
      <c r="BE28" s="46" t="str">
        <f aca="false">IF($C28="","",P28+INDEX(FFScost,N(S28)+1)+IF(AK28="NO APTO/REPARAR",N(V28),0)+RBIimpl)</f>
        <v/>
      </c>
      <c r="BF28" s="43" t="str">
        <f aca="false">IF($C28="","",IF(Q28=0,Horiz,(1-(1+Q28)^(-Horiz))/Q28))</f>
        <v/>
      </c>
      <c r="BG28" s="46" t="str">
        <f aca="false">IF($C28="","",BD28*BF28)</f>
        <v/>
      </c>
      <c r="BH28" s="49" t="str">
        <f aca="false">IF($C28="","",IFERROR(BG28/BE28,0))</f>
        <v/>
      </c>
      <c r="BI28" s="50" t="str">
        <f aca="false">IF($C28="","",BG28-BE28)</f>
        <v/>
      </c>
      <c r="BJ28" s="51" t="str">
        <f aca="false">IF($C28="","",IFERROR((Horiz*BD28-BE28)/BE28,0))</f>
        <v/>
      </c>
      <c r="BK28" s="52" t="str">
        <f aca="false">IF($C28="","",IF(BD28&gt;0,BE28/BD28,"No recupera"))</f>
        <v/>
      </c>
      <c r="BL28" s="52" t="str">
        <f aca="false">IF($C28="","",IF(BD28&lt;=0,"No recupera",IF(Q28=0,BE28/BD28,IFERROR(-LN(1-BE28*Q28/BD28)/LN(1+Q28),"No recupera"))))</f>
        <v/>
      </c>
      <c r="BM28" s="50" t="str">
        <f aca="false">IF($C28="","",BD28-BE28/BF28)</f>
        <v/>
      </c>
      <c r="BN28" s="47" t="str">
        <f aca="false">IF($C28="","",IF(BH28&gt;1,"ACEPTABLE","NO ACEPTABLE"))</f>
        <v/>
      </c>
      <c r="BO28" s="50" t="str">
        <f aca="false">IF($C28="","",-$BE28+IF($Q28=0,$BD28*MIN(BO$15,Horiz),$BD28*(1-(1+$Q28)^(-MIN(BO$15,Horiz)))/$Q28))</f>
        <v/>
      </c>
      <c r="BP28" s="50" t="str">
        <f aca="false">IF($C28="","",-$BE28+IF($Q28=0,$BD28*MIN(BP$15,Horiz),$BD28*(1-(1+$Q28)^(-MIN(BP$15,Horiz)))/$Q28))</f>
        <v/>
      </c>
      <c r="BQ28" s="50" t="str">
        <f aca="false">IF($C28="","",-$BE28+IF($Q28=0,$BD28*MIN(BQ$15,Horiz),$BD28*(1-(1+$Q28)^(-MIN(BQ$15,Horiz)))/$Q28))</f>
        <v/>
      </c>
      <c r="BR28" s="50" t="str">
        <f aca="false">IF($C28="","",-$BE28+IF($Q28=0,$BD28*MIN(BR$15,Horiz),$BD28*(1-(1+$Q28)^(-MIN(BR$15,Horiz)))/$Q28))</f>
        <v/>
      </c>
      <c r="BS28" s="50" t="str">
        <f aca="false">IF($C28="","",-$BE28+IF($Q28=0,$BD28*MIN(BS$15,Horiz),$BD28*(1-(1+$Q28)^(-MIN(BS$15,Horiz)))/$Q28))</f>
        <v/>
      </c>
      <c r="BT28" s="50" t="str">
        <f aca="false">IF($C28="","",-$BE28+IF($Q28=0,$BD28*MIN(BT$15,Horiz),$BD28*(1-(1+$Q28)^(-MIN(BT$15,Horiz)))/$Q28))</f>
        <v/>
      </c>
      <c r="BU28" s="50" t="str">
        <f aca="false">IF($C28="","",-$BE28+IF($Q28=0,$BD28*MIN(BU$15,Horiz),$BD28*(1-(1+$Q28)^(-MIN(BU$15,Horiz)))/$Q28))</f>
        <v/>
      </c>
      <c r="BV28" s="50" t="str">
        <f aca="false">IF($C28="","",-$BE28+IF($Q28=0,$BD28*MIN(BV$15,Horiz),$BD28*(1-(1+$Q28)^(-MIN(BV$15,Horiz)))/$Q28))</f>
        <v/>
      </c>
      <c r="BW28" s="50" t="str">
        <f aca="false">IF($C28="","",-$BE28+IF($Q28=0,$BD28*MIN(BW$15,Horiz),$BD28*(1-(1+$Q28)^(-MIN(BW$15,Horiz)))/$Q28))</f>
        <v/>
      </c>
      <c r="BX28" s="50" t="str">
        <f aca="false">IF($C28="","",-$BE28+IF($Q28=0,$BD28*MIN(BX$15,Horiz),$BD28*(1-(1+$Q28)^(-MIN(BX$15,Horiz)))/$Q28))</f>
        <v/>
      </c>
      <c r="BY28" s="50" t="str">
        <f aca="false">IF($C28="","",-$BE28+IF($Q28=0,$BD28*MIN(BY$15,Horiz),$BD28*(1-(1+$Q28)^(-MIN(BY$15,Horiz)))/$Q28))</f>
        <v/>
      </c>
      <c r="BZ28" s="50" t="str">
        <f aca="false">IF($C28="","",-$BE28+IF($Q28=0,$BD28*MIN(BZ$15,Horiz),$BD28*(1-(1+$Q28)^(-MIN(BZ$15,Horiz)))/$Q28))</f>
        <v/>
      </c>
      <c r="CA28" s="50" t="str">
        <f aca="false">IF($C28="","",-$BE28+IF($Q28=0,$BD28*MIN(CA$15,Horiz),$BD28*(1-(1+$Q28)^(-MIN(CA$15,Horiz)))/$Q28))</f>
        <v/>
      </c>
      <c r="CB28" s="50" t="str">
        <f aca="false">IF($C28="","",-$BE28+IF($Q28=0,$BD28*MIN(CB$15,Horiz),$BD28*(1-(1+$Q28)^(-MIN(CB$15,Horiz)))/$Q28))</f>
        <v/>
      </c>
      <c r="CC28" s="50" t="str">
        <f aca="false">IF($C28="","",-$BE28+IF($Q28=0,$BD28*MIN(CC$15,Horiz),$BD28*(1-(1+$Q28)^(-MIN(CC$15,Horiz)))/$Q28))</f>
        <v/>
      </c>
      <c r="CD28" s="50" t="str">
        <f aca="false">IF($C28="","",-$BE28+IF($Q28=0,$BD28*MIN(CD$15,Horiz),$BD28*(1-(1+$Q28)^(-MIN(CD$15,Horiz)))/$Q28))</f>
        <v/>
      </c>
    </row>
    <row r="29" customFormat="false" ht="15" hidden="false" customHeight="false" outlineLevel="0" collapsed="false">
      <c r="A29" s="32" t="n">
        <v>14</v>
      </c>
      <c r="B29" s="33"/>
      <c r="C29" s="34"/>
      <c r="D29" s="33"/>
      <c r="E29" s="33"/>
      <c r="F29" s="35"/>
      <c r="G29" s="35"/>
      <c r="H29" s="36"/>
      <c r="I29" s="37"/>
      <c r="J29" s="35"/>
      <c r="K29" s="33"/>
      <c r="L29" s="34"/>
      <c r="M29" s="38"/>
      <c r="N29" s="39"/>
      <c r="O29" s="40"/>
      <c r="P29" s="39"/>
      <c r="Q29" s="41"/>
      <c r="R29" s="34"/>
      <c r="S29" s="35"/>
      <c r="T29" s="34"/>
      <c r="U29" s="34"/>
      <c r="V29" s="39"/>
      <c r="W29" s="35"/>
      <c r="X29" s="35"/>
      <c r="Y29" s="39"/>
      <c r="Z29" s="35"/>
      <c r="AA29" s="34"/>
      <c r="AB29" s="35"/>
      <c r="AC29" s="34"/>
      <c r="AD29" s="42" t="str">
        <f aca="false">IF($C29="","",AnioEval-J29)</f>
        <v/>
      </c>
      <c r="AE29" s="43" t="str">
        <f aca="false">IF($C29="","",IFERROR(I29*AD29/H29,0))</f>
        <v/>
      </c>
      <c r="AF29" s="44" t="str">
        <f aca="false">IF($C29="","",IF(INDEX(MecTipo,MATCH(K29,MecList,0))="F",IFERROR(INDEX(SusDF,MATCH(L29,SusList,0)),1),LOOKUP(AE29,ArtLim,ArtDF)))</f>
        <v/>
      </c>
      <c r="AG29" s="44" t="str">
        <f aca="false">IF($C29="","",IF(ISNUMBER(M29),M29,AF29))</f>
        <v/>
      </c>
      <c r="AH29" s="45" t="str">
        <f aca="false">IF($C29="","",INDEX(GFFval,MATCH(D29,GFFtipo,0)))</f>
        <v/>
      </c>
      <c r="AI29" s="45" t="str">
        <f aca="false">IF($C29="","",AH29*AG29*FMS)</f>
        <v/>
      </c>
      <c r="AJ29" s="46" t="str">
        <f aca="false">IF($C29="","",AI29*N29)</f>
        <v/>
      </c>
      <c r="AK29" s="47" t="str">
        <f aca="false">IF($C29="","",IF(N(S29)=0,"No requerido",IF(AND(T29="Apto",U29="Pasa"),"APTO/PASA",IF(T29="No apto","NO APTO/REPARAR","REVISAR"))))</f>
        <v/>
      </c>
      <c r="AL29" s="44" t="str">
        <f aca="false">IF($C29="","",IF(AK29="NO APTO/REPARAR",1,MAX(1,AG29*INDEX(EffRet,MATCH(R29,EffList,0))*INDEX(FFSfac,MATCH(AK29,FFSlist,0)))))</f>
        <v/>
      </c>
      <c r="AM29" s="45" t="str">
        <f aca="false">IF($C29="","",AH29*AL29*FMS)</f>
        <v/>
      </c>
      <c r="AN29" s="46" t="str">
        <f aca="false">IF($C29="","",AM29*N29)</f>
        <v/>
      </c>
      <c r="AO29" s="46" t="str">
        <f aca="false">IF($C29="","",IFERROR(AH29*FMS*INDEX(DFrep,Z29)*INDEX(FCrep,MATCH(AA29,CatLet,0)),AJ29))</f>
        <v/>
      </c>
      <c r="AP29" s="46" t="str">
        <f aca="false">IF($C29="","",IFERROR(AH29*FMS*INDEX(DFrep,AB29)*INDEX(FCrep,MATCH(AC29,CatLet,0)),AN29))</f>
        <v/>
      </c>
      <c r="AQ29" s="48" t="str">
        <f aca="false">IF($C29="","",(1+SUMPRODUCT(--(AG29&gt;PcutDF)))&amp;CHOOSE(1+SUMPRODUCT(--(N29&gt;CcutFC)),"A","B","C","D","E"))</f>
        <v/>
      </c>
      <c r="AR29" s="48" t="str">
        <f aca="false">IF($C29="","",(1+SUMPRODUCT(--(AL29&gt;PcutDF)))&amp;CHOOSE(1+SUMPRODUCT(--(N29&gt;CcutFC)),"A","B","C","D","E"))</f>
        <v/>
      </c>
      <c r="AS29" s="48" t="str">
        <f aca="false">IF($C29="","",IF(AND(Z29&amp;AA29=AQ29,AB29&amp;AC29=AR29),"OK","REVISAR"))</f>
        <v/>
      </c>
      <c r="AT29" s="42" t="str">
        <f aca="false">IF($C29="","",IFERROR(INDEX(RAMlev,Z29,MATCH(AA29,CatLet,0)),""))</f>
        <v/>
      </c>
      <c r="AU29" s="42" t="str">
        <f aca="false">IF($C29="","",IFERROR(INDEX(RAMlev,AB29,MATCH(AC29,CatLet,0)),""))</f>
        <v/>
      </c>
      <c r="AV29" s="48" t="str">
        <f aca="false">IF($C29="","",IF(AU29="","",IF(AU29&lt;=ObjNivel,"Cumple","Excede")))</f>
        <v/>
      </c>
      <c r="AW29" s="46" t="str">
        <f aca="false">IF($C29="","",IF(Base="RAM",AO29,AJ29))</f>
        <v/>
      </c>
      <c r="AX29" s="46" t="str">
        <f aca="false">IF($C29="","",IF(Base="RAM",AP29,AN29))</f>
        <v/>
      </c>
      <c r="AY29" s="46" t="str">
        <f aca="false">IF($C29="","",AW29-AX29)</f>
        <v/>
      </c>
      <c r="AZ29" s="46" t="str">
        <f aca="false">IF($C29="","",AY29*N(O29))</f>
        <v/>
      </c>
      <c r="BA29" s="46" t="str">
        <f aca="false">IF($C29="","",AY29-AZ29)</f>
        <v/>
      </c>
      <c r="BB29" s="46" t="str">
        <f aca="false">IF($C29="","",IFERROR(P29*(1/W29-1/X29),0))</f>
        <v/>
      </c>
      <c r="BC29" s="46" t="str">
        <f aca="false">IF($C29="","",IFERROR(Y29*(1/W29-1/X29),0))</f>
        <v/>
      </c>
      <c r="BD29" s="46" t="str">
        <f aca="false">IF($C29="","",AY29+BB29+BC29)</f>
        <v/>
      </c>
      <c r="BE29" s="46" t="str">
        <f aca="false">IF($C29="","",P29+INDEX(FFScost,N(S29)+1)+IF(AK29="NO APTO/REPARAR",N(V29),0)+RBIimpl)</f>
        <v/>
      </c>
      <c r="BF29" s="43" t="str">
        <f aca="false">IF($C29="","",IF(Q29=0,Horiz,(1-(1+Q29)^(-Horiz))/Q29))</f>
        <v/>
      </c>
      <c r="BG29" s="46" t="str">
        <f aca="false">IF($C29="","",BD29*BF29)</f>
        <v/>
      </c>
      <c r="BH29" s="49" t="str">
        <f aca="false">IF($C29="","",IFERROR(BG29/BE29,0))</f>
        <v/>
      </c>
      <c r="BI29" s="50" t="str">
        <f aca="false">IF($C29="","",BG29-BE29)</f>
        <v/>
      </c>
      <c r="BJ29" s="51" t="str">
        <f aca="false">IF($C29="","",IFERROR((Horiz*BD29-BE29)/BE29,0))</f>
        <v/>
      </c>
      <c r="BK29" s="52" t="str">
        <f aca="false">IF($C29="","",IF(BD29&gt;0,BE29/BD29,"No recupera"))</f>
        <v/>
      </c>
      <c r="BL29" s="52" t="str">
        <f aca="false">IF($C29="","",IF(BD29&lt;=0,"No recupera",IF(Q29=0,BE29/BD29,IFERROR(-LN(1-BE29*Q29/BD29)/LN(1+Q29),"No recupera"))))</f>
        <v/>
      </c>
      <c r="BM29" s="50" t="str">
        <f aca="false">IF($C29="","",BD29-BE29/BF29)</f>
        <v/>
      </c>
      <c r="BN29" s="47" t="str">
        <f aca="false">IF($C29="","",IF(BH29&gt;1,"ACEPTABLE","NO ACEPTABLE"))</f>
        <v/>
      </c>
      <c r="BO29" s="50" t="str">
        <f aca="false">IF($C29="","",-$BE29+IF($Q29=0,$BD29*MIN(BO$15,Horiz),$BD29*(1-(1+$Q29)^(-MIN(BO$15,Horiz)))/$Q29))</f>
        <v/>
      </c>
      <c r="BP29" s="50" t="str">
        <f aca="false">IF($C29="","",-$BE29+IF($Q29=0,$BD29*MIN(BP$15,Horiz),$BD29*(1-(1+$Q29)^(-MIN(BP$15,Horiz)))/$Q29))</f>
        <v/>
      </c>
      <c r="BQ29" s="50" t="str">
        <f aca="false">IF($C29="","",-$BE29+IF($Q29=0,$BD29*MIN(BQ$15,Horiz),$BD29*(1-(1+$Q29)^(-MIN(BQ$15,Horiz)))/$Q29))</f>
        <v/>
      </c>
      <c r="BR29" s="50" t="str">
        <f aca="false">IF($C29="","",-$BE29+IF($Q29=0,$BD29*MIN(BR$15,Horiz),$BD29*(1-(1+$Q29)^(-MIN(BR$15,Horiz)))/$Q29))</f>
        <v/>
      </c>
      <c r="BS29" s="50" t="str">
        <f aca="false">IF($C29="","",-$BE29+IF($Q29=0,$BD29*MIN(BS$15,Horiz),$BD29*(1-(1+$Q29)^(-MIN(BS$15,Horiz)))/$Q29))</f>
        <v/>
      </c>
      <c r="BT29" s="50" t="str">
        <f aca="false">IF($C29="","",-$BE29+IF($Q29=0,$BD29*MIN(BT$15,Horiz),$BD29*(1-(1+$Q29)^(-MIN(BT$15,Horiz)))/$Q29))</f>
        <v/>
      </c>
      <c r="BU29" s="50" t="str">
        <f aca="false">IF($C29="","",-$BE29+IF($Q29=0,$BD29*MIN(BU$15,Horiz),$BD29*(1-(1+$Q29)^(-MIN(BU$15,Horiz)))/$Q29))</f>
        <v/>
      </c>
      <c r="BV29" s="50" t="str">
        <f aca="false">IF($C29="","",-$BE29+IF($Q29=0,$BD29*MIN(BV$15,Horiz),$BD29*(1-(1+$Q29)^(-MIN(BV$15,Horiz)))/$Q29))</f>
        <v/>
      </c>
      <c r="BW29" s="50" t="str">
        <f aca="false">IF($C29="","",-$BE29+IF($Q29=0,$BD29*MIN(BW$15,Horiz),$BD29*(1-(1+$Q29)^(-MIN(BW$15,Horiz)))/$Q29))</f>
        <v/>
      </c>
      <c r="BX29" s="50" t="str">
        <f aca="false">IF($C29="","",-$BE29+IF($Q29=0,$BD29*MIN(BX$15,Horiz),$BD29*(1-(1+$Q29)^(-MIN(BX$15,Horiz)))/$Q29))</f>
        <v/>
      </c>
      <c r="BY29" s="50" t="str">
        <f aca="false">IF($C29="","",-$BE29+IF($Q29=0,$BD29*MIN(BY$15,Horiz),$BD29*(1-(1+$Q29)^(-MIN(BY$15,Horiz)))/$Q29))</f>
        <v/>
      </c>
      <c r="BZ29" s="50" t="str">
        <f aca="false">IF($C29="","",-$BE29+IF($Q29=0,$BD29*MIN(BZ$15,Horiz),$BD29*(1-(1+$Q29)^(-MIN(BZ$15,Horiz)))/$Q29))</f>
        <v/>
      </c>
      <c r="CA29" s="50" t="str">
        <f aca="false">IF($C29="","",-$BE29+IF($Q29=0,$BD29*MIN(CA$15,Horiz),$BD29*(1-(1+$Q29)^(-MIN(CA$15,Horiz)))/$Q29))</f>
        <v/>
      </c>
      <c r="CB29" s="50" t="str">
        <f aca="false">IF($C29="","",-$BE29+IF($Q29=0,$BD29*MIN(CB$15,Horiz),$BD29*(1-(1+$Q29)^(-MIN(CB$15,Horiz)))/$Q29))</f>
        <v/>
      </c>
      <c r="CC29" s="50" t="str">
        <f aca="false">IF($C29="","",-$BE29+IF($Q29=0,$BD29*MIN(CC$15,Horiz),$BD29*(1-(1+$Q29)^(-MIN(CC$15,Horiz)))/$Q29))</f>
        <v/>
      </c>
      <c r="CD29" s="50" t="str">
        <f aca="false">IF($C29="","",-$BE29+IF($Q29=0,$BD29*MIN(CD$15,Horiz),$BD29*(1-(1+$Q29)^(-MIN(CD$15,Horiz)))/$Q29))</f>
        <v/>
      </c>
    </row>
    <row r="30" customFormat="false" ht="15" hidden="false" customHeight="false" outlineLevel="0" collapsed="false">
      <c r="A30" s="32" t="n">
        <v>15</v>
      </c>
      <c r="B30" s="33"/>
      <c r="C30" s="34"/>
      <c r="D30" s="33"/>
      <c r="E30" s="33"/>
      <c r="F30" s="35"/>
      <c r="G30" s="35"/>
      <c r="H30" s="36"/>
      <c r="I30" s="37"/>
      <c r="J30" s="35"/>
      <c r="K30" s="33"/>
      <c r="L30" s="34"/>
      <c r="M30" s="38"/>
      <c r="N30" s="39"/>
      <c r="O30" s="40"/>
      <c r="P30" s="39"/>
      <c r="Q30" s="41"/>
      <c r="R30" s="34"/>
      <c r="S30" s="35"/>
      <c r="T30" s="34"/>
      <c r="U30" s="34"/>
      <c r="V30" s="39"/>
      <c r="W30" s="35"/>
      <c r="X30" s="35"/>
      <c r="Y30" s="39"/>
      <c r="Z30" s="35"/>
      <c r="AA30" s="34"/>
      <c r="AB30" s="35"/>
      <c r="AC30" s="34"/>
      <c r="AD30" s="42" t="str">
        <f aca="false">IF($C30="","",AnioEval-J30)</f>
        <v/>
      </c>
      <c r="AE30" s="43" t="str">
        <f aca="false">IF($C30="","",IFERROR(I30*AD30/H30,0))</f>
        <v/>
      </c>
      <c r="AF30" s="44" t="str">
        <f aca="false">IF($C30="","",IF(INDEX(MecTipo,MATCH(K30,MecList,0))="F",IFERROR(INDEX(SusDF,MATCH(L30,SusList,0)),1),LOOKUP(AE30,ArtLim,ArtDF)))</f>
        <v/>
      </c>
      <c r="AG30" s="44" t="str">
        <f aca="false">IF($C30="","",IF(ISNUMBER(M30),M30,AF30))</f>
        <v/>
      </c>
      <c r="AH30" s="45" t="str">
        <f aca="false">IF($C30="","",INDEX(GFFval,MATCH(D30,GFFtipo,0)))</f>
        <v/>
      </c>
      <c r="AI30" s="45" t="str">
        <f aca="false">IF($C30="","",AH30*AG30*FMS)</f>
        <v/>
      </c>
      <c r="AJ30" s="46" t="str">
        <f aca="false">IF($C30="","",AI30*N30)</f>
        <v/>
      </c>
      <c r="AK30" s="47" t="str">
        <f aca="false">IF($C30="","",IF(N(S30)=0,"No requerido",IF(AND(T30="Apto",U30="Pasa"),"APTO/PASA",IF(T30="No apto","NO APTO/REPARAR","REVISAR"))))</f>
        <v/>
      </c>
      <c r="AL30" s="44" t="str">
        <f aca="false">IF($C30="","",IF(AK30="NO APTO/REPARAR",1,MAX(1,AG30*INDEX(EffRet,MATCH(R30,EffList,0))*INDEX(FFSfac,MATCH(AK30,FFSlist,0)))))</f>
        <v/>
      </c>
      <c r="AM30" s="45" t="str">
        <f aca="false">IF($C30="","",AH30*AL30*FMS)</f>
        <v/>
      </c>
      <c r="AN30" s="46" t="str">
        <f aca="false">IF($C30="","",AM30*N30)</f>
        <v/>
      </c>
      <c r="AO30" s="46" t="str">
        <f aca="false">IF($C30="","",IFERROR(AH30*FMS*INDEX(DFrep,Z30)*INDEX(FCrep,MATCH(AA30,CatLet,0)),AJ30))</f>
        <v/>
      </c>
      <c r="AP30" s="46" t="str">
        <f aca="false">IF($C30="","",IFERROR(AH30*FMS*INDEX(DFrep,AB30)*INDEX(FCrep,MATCH(AC30,CatLet,0)),AN30))</f>
        <v/>
      </c>
      <c r="AQ30" s="48" t="str">
        <f aca="false">IF($C30="","",(1+SUMPRODUCT(--(AG30&gt;PcutDF)))&amp;CHOOSE(1+SUMPRODUCT(--(N30&gt;CcutFC)),"A","B","C","D","E"))</f>
        <v/>
      </c>
      <c r="AR30" s="48" t="str">
        <f aca="false">IF($C30="","",(1+SUMPRODUCT(--(AL30&gt;PcutDF)))&amp;CHOOSE(1+SUMPRODUCT(--(N30&gt;CcutFC)),"A","B","C","D","E"))</f>
        <v/>
      </c>
      <c r="AS30" s="48" t="str">
        <f aca="false">IF($C30="","",IF(AND(Z30&amp;AA30=AQ30,AB30&amp;AC30=AR30),"OK","REVISAR"))</f>
        <v/>
      </c>
      <c r="AT30" s="42" t="str">
        <f aca="false">IF($C30="","",IFERROR(INDEX(RAMlev,Z30,MATCH(AA30,CatLet,0)),""))</f>
        <v/>
      </c>
      <c r="AU30" s="42" t="str">
        <f aca="false">IF($C30="","",IFERROR(INDEX(RAMlev,AB30,MATCH(AC30,CatLet,0)),""))</f>
        <v/>
      </c>
      <c r="AV30" s="48" t="str">
        <f aca="false">IF($C30="","",IF(AU30="","",IF(AU30&lt;=ObjNivel,"Cumple","Excede")))</f>
        <v/>
      </c>
      <c r="AW30" s="46" t="str">
        <f aca="false">IF($C30="","",IF(Base="RAM",AO30,AJ30))</f>
        <v/>
      </c>
      <c r="AX30" s="46" t="str">
        <f aca="false">IF($C30="","",IF(Base="RAM",AP30,AN30))</f>
        <v/>
      </c>
      <c r="AY30" s="46" t="str">
        <f aca="false">IF($C30="","",AW30-AX30)</f>
        <v/>
      </c>
      <c r="AZ30" s="46" t="str">
        <f aca="false">IF($C30="","",AY30*N(O30))</f>
        <v/>
      </c>
      <c r="BA30" s="46" t="str">
        <f aca="false">IF($C30="","",AY30-AZ30)</f>
        <v/>
      </c>
      <c r="BB30" s="46" t="str">
        <f aca="false">IF($C30="","",IFERROR(P30*(1/W30-1/X30),0))</f>
        <v/>
      </c>
      <c r="BC30" s="46" t="str">
        <f aca="false">IF($C30="","",IFERROR(Y30*(1/W30-1/X30),0))</f>
        <v/>
      </c>
      <c r="BD30" s="46" t="str">
        <f aca="false">IF($C30="","",AY30+BB30+BC30)</f>
        <v/>
      </c>
      <c r="BE30" s="46" t="str">
        <f aca="false">IF($C30="","",P30+INDEX(FFScost,N(S30)+1)+IF(AK30="NO APTO/REPARAR",N(V30),0)+RBIimpl)</f>
        <v/>
      </c>
      <c r="BF30" s="43" t="str">
        <f aca="false">IF($C30="","",IF(Q30=0,Horiz,(1-(1+Q30)^(-Horiz))/Q30))</f>
        <v/>
      </c>
      <c r="BG30" s="46" t="str">
        <f aca="false">IF($C30="","",BD30*BF30)</f>
        <v/>
      </c>
      <c r="BH30" s="49" t="str">
        <f aca="false">IF($C30="","",IFERROR(BG30/BE30,0))</f>
        <v/>
      </c>
      <c r="BI30" s="50" t="str">
        <f aca="false">IF($C30="","",BG30-BE30)</f>
        <v/>
      </c>
      <c r="BJ30" s="51" t="str">
        <f aca="false">IF($C30="","",IFERROR((Horiz*BD30-BE30)/BE30,0))</f>
        <v/>
      </c>
      <c r="BK30" s="52" t="str">
        <f aca="false">IF($C30="","",IF(BD30&gt;0,BE30/BD30,"No recupera"))</f>
        <v/>
      </c>
      <c r="BL30" s="52" t="str">
        <f aca="false">IF($C30="","",IF(BD30&lt;=0,"No recupera",IF(Q30=0,BE30/BD30,IFERROR(-LN(1-BE30*Q30/BD30)/LN(1+Q30),"No recupera"))))</f>
        <v/>
      </c>
      <c r="BM30" s="50" t="str">
        <f aca="false">IF($C30="","",BD30-BE30/BF30)</f>
        <v/>
      </c>
      <c r="BN30" s="47" t="str">
        <f aca="false">IF($C30="","",IF(BH30&gt;1,"ACEPTABLE","NO ACEPTABLE"))</f>
        <v/>
      </c>
      <c r="BO30" s="50" t="str">
        <f aca="false">IF($C30="","",-$BE30+IF($Q30=0,$BD30*MIN(BO$15,Horiz),$BD30*(1-(1+$Q30)^(-MIN(BO$15,Horiz)))/$Q30))</f>
        <v/>
      </c>
      <c r="BP30" s="50" t="str">
        <f aca="false">IF($C30="","",-$BE30+IF($Q30=0,$BD30*MIN(BP$15,Horiz),$BD30*(1-(1+$Q30)^(-MIN(BP$15,Horiz)))/$Q30))</f>
        <v/>
      </c>
      <c r="BQ30" s="50" t="str">
        <f aca="false">IF($C30="","",-$BE30+IF($Q30=0,$BD30*MIN(BQ$15,Horiz),$BD30*(1-(1+$Q30)^(-MIN(BQ$15,Horiz)))/$Q30))</f>
        <v/>
      </c>
      <c r="BR30" s="50" t="str">
        <f aca="false">IF($C30="","",-$BE30+IF($Q30=0,$BD30*MIN(BR$15,Horiz),$BD30*(1-(1+$Q30)^(-MIN(BR$15,Horiz)))/$Q30))</f>
        <v/>
      </c>
      <c r="BS30" s="50" t="str">
        <f aca="false">IF($C30="","",-$BE30+IF($Q30=0,$BD30*MIN(BS$15,Horiz),$BD30*(1-(1+$Q30)^(-MIN(BS$15,Horiz)))/$Q30))</f>
        <v/>
      </c>
      <c r="BT30" s="50" t="str">
        <f aca="false">IF($C30="","",-$BE30+IF($Q30=0,$BD30*MIN(BT$15,Horiz),$BD30*(1-(1+$Q30)^(-MIN(BT$15,Horiz)))/$Q30))</f>
        <v/>
      </c>
      <c r="BU30" s="50" t="str">
        <f aca="false">IF($C30="","",-$BE30+IF($Q30=0,$BD30*MIN(BU$15,Horiz),$BD30*(1-(1+$Q30)^(-MIN(BU$15,Horiz)))/$Q30))</f>
        <v/>
      </c>
      <c r="BV30" s="50" t="str">
        <f aca="false">IF($C30="","",-$BE30+IF($Q30=0,$BD30*MIN(BV$15,Horiz),$BD30*(1-(1+$Q30)^(-MIN(BV$15,Horiz)))/$Q30))</f>
        <v/>
      </c>
      <c r="BW30" s="50" t="str">
        <f aca="false">IF($C30="","",-$BE30+IF($Q30=0,$BD30*MIN(BW$15,Horiz),$BD30*(1-(1+$Q30)^(-MIN(BW$15,Horiz)))/$Q30))</f>
        <v/>
      </c>
      <c r="BX30" s="50" t="str">
        <f aca="false">IF($C30="","",-$BE30+IF($Q30=0,$BD30*MIN(BX$15,Horiz),$BD30*(1-(1+$Q30)^(-MIN(BX$15,Horiz)))/$Q30))</f>
        <v/>
      </c>
      <c r="BY30" s="50" t="str">
        <f aca="false">IF($C30="","",-$BE30+IF($Q30=0,$BD30*MIN(BY$15,Horiz),$BD30*(1-(1+$Q30)^(-MIN(BY$15,Horiz)))/$Q30))</f>
        <v/>
      </c>
      <c r="BZ30" s="50" t="str">
        <f aca="false">IF($C30="","",-$BE30+IF($Q30=0,$BD30*MIN(BZ$15,Horiz),$BD30*(1-(1+$Q30)^(-MIN(BZ$15,Horiz)))/$Q30))</f>
        <v/>
      </c>
      <c r="CA30" s="50" t="str">
        <f aca="false">IF($C30="","",-$BE30+IF($Q30=0,$BD30*MIN(CA$15,Horiz),$BD30*(1-(1+$Q30)^(-MIN(CA$15,Horiz)))/$Q30))</f>
        <v/>
      </c>
      <c r="CB30" s="50" t="str">
        <f aca="false">IF($C30="","",-$BE30+IF($Q30=0,$BD30*MIN(CB$15,Horiz),$BD30*(1-(1+$Q30)^(-MIN(CB$15,Horiz)))/$Q30))</f>
        <v/>
      </c>
      <c r="CC30" s="50" t="str">
        <f aca="false">IF($C30="","",-$BE30+IF($Q30=0,$BD30*MIN(CC$15,Horiz),$BD30*(1-(1+$Q30)^(-MIN(CC$15,Horiz)))/$Q30))</f>
        <v/>
      </c>
      <c r="CD30" s="50" t="str">
        <f aca="false">IF($C30="","",-$BE30+IF($Q30=0,$BD30*MIN(CD$15,Horiz),$BD30*(1-(1+$Q30)^(-MIN(CD$15,Horiz)))/$Q30))</f>
        <v/>
      </c>
    </row>
    <row r="31" customFormat="false" ht="15" hidden="false" customHeight="false" outlineLevel="0" collapsed="false">
      <c r="A31" s="32" t="n">
        <v>16</v>
      </c>
      <c r="B31" s="33"/>
      <c r="C31" s="34"/>
      <c r="D31" s="33"/>
      <c r="E31" s="33"/>
      <c r="F31" s="35"/>
      <c r="G31" s="35"/>
      <c r="H31" s="36"/>
      <c r="I31" s="37"/>
      <c r="J31" s="35"/>
      <c r="K31" s="33"/>
      <c r="L31" s="34"/>
      <c r="M31" s="38"/>
      <c r="N31" s="39"/>
      <c r="O31" s="40"/>
      <c r="P31" s="39"/>
      <c r="Q31" s="41"/>
      <c r="R31" s="34"/>
      <c r="S31" s="35"/>
      <c r="T31" s="34"/>
      <c r="U31" s="34"/>
      <c r="V31" s="39"/>
      <c r="W31" s="35"/>
      <c r="X31" s="35"/>
      <c r="Y31" s="39"/>
      <c r="Z31" s="35"/>
      <c r="AA31" s="34"/>
      <c r="AB31" s="35"/>
      <c r="AC31" s="34"/>
      <c r="AD31" s="42" t="str">
        <f aca="false">IF($C31="","",AnioEval-J31)</f>
        <v/>
      </c>
      <c r="AE31" s="43" t="str">
        <f aca="false">IF($C31="","",IFERROR(I31*AD31/H31,0))</f>
        <v/>
      </c>
      <c r="AF31" s="44" t="str">
        <f aca="false">IF($C31="","",IF(INDEX(MecTipo,MATCH(K31,MecList,0))="F",IFERROR(INDEX(SusDF,MATCH(L31,SusList,0)),1),LOOKUP(AE31,ArtLim,ArtDF)))</f>
        <v/>
      </c>
      <c r="AG31" s="44" t="str">
        <f aca="false">IF($C31="","",IF(ISNUMBER(M31),M31,AF31))</f>
        <v/>
      </c>
      <c r="AH31" s="45" t="str">
        <f aca="false">IF($C31="","",INDEX(GFFval,MATCH(D31,GFFtipo,0)))</f>
        <v/>
      </c>
      <c r="AI31" s="45" t="str">
        <f aca="false">IF($C31="","",AH31*AG31*FMS)</f>
        <v/>
      </c>
      <c r="AJ31" s="46" t="str">
        <f aca="false">IF($C31="","",AI31*N31)</f>
        <v/>
      </c>
      <c r="AK31" s="47" t="str">
        <f aca="false">IF($C31="","",IF(N(S31)=0,"No requerido",IF(AND(T31="Apto",U31="Pasa"),"APTO/PASA",IF(T31="No apto","NO APTO/REPARAR","REVISAR"))))</f>
        <v/>
      </c>
      <c r="AL31" s="44" t="str">
        <f aca="false">IF($C31="","",IF(AK31="NO APTO/REPARAR",1,MAX(1,AG31*INDEX(EffRet,MATCH(R31,EffList,0))*INDEX(FFSfac,MATCH(AK31,FFSlist,0)))))</f>
        <v/>
      </c>
      <c r="AM31" s="45" t="str">
        <f aca="false">IF($C31="","",AH31*AL31*FMS)</f>
        <v/>
      </c>
      <c r="AN31" s="46" t="str">
        <f aca="false">IF($C31="","",AM31*N31)</f>
        <v/>
      </c>
      <c r="AO31" s="46" t="str">
        <f aca="false">IF($C31="","",IFERROR(AH31*FMS*INDEX(DFrep,Z31)*INDEX(FCrep,MATCH(AA31,CatLet,0)),AJ31))</f>
        <v/>
      </c>
      <c r="AP31" s="46" t="str">
        <f aca="false">IF($C31="","",IFERROR(AH31*FMS*INDEX(DFrep,AB31)*INDEX(FCrep,MATCH(AC31,CatLet,0)),AN31))</f>
        <v/>
      </c>
      <c r="AQ31" s="48" t="str">
        <f aca="false">IF($C31="","",(1+SUMPRODUCT(--(AG31&gt;PcutDF)))&amp;CHOOSE(1+SUMPRODUCT(--(N31&gt;CcutFC)),"A","B","C","D","E"))</f>
        <v/>
      </c>
      <c r="AR31" s="48" t="str">
        <f aca="false">IF($C31="","",(1+SUMPRODUCT(--(AL31&gt;PcutDF)))&amp;CHOOSE(1+SUMPRODUCT(--(N31&gt;CcutFC)),"A","B","C","D","E"))</f>
        <v/>
      </c>
      <c r="AS31" s="48" t="str">
        <f aca="false">IF($C31="","",IF(AND(Z31&amp;AA31=AQ31,AB31&amp;AC31=AR31),"OK","REVISAR"))</f>
        <v/>
      </c>
      <c r="AT31" s="42" t="str">
        <f aca="false">IF($C31="","",IFERROR(INDEX(RAMlev,Z31,MATCH(AA31,CatLet,0)),""))</f>
        <v/>
      </c>
      <c r="AU31" s="42" t="str">
        <f aca="false">IF($C31="","",IFERROR(INDEX(RAMlev,AB31,MATCH(AC31,CatLet,0)),""))</f>
        <v/>
      </c>
      <c r="AV31" s="48" t="str">
        <f aca="false">IF($C31="","",IF(AU31="","",IF(AU31&lt;=ObjNivel,"Cumple","Excede")))</f>
        <v/>
      </c>
      <c r="AW31" s="46" t="str">
        <f aca="false">IF($C31="","",IF(Base="RAM",AO31,AJ31))</f>
        <v/>
      </c>
      <c r="AX31" s="46" t="str">
        <f aca="false">IF($C31="","",IF(Base="RAM",AP31,AN31))</f>
        <v/>
      </c>
      <c r="AY31" s="46" t="str">
        <f aca="false">IF($C31="","",AW31-AX31)</f>
        <v/>
      </c>
      <c r="AZ31" s="46" t="str">
        <f aca="false">IF($C31="","",AY31*N(O31))</f>
        <v/>
      </c>
      <c r="BA31" s="46" t="str">
        <f aca="false">IF($C31="","",AY31-AZ31)</f>
        <v/>
      </c>
      <c r="BB31" s="46" t="str">
        <f aca="false">IF($C31="","",IFERROR(P31*(1/W31-1/X31),0))</f>
        <v/>
      </c>
      <c r="BC31" s="46" t="str">
        <f aca="false">IF($C31="","",IFERROR(Y31*(1/W31-1/X31),0))</f>
        <v/>
      </c>
      <c r="BD31" s="46" t="str">
        <f aca="false">IF($C31="","",AY31+BB31+BC31)</f>
        <v/>
      </c>
      <c r="BE31" s="46" t="str">
        <f aca="false">IF($C31="","",P31+INDEX(FFScost,N(S31)+1)+IF(AK31="NO APTO/REPARAR",N(V31),0)+RBIimpl)</f>
        <v/>
      </c>
      <c r="BF31" s="43" t="str">
        <f aca="false">IF($C31="","",IF(Q31=0,Horiz,(1-(1+Q31)^(-Horiz))/Q31))</f>
        <v/>
      </c>
      <c r="BG31" s="46" t="str">
        <f aca="false">IF($C31="","",BD31*BF31)</f>
        <v/>
      </c>
      <c r="BH31" s="49" t="str">
        <f aca="false">IF($C31="","",IFERROR(BG31/BE31,0))</f>
        <v/>
      </c>
      <c r="BI31" s="50" t="str">
        <f aca="false">IF($C31="","",BG31-BE31)</f>
        <v/>
      </c>
      <c r="BJ31" s="51" t="str">
        <f aca="false">IF($C31="","",IFERROR((Horiz*BD31-BE31)/BE31,0))</f>
        <v/>
      </c>
      <c r="BK31" s="52" t="str">
        <f aca="false">IF($C31="","",IF(BD31&gt;0,BE31/BD31,"No recupera"))</f>
        <v/>
      </c>
      <c r="BL31" s="52" t="str">
        <f aca="false">IF($C31="","",IF(BD31&lt;=0,"No recupera",IF(Q31=0,BE31/BD31,IFERROR(-LN(1-BE31*Q31/BD31)/LN(1+Q31),"No recupera"))))</f>
        <v/>
      </c>
      <c r="BM31" s="50" t="str">
        <f aca="false">IF($C31="","",BD31-BE31/BF31)</f>
        <v/>
      </c>
      <c r="BN31" s="47" t="str">
        <f aca="false">IF($C31="","",IF(BH31&gt;1,"ACEPTABLE","NO ACEPTABLE"))</f>
        <v/>
      </c>
      <c r="BO31" s="50" t="str">
        <f aca="false">IF($C31="","",-$BE31+IF($Q31=0,$BD31*MIN(BO$15,Horiz),$BD31*(1-(1+$Q31)^(-MIN(BO$15,Horiz)))/$Q31))</f>
        <v/>
      </c>
      <c r="BP31" s="50" t="str">
        <f aca="false">IF($C31="","",-$BE31+IF($Q31=0,$BD31*MIN(BP$15,Horiz),$BD31*(1-(1+$Q31)^(-MIN(BP$15,Horiz)))/$Q31))</f>
        <v/>
      </c>
      <c r="BQ31" s="50" t="str">
        <f aca="false">IF($C31="","",-$BE31+IF($Q31=0,$BD31*MIN(BQ$15,Horiz),$BD31*(1-(1+$Q31)^(-MIN(BQ$15,Horiz)))/$Q31))</f>
        <v/>
      </c>
      <c r="BR31" s="50" t="str">
        <f aca="false">IF($C31="","",-$BE31+IF($Q31=0,$BD31*MIN(BR$15,Horiz),$BD31*(1-(1+$Q31)^(-MIN(BR$15,Horiz)))/$Q31))</f>
        <v/>
      </c>
      <c r="BS31" s="50" t="str">
        <f aca="false">IF($C31="","",-$BE31+IF($Q31=0,$BD31*MIN(BS$15,Horiz),$BD31*(1-(1+$Q31)^(-MIN(BS$15,Horiz)))/$Q31))</f>
        <v/>
      </c>
      <c r="BT31" s="50" t="str">
        <f aca="false">IF($C31="","",-$BE31+IF($Q31=0,$BD31*MIN(BT$15,Horiz),$BD31*(1-(1+$Q31)^(-MIN(BT$15,Horiz)))/$Q31))</f>
        <v/>
      </c>
      <c r="BU31" s="50" t="str">
        <f aca="false">IF($C31="","",-$BE31+IF($Q31=0,$BD31*MIN(BU$15,Horiz),$BD31*(1-(1+$Q31)^(-MIN(BU$15,Horiz)))/$Q31))</f>
        <v/>
      </c>
      <c r="BV31" s="50" t="str">
        <f aca="false">IF($C31="","",-$BE31+IF($Q31=0,$BD31*MIN(BV$15,Horiz),$BD31*(1-(1+$Q31)^(-MIN(BV$15,Horiz)))/$Q31))</f>
        <v/>
      </c>
      <c r="BW31" s="50" t="str">
        <f aca="false">IF($C31="","",-$BE31+IF($Q31=0,$BD31*MIN(BW$15,Horiz),$BD31*(1-(1+$Q31)^(-MIN(BW$15,Horiz)))/$Q31))</f>
        <v/>
      </c>
      <c r="BX31" s="50" t="str">
        <f aca="false">IF($C31="","",-$BE31+IF($Q31=0,$BD31*MIN(BX$15,Horiz),$BD31*(1-(1+$Q31)^(-MIN(BX$15,Horiz)))/$Q31))</f>
        <v/>
      </c>
      <c r="BY31" s="50" t="str">
        <f aca="false">IF($C31="","",-$BE31+IF($Q31=0,$BD31*MIN(BY$15,Horiz),$BD31*(1-(1+$Q31)^(-MIN(BY$15,Horiz)))/$Q31))</f>
        <v/>
      </c>
      <c r="BZ31" s="50" t="str">
        <f aca="false">IF($C31="","",-$BE31+IF($Q31=0,$BD31*MIN(BZ$15,Horiz),$BD31*(1-(1+$Q31)^(-MIN(BZ$15,Horiz)))/$Q31))</f>
        <v/>
      </c>
      <c r="CA31" s="50" t="str">
        <f aca="false">IF($C31="","",-$BE31+IF($Q31=0,$BD31*MIN(CA$15,Horiz),$BD31*(1-(1+$Q31)^(-MIN(CA$15,Horiz)))/$Q31))</f>
        <v/>
      </c>
      <c r="CB31" s="50" t="str">
        <f aca="false">IF($C31="","",-$BE31+IF($Q31=0,$BD31*MIN(CB$15,Horiz),$BD31*(1-(1+$Q31)^(-MIN(CB$15,Horiz)))/$Q31))</f>
        <v/>
      </c>
      <c r="CC31" s="50" t="str">
        <f aca="false">IF($C31="","",-$BE31+IF($Q31=0,$BD31*MIN(CC$15,Horiz),$BD31*(1-(1+$Q31)^(-MIN(CC$15,Horiz)))/$Q31))</f>
        <v/>
      </c>
      <c r="CD31" s="50" t="str">
        <f aca="false">IF($C31="","",-$BE31+IF($Q31=0,$BD31*MIN(CD$15,Horiz),$BD31*(1-(1+$Q31)^(-MIN(CD$15,Horiz)))/$Q31))</f>
        <v/>
      </c>
    </row>
    <row r="32" customFormat="false" ht="15" hidden="false" customHeight="false" outlineLevel="0" collapsed="false">
      <c r="A32" s="32" t="n">
        <v>17</v>
      </c>
      <c r="B32" s="33"/>
      <c r="C32" s="34"/>
      <c r="D32" s="33"/>
      <c r="E32" s="33"/>
      <c r="F32" s="35"/>
      <c r="G32" s="35"/>
      <c r="H32" s="36"/>
      <c r="I32" s="37"/>
      <c r="J32" s="35"/>
      <c r="K32" s="33"/>
      <c r="L32" s="34"/>
      <c r="M32" s="38"/>
      <c r="N32" s="39"/>
      <c r="O32" s="40"/>
      <c r="P32" s="39"/>
      <c r="Q32" s="41"/>
      <c r="R32" s="34"/>
      <c r="S32" s="35"/>
      <c r="T32" s="34"/>
      <c r="U32" s="34"/>
      <c r="V32" s="39"/>
      <c r="W32" s="35"/>
      <c r="X32" s="35"/>
      <c r="Y32" s="39"/>
      <c r="Z32" s="35"/>
      <c r="AA32" s="34"/>
      <c r="AB32" s="35"/>
      <c r="AC32" s="34"/>
      <c r="AD32" s="42" t="str">
        <f aca="false">IF($C32="","",AnioEval-J32)</f>
        <v/>
      </c>
      <c r="AE32" s="43" t="str">
        <f aca="false">IF($C32="","",IFERROR(I32*AD32/H32,0))</f>
        <v/>
      </c>
      <c r="AF32" s="44" t="str">
        <f aca="false">IF($C32="","",IF(INDEX(MecTipo,MATCH(K32,MecList,0))="F",IFERROR(INDEX(SusDF,MATCH(L32,SusList,0)),1),LOOKUP(AE32,ArtLim,ArtDF)))</f>
        <v/>
      </c>
      <c r="AG32" s="44" t="str">
        <f aca="false">IF($C32="","",IF(ISNUMBER(M32),M32,AF32))</f>
        <v/>
      </c>
      <c r="AH32" s="45" t="str">
        <f aca="false">IF($C32="","",INDEX(GFFval,MATCH(D32,GFFtipo,0)))</f>
        <v/>
      </c>
      <c r="AI32" s="45" t="str">
        <f aca="false">IF($C32="","",AH32*AG32*FMS)</f>
        <v/>
      </c>
      <c r="AJ32" s="46" t="str">
        <f aca="false">IF($C32="","",AI32*N32)</f>
        <v/>
      </c>
      <c r="AK32" s="47" t="str">
        <f aca="false">IF($C32="","",IF(N(S32)=0,"No requerido",IF(AND(T32="Apto",U32="Pasa"),"APTO/PASA",IF(T32="No apto","NO APTO/REPARAR","REVISAR"))))</f>
        <v/>
      </c>
      <c r="AL32" s="44" t="str">
        <f aca="false">IF($C32="","",IF(AK32="NO APTO/REPARAR",1,MAX(1,AG32*INDEX(EffRet,MATCH(R32,EffList,0))*INDEX(FFSfac,MATCH(AK32,FFSlist,0)))))</f>
        <v/>
      </c>
      <c r="AM32" s="45" t="str">
        <f aca="false">IF($C32="","",AH32*AL32*FMS)</f>
        <v/>
      </c>
      <c r="AN32" s="46" t="str">
        <f aca="false">IF($C32="","",AM32*N32)</f>
        <v/>
      </c>
      <c r="AO32" s="46" t="str">
        <f aca="false">IF($C32="","",IFERROR(AH32*FMS*INDEX(DFrep,Z32)*INDEX(FCrep,MATCH(AA32,CatLet,0)),AJ32))</f>
        <v/>
      </c>
      <c r="AP32" s="46" t="str">
        <f aca="false">IF($C32="","",IFERROR(AH32*FMS*INDEX(DFrep,AB32)*INDEX(FCrep,MATCH(AC32,CatLet,0)),AN32))</f>
        <v/>
      </c>
      <c r="AQ32" s="48" t="str">
        <f aca="false">IF($C32="","",(1+SUMPRODUCT(--(AG32&gt;PcutDF)))&amp;CHOOSE(1+SUMPRODUCT(--(N32&gt;CcutFC)),"A","B","C","D","E"))</f>
        <v/>
      </c>
      <c r="AR32" s="48" t="str">
        <f aca="false">IF($C32="","",(1+SUMPRODUCT(--(AL32&gt;PcutDF)))&amp;CHOOSE(1+SUMPRODUCT(--(N32&gt;CcutFC)),"A","B","C","D","E"))</f>
        <v/>
      </c>
      <c r="AS32" s="48" t="str">
        <f aca="false">IF($C32="","",IF(AND(Z32&amp;AA32=AQ32,AB32&amp;AC32=AR32),"OK","REVISAR"))</f>
        <v/>
      </c>
      <c r="AT32" s="42" t="str">
        <f aca="false">IF($C32="","",IFERROR(INDEX(RAMlev,Z32,MATCH(AA32,CatLet,0)),""))</f>
        <v/>
      </c>
      <c r="AU32" s="42" t="str">
        <f aca="false">IF($C32="","",IFERROR(INDEX(RAMlev,AB32,MATCH(AC32,CatLet,0)),""))</f>
        <v/>
      </c>
      <c r="AV32" s="48" t="str">
        <f aca="false">IF($C32="","",IF(AU32="","",IF(AU32&lt;=ObjNivel,"Cumple","Excede")))</f>
        <v/>
      </c>
      <c r="AW32" s="46" t="str">
        <f aca="false">IF($C32="","",IF(Base="RAM",AO32,AJ32))</f>
        <v/>
      </c>
      <c r="AX32" s="46" t="str">
        <f aca="false">IF($C32="","",IF(Base="RAM",AP32,AN32))</f>
        <v/>
      </c>
      <c r="AY32" s="46" t="str">
        <f aca="false">IF($C32="","",AW32-AX32)</f>
        <v/>
      </c>
      <c r="AZ32" s="46" t="str">
        <f aca="false">IF($C32="","",AY32*N(O32))</f>
        <v/>
      </c>
      <c r="BA32" s="46" t="str">
        <f aca="false">IF($C32="","",AY32-AZ32)</f>
        <v/>
      </c>
      <c r="BB32" s="46" t="str">
        <f aca="false">IF($C32="","",IFERROR(P32*(1/W32-1/X32),0))</f>
        <v/>
      </c>
      <c r="BC32" s="46" t="str">
        <f aca="false">IF($C32="","",IFERROR(Y32*(1/W32-1/X32),0))</f>
        <v/>
      </c>
      <c r="BD32" s="46" t="str">
        <f aca="false">IF($C32="","",AY32+BB32+BC32)</f>
        <v/>
      </c>
      <c r="BE32" s="46" t="str">
        <f aca="false">IF($C32="","",P32+INDEX(FFScost,N(S32)+1)+IF(AK32="NO APTO/REPARAR",N(V32),0)+RBIimpl)</f>
        <v/>
      </c>
      <c r="BF32" s="43" t="str">
        <f aca="false">IF($C32="","",IF(Q32=0,Horiz,(1-(1+Q32)^(-Horiz))/Q32))</f>
        <v/>
      </c>
      <c r="BG32" s="46" t="str">
        <f aca="false">IF($C32="","",BD32*BF32)</f>
        <v/>
      </c>
      <c r="BH32" s="49" t="str">
        <f aca="false">IF($C32="","",IFERROR(BG32/BE32,0))</f>
        <v/>
      </c>
      <c r="BI32" s="50" t="str">
        <f aca="false">IF($C32="","",BG32-BE32)</f>
        <v/>
      </c>
      <c r="BJ32" s="51" t="str">
        <f aca="false">IF($C32="","",IFERROR((Horiz*BD32-BE32)/BE32,0))</f>
        <v/>
      </c>
      <c r="BK32" s="52" t="str">
        <f aca="false">IF($C32="","",IF(BD32&gt;0,BE32/BD32,"No recupera"))</f>
        <v/>
      </c>
      <c r="BL32" s="52" t="str">
        <f aca="false">IF($C32="","",IF(BD32&lt;=0,"No recupera",IF(Q32=0,BE32/BD32,IFERROR(-LN(1-BE32*Q32/BD32)/LN(1+Q32),"No recupera"))))</f>
        <v/>
      </c>
      <c r="BM32" s="50" t="str">
        <f aca="false">IF($C32="","",BD32-BE32/BF32)</f>
        <v/>
      </c>
      <c r="BN32" s="47" t="str">
        <f aca="false">IF($C32="","",IF(BH32&gt;1,"ACEPTABLE","NO ACEPTABLE"))</f>
        <v/>
      </c>
      <c r="BO32" s="50" t="str">
        <f aca="false">IF($C32="","",-$BE32+IF($Q32=0,$BD32*MIN(BO$15,Horiz),$BD32*(1-(1+$Q32)^(-MIN(BO$15,Horiz)))/$Q32))</f>
        <v/>
      </c>
      <c r="BP32" s="50" t="str">
        <f aca="false">IF($C32="","",-$BE32+IF($Q32=0,$BD32*MIN(BP$15,Horiz),$BD32*(1-(1+$Q32)^(-MIN(BP$15,Horiz)))/$Q32))</f>
        <v/>
      </c>
      <c r="BQ32" s="50" t="str">
        <f aca="false">IF($C32="","",-$BE32+IF($Q32=0,$BD32*MIN(BQ$15,Horiz),$BD32*(1-(1+$Q32)^(-MIN(BQ$15,Horiz)))/$Q32))</f>
        <v/>
      </c>
      <c r="BR32" s="50" t="str">
        <f aca="false">IF($C32="","",-$BE32+IF($Q32=0,$BD32*MIN(BR$15,Horiz),$BD32*(1-(1+$Q32)^(-MIN(BR$15,Horiz)))/$Q32))</f>
        <v/>
      </c>
      <c r="BS32" s="50" t="str">
        <f aca="false">IF($C32="","",-$BE32+IF($Q32=0,$BD32*MIN(BS$15,Horiz),$BD32*(1-(1+$Q32)^(-MIN(BS$15,Horiz)))/$Q32))</f>
        <v/>
      </c>
      <c r="BT32" s="50" t="str">
        <f aca="false">IF($C32="","",-$BE32+IF($Q32=0,$BD32*MIN(BT$15,Horiz),$BD32*(1-(1+$Q32)^(-MIN(BT$15,Horiz)))/$Q32))</f>
        <v/>
      </c>
      <c r="BU32" s="50" t="str">
        <f aca="false">IF($C32="","",-$BE32+IF($Q32=0,$BD32*MIN(BU$15,Horiz),$BD32*(1-(1+$Q32)^(-MIN(BU$15,Horiz)))/$Q32))</f>
        <v/>
      </c>
      <c r="BV32" s="50" t="str">
        <f aca="false">IF($C32="","",-$BE32+IF($Q32=0,$BD32*MIN(BV$15,Horiz),$BD32*(1-(1+$Q32)^(-MIN(BV$15,Horiz)))/$Q32))</f>
        <v/>
      </c>
      <c r="BW32" s="50" t="str">
        <f aca="false">IF($C32="","",-$BE32+IF($Q32=0,$BD32*MIN(BW$15,Horiz),$BD32*(1-(1+$Q32)^(-MIN(BW$15,Horiz)))/$Q32))</f>
        <v/>
      </c>
      <c r="BX32" s="50" t="str">
        <f aca="false">IF($C32="","",-$BE32+IF($Q32=0,$BD32*MIN(BX$15,Horiz),$BD32*(1-(1+$Q32)^(-MIN(BX$15,Horiz)))/$Q32))</f>
        <v/>
      </c>
      <c r="BY32" s="50" t="str">
        <f aca="false">IF($C32="","",-$BE32+IF($Q32=0,$BD32*MIN(BY$15,Horiz),$BD32*(1-(1+$Q32)^(-MIN(BY$15,Horiz)))/$Q32))</f>
        <v/>
      </c>
      <c r="BZ32" s="50" t="str">
        <f aca="false">IF($C32="","",-$BE32+IF($Q32=0,$BD32*MIN(BZ$15,Horiz),$BD32*(1-(1+$Q32)^(-MIN(BZ$15,Horiz)))/$Q32))</f>
        <v/>
      </c>
      <c r="CA32" s="50" t="str">
        <f aca="false">IF($C32="","",-$BE32+IF($Q32=0,$BD32*MIN(CA$15,Horiz),$BD32*(1-(1+$Q32)^(-MIN(CA$15,Horiz)))/$Q32))</f>
        <v/>
      </c>
      <c r="CB32" s="50" t="str">
        <f aca="false">IF($C32="","",-$BE32+IF($Q32=0,$BD32*MIN(CB$15,Horiz),$BD32*(1-(1+$Q32)^(-MIN(CB$15,Horiz)))/$Q32))</f>
        <v/>
      </c>
      <c r="CC32" s="50" t="str">
        <f aca="false">IF($C32="","",-$BE32+IF($Q32=0,$BD32*MIN(CC$15,Horiz),$BD32*(1-(1+$Q32)^(-MIN(CC$15,Horiz)))/$Q32))</f>
        <v/>
      </c>
      <c r="CD32" s="50" t="str">
        <f aca="false">IF($C32="","",-$BE32+IF($Q32=0,$BD32*MIN(CD$15,Horiz),$BD32*(1-(1+$Q32)^(-MIN(CD$15,Horiz)))/$Q32))</f>
        <v/>
      </c>
    </row>
    <row r="33" customFormat="false" ht="15" hidden="false" customHeight="false" outlineLevel="0" collapsed="false">
      <c r="A33" s="32" t="n">
        <v>18</v>
      </c>
      <c r="B33" s="33"/>
      <c r="C33" s="34"/>
      <c r="D33" s="33"/>
      <c r="E33" s="33"/>
      <c r="F33" s="35"/>
      <c r="G33" s="35"/>
      <c r="H33" s="36"/>
      <c r="I33" s="37"/>
      <c r="J33" s="35"/>
      <c r="K33" s="33"/>
      <c r="L33" s="34"/>
      <c r="M33" s="38"/>
      <c r="N33" s="39"/>
      <c r="O33" s="40"/>
      <c r="P33" s="39"/>
      <c r="Q33" s="41"/>
      <c r="R33" s="34"/>
      <c r="S33" s="35"/>
      <c r="T33" s="34"/>
      <c r="U33" s="34"/>
      <c r="V33" s="39"/>
      <c r="W33" s="35"/>
      <c r="X33" s="35"/>
      <c r="Y33" s="39"/>
      <c r="Z33" s="35"/>
      <c r="AA33" s="34"/>
      <c r="AB33" s="35"/>
      <c r="AC33" s="34"/>
      <c r="AD33" s="42" t="str">
        <f aca="false">IF($C33="","",AnioEval-J33)</f>
        <v/>
      </c>
      <c r="AE33" s="43" t="str">
        <f aca="false">IF($C33="","",IFERROR(I33*AD33/H33,0))</f>
        <v/>
      </c>
      <c r="AF33" s="44" t="str">
        <f aca="false">IF($C33="","",IF(INDEX(MecTipo,MATCH(K33,MecList,0))="F",IFERROR(INDEX(SusDF,MATCH(L33,SusList,0)),1),LOOKUP(AE33,ArtLim,ArtDF)))</f>
        <v/>
      </c>
      <c r="AG33" s="44" t="str">
        <f aca="false">IF($C33="","",IF(ISNUMBER(M33),M33,AF33))</f>
        <v/>
      </c>
      <c r="AH33" s="45" t="str">
        <f aca="false">IF($C33="","",INDEX(GFFval,MATCH(D33,GFFtipo,0)))</f>
        <v/>
      </c>
      <c r="AI33" s="45" t="str">
        <f aca="false">IF($C33="","",AH33*AG33*FMS)</f>
        <v/>
      </c>
      <c r="AJ33" s="46" t="str">
        <f aca="false">IF($C33="","",AI33*N33)</f>
        <v/>
      </c>
      <c r="AK33" s="47" t="str">
        <f aca="false">IF($C33="","",IF(N(S33)=0,"No requerido",IF(AND(T33="Apto",U33="Pasa"),"APTO/PASA",IF(T33="No apto","NO APTO/REPARAR","REVISAR"))))</f>
        <v/>
      </c>
      <c r="AL33" s="44" t="str">
        <f aca="false">IF($C33="","",IF(AK33="NO APTO/REPARAR",1,MAX(1,AG33*INDEX(EffRet,MATCH(R33,EffList,0))*INDEX(FFSfac,MATCH(AK33,FFSlist,0)))))</f>
        <v/>
      </c>
      <c r="AM33" s="45" t="str">
        <f aca="false">IF($C33="","",AH33*AL33*FMS)</f>
        <v/>
      </c>
      <c r="AN33" s="46" t="str">
        <f aca="false">IF($C33="","",AM33*N33)</f>
        <v/>
      </c>
      <c r="AO33" s="46" t="str">
        <f aca="false">IF($C33="","",IFERROR(AH33*FMS*INDEX(DFrep,Z33)*INDEX(FCrep,MATCH(AA33,CatLet,0)),AJ33))</f>
        <v/>
      </c>
      <c r="AP33" s="46" t="str">
        <f aca="false">IF($C33="","",IFERROR(AH33*FMS*INDEX(DFrep,AB33)*INDEX(FCrep,MATCH(AC33,CatLet,0)),AN33))</f>
        <v/>
      </c>
      <c r="AQ33" s="48" t="str">
        <f aca="false">IF($C33="","",(1+SUMPRODUCT(--(AG33&gt;PcutDF)))&amp;CHOOSE(1+SUMPRODUCT(--(N33&gt;CcutFC)),"A","B","C","D","E"))</f>
        <v/>
      </c>
      <c r="AR33" s="48" t="str">
        <f aca="false">IF($C33="","",(1+SUMPRODUCT(--(AL33&gt;PcutDF)))&amp;CHOOSE(1+SUMPRODUCT(--(N33&gt;CcutFC)),"A","B","C","D","E"))</f>
        <v/>
      </c>
      <c r="AS33" s="48" t="str">
        <f aca="false">IF($C33="","",IF(AND(Z33&amp;AA33=AQ33,AB33&amp;AC33=AR33),"OK","REVISAR"))</f>
        <v/>
      </c>
      <c r="AT33" s="42" t="str">
        <f aca="false">IF($C33="","",IFERROR(INDEX(RAMlev,Z33,MATCH(AA33,CatLet,0)),""))</f>
        <v/>
      </c>
      <c r="AU33" s="42" t="str">
        <f aca="false">IF($C33="","",IFERROR(INDEX(RAMlev,AB33,MATCH(AC33,CatLet,0)),""))</f>
        <v/>
      </c>
      <c r="AV33" s="48" t="str">
        <f aca="false">IF($C33="","",IF(AU33="","",IF(AU33&lt;=ObjNivel,"Cumple","Excede")))</f>
        <v/>
      </c>
      <c r="AW33" s="46" t="str">
        <f aca="false">IF($C33="","",IF(Base="RAM",AO33,AJ33))</f>
        <v/>
      </c>
      <c r="AX33" s="46" t="str">
        <f aca="false">IF($C33="","",IF(Base="RAM",AP33,AN33))</f>
        <v/>
      </c>
      <c r="AY33" s="46" t="str">
        <f aca="false">IF($C33="","",AW33-AX33)</f>
        <v/>
      </c>
      <c r="AZ33" s="46" t="str">
        <f aca="false">IF($C33="","",AY33*N(O33))</f>
        <v/>
      </c>
      <c r="BA33" s="46" t="str">
        <f aca="false">IF($C33="","",AY33-AZ33)</f>
        <v/>
      </c>
      <c r="BB33" s="46" t="str">
        <f aca="false">IF($C33="","",IFERROR(P33*(1/W33-1/X33),0))</f>
        <v/>
      </c>
      <c r="BC33" s="46" t="str">
        <f aca="false">IF($C33="","",IFERROR(Y33*(1/W33-1/X33),0))</f>
        <v/>
      </c>
      <c r="BD33" s="46" t="str">
        <f aca="false">IF($C33="","",AY33+BB33+BC33)</f>
        <v/>
      </c>
      <c r="BE33" s="46" t="str">
        <f aca="false">IF($C33="","",P33+INDEX(FFScost,N(S33)+1)+IF(AK33="NO APTO/REPARAR",N(V33),0)+RBIimpl)</f>
        <v/>
      </c>
      <c r="BF33" s="43" t="str">
        <f aca="false">IF($C33="","",IF(Q33=0,Horiz,(1-(1+Q33)^(-Horiz))/Q33))</f>
        <v/>
      </c>
      <c r="BG33" s="46" t="str">
        <f aca="false">IF($C33="","",BD33*BF33)</f>
        <v/>
      </c>
      <c r="BH33" s="49" t="str">
        <f aca="false">IF($C33="","",IFERROR(BG33/BE33,0))</f>
        <v/>
      </c>
      <c r="BI33" s="50" t="str">
        <f aca="false">IF($C33="","",BG33-BE33)</f>
        <v/>
      </c>
      <c r="BJ33" s="51" t="str">
        <f aca="false">IF($C33="","",IFERROR((Horiz*BD33-BE33)/BE33,0))</f>
        <v/>
      </c>
      <c r="BK33" s="52" t="str">
        <f aca="false">IF($C33="","",IF(BD33&gt;0,BE33/BD33,"No recupera"))</f>
        <v/>
      </c>
      <c r="BL33" s="52" t="str">
        <f aca="false">IF($C33="","",IF(BD33&lt;=0,"No recupera",IF(Q33=0,BE33/BD33,IFERROR(-LN(1-BE33*Q33/BD33)/LN(1+Q33),"No recupera"))))</f>
        <v/>
      </c>
      <c r="BM33" s="50" t="str">
        <f aca="false">IF($C33="","",BD33-BE33/BF33)</f>
        <v/>
      </c>
      <c r="BN33" s="47" t="str">
        <f aca="false">IF($C33="","",IF(BH33&gt;1,"ACEPTABLE","NO ACEPTABLE"))</f>
        <v/>
      </c>
      <c r="BO33" s="50" t="str">
        <f aca="false">IF($C33="","",-$BE33+IF($Q33=0,$BD33*MIN(BO$15,Horiz),$BD33*(1-(1+$Q33)^(-MIN(BO$15,Horiz)))/$Q33))</f>
        <v/>
      </c>
      <c r="BP33" s="50" t="str">
        <f aca="false">IF($C33="","",-$BE33+IF($Q33=0,$BD33*MIN(BP$15,Horiz),$BD33*(1-(1+$Q33)^(-MIN(BP$15,Horiz)))/$Q33))</f>
        <v/>
      </c>
      <c r="BQ33" s="50" t="str">
        <f aca="false">IF($C33="","",-$BE33+IF($Q33=0,$BD33*MIN(BQ$15,Horiz),$BD33*(1-(1+$Q33)^(-MIN(BQ$15,Horiz)))/$Q33))</f>
        <v/>
      </c>
      <c r="BR33" s="50" t="str">
        <f aca="false">IF($C33="","",-$BE33+IF($Q33=0,$BD33*MIN(BR$15,Horiz),$BD33*(1-(1+$Q33)^(-MIN(BR$15,Horiz)))/$Q33))</f>
        <v/>
      </c>
      <c r="BS33" s="50" t="str">
        <f aca="false">IF($C33="","",-$BE33+IF($Q33=0,$BD33*MIN(BS$15,Horiz),$BD33*(1-(1+$Q33)^(-MIN(BS$15,Horiz)))/$Q33))</f>
        <v/>
      </c>
      <c r="BT33" s="50" t="str">
        <f aca="false">IF($C33="","",-$BE33+IF($Q33=0,$BD33*MIN(BT$15,Horiz),$BD33*(1-(1+$Q33)^(-MIN(BT$15,Horiz)))/$Q33))</f>
        <v/>
      </c>
      <c r="BU33" s="50" t="str">
        <f aca="false">IF($C33="","",-$BE33+IF($Q33=0,$BD33*MIN(BU$15,Horiz),$BD33*(1-(1+$Q33)^(-MIN(BU$15,Horiz)))/$Q33))</f>
        <v/>
      </c>
      <c r="BV33" s="50" t="str">
        <f aca="false">IF($C33="","",-$BE33+IF($Q33=0,$BD33*MIN(BV$15,Horiz),$BD33*(1-(1+$Q33)^(-MIN(BV$15,Horiz)))/$Q33))</f>
        <v/>
      </c>
      <c r="BW33" s="50" t="str">
        <f aca="false">IF($C33="","",-$BE33+IF($Q33=0,$BD33*MIN(BW$15,Horiz),$BD33*(1-(1+$Q33)^(-MIN(BW$15,Horiz)))/$Q33))</f>
        <v/>
      </c>
      <c r="BX33" s="50" t="str">
        <f aca="false">IF($C33="","",-$BE33+IF($Q33=0,$BD33*MIN(BX$15,Horiz),$BD33*(1-(1+$Q33)^(-MIN(BX$15,Horiz)))/$Q33))</f>
        <v/>
      </c>
      <c r="BY33" s="50" t="str">
        <f aca="false">IF($C33="","",-$BE33+IF($Q33=0,$BD33*MIN(BY$15,Horiz),$BD33*(1-(1+$Q33)^(-MIN(BY$15,Horiz)))/$Q33))</f>
        <v/>
      </c>
      <c r="BZ33" s="50" t="str">
        <f aca="false">IF($C33="","",-$BE33+IF($Q33=0,$BD33*MIN(BZ$15,Horiz),$BD33*(1-(1+$Q33)^(-MIN(BZ$15,Horiz)))/$Q33))</f>
        <v/>
      </c>
      <c r="CA33" s="50" t="str">
        <f aca="false">IF($C33="","",-$BE33+IF($Q33=0,$BD33*MIN(CA$15,Horiz),$BD33*(1-(1+$Q33)^(-MIN(CA$15,Horiz)))/$Q33))</f>
        <v/>
      </c>
      <c r="CB33" s="50" t="str">
        <f aca="false">IF($C33="","",-$BE33+IF($Q33=0,$BD33*MIN(CB$15,Horiz),$BD33*(1-(1+$Q33)^(-MIN(CB$15,Horiz)))/$Q33))</f>
        <v/>
      </c>
      <c r="CC33" s="50" t="str">
        <f aca="false">IF($C33="","",-$BE33+IF($Q33=0,$BD33*MIN(CC$15,Horiz),$BD33*(1-(1+$Q33)^(-MIN(CC$15,Horiz)))/$Q33))</f>
        <v/>
      </c>
      <c r="CD33" s="50" t="str">
        <f aca="false">IF($C33="","",-$BE33+IF($Q33=0,$BD33*MIN(CD$15,Horiz),$BD33*(1-(1+$Q33)^(-MIN(CD$15,Horiz)))/$Q33))</f>
        <v/>
      </c>
    </row>
    <row r="34" customFormat="false" ht="15" hidden="false" customHeight="false" outlineLevel="0" collapsed="false">
      <c r="A34" s="32" t="n">
        <v>19</v>
      </c>
      <c r="B34" s="33"/>
      <c r="C34" s="34"/>
      <c r="D34" s="33"/>
      <c r="E34" s="33"/>
      <c r="F34" s="35"/>
      <c r="G34" s="35"/>
      <c r="H34" s="36"/>
      <c r="I34" s="37"/>
      <c r="J34" s="35"/>
      <c r="K34" s="33"/>
      <c r="L34" s="34"/>
      <c r="M34" s="38"/>
      <c r="N34" s="39"/>
      <c r="O34" s="40"/>
      <c r="P34" s="39"/>
      <c r="Q34" s="41"/>
      <c r="R34" s="34"/>
      <c r="S34" s="35"/>
      <c r="T34" s="34"/>
      <c r="U34" s="34"/>
      <c r="V34" s="39"/>
      <c r="W34" s="35"/>
      <c r="X34" s="35"/>
      <c r="Y34" s="39"/>
      <c r="Z34" s="35"/>
      <c r="AA34" s="34"/>
      <c r="AB34" s="35"/>
      <c r="AC34" s="34"/>
      <c r="AD34" s="42" t="str">
        <f aca="false">IF($C34="","",AnioEval-J34)</f>
        <v/>
      </c>
      <c r="AE34" s="43" t="str">
        <f aca="false">IF($C34="","",IFERROR(I34*AD34/H34,0))</f>
        <v/>
      </c>
      <c r="AF34" s="44" t="str">
        <f aca="false">IF($C34="","",IF(INDEX(MecTipo,MATCH(K34,MecList,0))="F",IFERROR(INDEX(SusDF,MATCH(L34,SusList,0)),1),LOOKUP(AE34,ArtLim,ArtDF)))</f>
        <v/>
      </c>
      <c r="AG34" s="44" t="str">
        <f aca="false">IF($C34="","",IF(ISNUMBER(M34),M34,AF34))</f>
        <v/>
      </c>
      <c r="AH34" s="45" t="str">
        <f aca="false">IF($C34="","",INDEX(GFFval,MATCH(D34,GFFtipo,0)))</f>
        <v/>
      </c>
      <c r="AI34" s="45" t="str">
        <f aca="false">IF($C34="","",AH34*AG34*FMS)</f>
        <v/>
      </c>
      <c r="AJ34" s="46" t="str">
        <f aca="false">IF($C34="","",AI34*N34)</f>
        <v/>
      </c>
      <c r="AK34" s="47" t="str">
        <f aca="false">IF($C34="","",IF(N(S34)=0,"No requerido",IF(AND(T34="Apto",U34="Pasa"),"APTO/PASA",IF(T34="No apto","NO APTO/REPARAR","REVISAR"))))</f>
        <v/>
      </c>
      <c r="AL34" s="44" t="str">
        <f aca="false">IF($C34="","",IF(AK34="NO APTO/REPARAR",1,MAX(1,AG34*INDEX(EffRet,MATCH(R34,EffList,0))*INDEX(FFSfac,MATCH(AK34,FFSlist,0)))))</f>
        <v/>
      </c>
      <c r="AM34" s="45" t="str">
        <f aca="false">IF($C34="","",AH34*AL34*FMS)</f>
        <v/>
      </c>
      <c r="AN34" s="46" t="str">
        <f aca="false">IF($C34="","",AM34*N34)</f>
        <v/>
      </c>
      <c r="AO34" s="46" t="str">
        <f aca="false">IF($C34="","",IFERROR(AH34*FMS*INDEX(DFrep,Z34)*INDEX(FCrep,MATCH(AA34,CatLet,0)),AJ34))</f>
        <v/>
      </c>
      <c r="AP34" s="46" t="str">
        <f aca="false">IF($C34="","",IFERROR(AH34*FMS*INDEX(DFrep,AB34)*INDEX(FCrep,MATCH(AC34,CatLet,0)),AN34))</f>
        <v/>
      </c>
      <c r="AQ34" s="48" t="str">
        <f aca="false">IF($C34="","",(1+SUMPRODUCT(--(AG34&gt;PcutDF)))&amp;CHOOSE(1+SUMPRODUCT(--(N34&gt;CcutFC)),"A","B","C","D","E"))</f>
        <v/>
      </c>
      <c r="AR34" s="48" t="str">
        <f aca="false">IF($C34="","",(1+SUMPRODUCT(--(AL34&gt;PcutDF)))&amp;CHOOSE(1+SUMPRODUCT(--(N34&gt;CcutFC)),"A","B","C","D","E"))</f>
        <v/>
      </c>
      <c r="AS34" s="48" t="str">
        <f aca="false">IF($C34="","",IF(AND(Z34&amp;AA34=AQ34,AB34&amp;AC34=AR34),"OK","REVISAR"))</f>
        <v/>
      </c>
      <c r="AT34" s="42" t="str">
        <f aca="false">IF($C34="","",IFERROR(INDEX(RAMlev,Z34,MATCH(AA34,CatLet,0)),""))</f>
        <v/>
      </c>
      <c r="AU34" s="42" t="str">
        <f aca="false">IF($C34="","",IFERROR(INDEX(RAMlev,AB34,MATCH(AC34,CatLet,0)),""))</f>
        <v/>
      </c>
      <c r="AV34" s="48" t="str">
        <f aca="false">IF($C34="","",IF(AU34="","",IF(AU34&lt;=ObjNivel,"Cumple","Excede")))</f>
        <v/>
      </c>
      <c r="AW34" s="46" t="str">
        <f aca="false">IF($C34="","",IF(Base="RAM",AO34,AJ34))</f>
        <v/>
      </c>
      <c r="AX34" s="46" t="str">
        <f aca="false">IF($C34="","",IF(Base="RAM",AP34,AN34))</f>
        <v/>
      </c>
      <c r="AY34" s="46" t="str">
        <f aca="false">IF($C34="","",AW34-AX34)</f>
        <v/>
      </c>
      <c r="AZ34" s="46" t="str">
        <f aca="false">IF($C34="","",AY34*N(O34))</f>
        <v/>
      </c>
      <c r="BA34" s="46" t="str">
        <f aca="false">IF($C34="","",AY34-AZ34)</f>
        <v/>
      </c>
      <c r="BB34" s="46" t="str">
        <f aca="false">IF($C34="","",IFERROR(P34*(1/W34-1/X34),0))</f>
        <v/>
      </c>
      <c r="BC34" s="46" t="str">
        <f aca="false">IF($C34="","",IFERROR(Y34*(1/W34-1/X34),0))</f>
        <v/>
      </c>
      <c r="BD34" s="46" t="str">
        <f aca="false">IF($C34="","",AY34+BB34+BC34)</f>
        <v/>
      </c>
      <c r="BE34" s="46" t="str">
        <f aca="false">IF($C34="","",P34+INDEX(FFScost,N(S34)+1)+IF(AK34="NO APTO/REPARAR",N(V34),0)+RBIimpl)</f>
        <v/>
      </c>
      <c r="BF34" s="43" t="str">
        <f aca="false">IF($C34="","",IF(Q34=0,Horiz,(1-(1+Q34)^(-Horiz))/Q34))</f>
        <v/>
      </c>
      <c r="BG34" s="46" t="str">
        <f aca="false">IF($C34="","",BD34*BF34)</f>
        <v/>
      </c>
      <c r="BH34" s="49" t="str">
        <f aca="false">IF($C34="","",IFERROR(BG34/BE34,0))</f>
        <v/>
      </c>
      <c r="BI34" s="50" t="str">
        <f aca="false">IF($C34="","",BG34-BE34)</f>
        <v/>
      </c>
      <c r="BJ34" s="51" t="str">
        <f aca="false">IF($C34="","",IFERROR((Horiz*BD34-BE34)/BE34,0))</f>
        <v/>
      </c>
      <c r="BK34" s="52" t="str">
        <f aca="false">IF($C34="","",IF(BD34&gt;0,BE34/BD34,"No recupera"))</f>
        <v/>
      </c>
      <c r="BL34" s="52" t="str">
        <f aca="false">IF($C34="","",IF(BD34&lt;=0,"No recupera",IF(Q34=0,BE34/BD34,IFERROR(-LN(1-BE34*Q34/BD34)/LN(1+Q34),"No recupera"))))</f>
        <v/>
      </c>
      <c r="BM34" s="50" t="str">
        <f aca="false">IF($C34="","",BD34-BE34/BF34)</f>
        <v/>
      </c>
      <c r="BN34" s="47" t="str">
        <f aca="false">IF($C34="","",IF(BH34&gt;1,"ACEPTABLE","NO ACEPTABLE"))</f>
        <v/>
      </c>
      <c r="BO34" s="50" t="str">
        <f aca="false">IF($C34="","",-$BE34+IF($Q34=0,$BD34*MIN(BO$15,Horiz),$BD34*(1-(1+$Q34)^(-MIN(BO$15,Horiz)))/$Q34))</f>
        <v/>
      </c>
      <c r="BP34" s="50" t="str">
        <f aca="false">IF($C34="","",-$BE34+IF($Q34=0,$BD34*MIN(BP$15,Horiz),$BD34*(1-(1+$Q34)^(-MIN(BP$15,Horiz)))/$Q34))</f>
        <v/>
      </c>
      <c r="BQ34" s="50" t="str">
        <f aca="false">IF($C34="","",-$BE34+IF($Q34=0,$BD34*MIN(BQ$15,Horiz),$BD34*(1-(1+$Q34)^(-MIN(BQ$15,Horiz)))/$Q34))</f>
        <v/>
      </c>
      <c r="BR34" s="50" t="str">
        <f aca="false">IF($C34="","",-$BE34+IF($Q34=0,$BD34*MIN(BR$15,Horiz),$BD34*(1-(1+$Q34)^(-MIN(BR$15,Horiz)))/$Q34))</f>
        <v/>
      </c>
      <c r="BS34" s="50" t="str">
        <f aca="false">IF($C34="","",-$BE34+IF($Q34=0,$BD34*MIN(BS$15,Horiz),$BD34*(1-(1+$Q34)^(-MIN(BS$15,Horiz)))/$Q34))</f>
        <v/>
      </c>
      <c r="BT34" s="50" t="str">
        <f aca="false">IF($C34="","",-$BE34+IF($Q34=0,$BD34*MIN(BT$15,Horiz),$BD34*(1-(1+$Q34)^(-MIN(BT$15,Horiz)))/$Q34))</f>
        <v/>
      </c>
      <c r="BU34" s="50" t="str">
        <f aca="false">IF($C34="","",-$BE34+IF($Q34=0,$BD34*MIN(BU$15,Horiz),$BD34*(1-(1+$Q34)^(-MIN(BU$15,Horiz)))/$Q34))</f>
        <v/>
      </c>
      <c r="BV34" s="50" t="str">
        <f aca="false">IF($C34="","",-$BE34+IF($Q34=0,$BD34*MIN(BV$15,Horiz),$BD34*(1-(1+$Q34)^(-MIN(BV$15,Horiz)))/$Q34))</f>
        <v/>
      </c>
      <c r="BW34" s="50" t="str">
        <f aca="false">IF($C34="","",-$BE34+IF($Q34=0,$BD34*MIN(BW$15,Horiz),$BD34*(1-(1+$Q34)^(-MIN(BW$15,Horiz)))/$Q34))</f>
        <v/>
      </c>
      <c r="BX34" s="50" t="str">
        <f aca="false">IF($C34="","",-$BE34+IF($Q34=0,$BD34*MIN(BX$15,Horiz),$BD34*(1-(1+$Q34)^(-MIN(BX$15,Horiz)))/$Q34))</f>
        <v/>
      </c>
      <c r="BY34" s="50" t="str">
        <f aca="false">IF($C34="","",-$BE34+IF($Q34=0,$BD34*MIN(BY$15,Horiz),$BD34*(1-(1+$Q34)^(-MIN(BY$15,Horiz)))/$Q34))</f>
        <v/>
      </c>
      <c r="BZ34" s="50" t="str">
        <f aca="false">IF($C34="","",-$BE34+IF($Q34=0,$BD34*MIN(BZ$15,Horiz),$BD34*(1-(1+$Q34)^(-MIN(BZ$15,Horiz)))/$Q34))</f>
        <v/>
      </c>
      <c r="CA34" s="50" t="str">
        <f aca="false">IF($C34="","",-$BE34+IF($Q34=0,$BD34*MIN(CA$15,Horiz),$BD34*(1-(1+$Q34)^(-MIN(CA$15,Horiz)))/$Q34))</f>
        <v/>
      </c>
      <c r="CB34" s="50" t="str">
        <f aca="false">IF($C34="","",-$BE34+IF($Q34=0,$BD34*MIN(CB$15,Horiz),$BD34*(1-(1+$Q34)^(-MIN(CB$15,Horiz)))/$Q34))</f>
        <v/>
      </c>
      <c r="CC34" s="50" t="str">
        <f aca="false">IF($C34="","",-$BE34+IF($Q34=0,$BD34*MIN(CC$15,Horiz),$BD34*(1-(1+$Q34)^(-MIN(CC$15,Horiz)))/$Q34))</f>
        <v/>
      </c>
      <c r="CD34" s="50" t="str">
        <f aca="false">IF($C34="","",-$BE34+IF($Q34=0,$BD34*MIN(CD$15,Horiz),$BD34*(1-(1+$Q34)^(-MIN(CD$15,Horiz)))/$Q34))</f>
        <v/>
      </c>
    </row>
    <row r="35" customFormat="false" ht="15" hidden="false" customHeight="false" outlineLevel="0" collapsed="false">
      <c r="A35" s="32" t="n">
        <v>20</v>
      </c>
      <c r="B35" s="33"/>
      <c r="C35" s="34"/>
      <c r="D35" s="33"/>
      <c r="E35" s="33"/>
      <c r="F35" s="35"/>
      <c r="G35" s="35"/>
      <c r="H35" s="36"/>
      <c r="I35" s="37"/>
      <c r="J35" s="35"/>
      <c r="K35" s="33"/>
      <c r="L35" s="34"/>
      <c r="M35" s="38"/>
      <c r="N35" s="39"/>
      <c r="O35" s="40"/>
      <c r="P35" s="39"/>
      <c r="Q35" s="41"/>
      <c r="R35" s="34"/>
      <c r="S35" s="35"/>
      <c r="T35" s="34"/>
      <c r="U35" s="34"/>
      <c r="V35" s="39"/>
      <c r="W35" s="35"/>
      <c r="X35" s="35"/>
      <c r="Y35" s="39"/>
      <c r="Z35" s="35"/>
      <c r="AA35" s="34"/>
      <c r="AB35" s="35"/>
      <c r="AC35" s="34"/>
      <c r="AD35" s="42" t="str">
        <f aca="false">IF($C35="","",AnioEval-J35)</f>
        <v/>
      </c>
      <c r="AE35" s="43" t="str">
        <f aca="false">IF($C35="","",IFERROR(I35*AD35/H35,0))</f>
        <v/>
      </c>
      <c r="AF35" s="44" t="str">
        <f aca="false">IF($C35="","",IF(INDEX(MecTipo,MATCH(K35,MecList,0))="F",IFERROR(INDEX(SusDF,MATCH(L35,SusList,0)),1),LOOKUP(AE35,ArtLim,ArtDF)))</f>
        <v/>
      </c>
      <c r="AG35" s="44" t="str">
        <f aca="false">IF($C35="","",IF(ISNUMBER(M35),M35,AF35))</f>
        <v/>
      </c>
      <c r="AH35" s="45" t="str">
        <f aca="false">IF($C35="","",INDEX(GFFval,MATCH(D35,GFFtipo,0)))</f>
        <v/>
      </c>
      <c r="AI35" s="45" t="str">
        <f aca="false">IF($C35="","",AH35*AG35*FMS)</f>
        <v/>
      </c>
      <c r="AJ35" s="46" t="str">
        <f aca="false">IF($C35="","",AI35*N35)</f>
        <v/>
      </c>
      <c r="AK35" s="47" t="str">
        <f aca="false">IF($C35="","",IF(N(S35)=0,"No requerido",IF(AND(T35="Apto",U35="Pasa"),"APTO/PASA",IF(T35="No apto","NO APTO/REPARAR","REVISAR"))))</f>
        <v/>
      </c>
      <c r="AL35" s="44" t="str">
        <f aca="false">IF($C35="","",IF(AK35="NO APTO/REPARAR",1,MAX(1,AG35*INDEX(EffRet,MATCH(R35,EffList,0))*INDEX(FFSfac,MATCH(AK35,FFSlist,0)))))</f>
        <v/>
      </c>
      <c r="AM35" s="45" t="str">
        <f aca="false">IF($C35="","",AH35*AL35*FMS)</f>
        <v/>
      </c>
      <c r="AN35" s="46" t="str">
        <f aca="false">IF($C35="","",AM35*N35)</f>
        <v/>
      </c>
      <c r="AO35" s="46" t="str">
        <f aca="false">IF($C35="","",IFERROR(AH35*FMS*INDEX(DFrep,Z35)*INDEX(FCrep,MATCH(AA35,CatLet,0)),AJ35))</f>
        <v/>
      </c>
      <c r="AP35" s="46" t="str">
        <f aca="false">IF($C35="","",IFERROR(AH35*FMS*INDEX(DFrep,AB35)*INDEX(FCrep,MATCH(AC35,CatLet,0)),AN35))</f>
        <v/>
      </c>
      <c r="AQ35" s="48" t="str">
        <f aca="false">IF($C35="","",(1+SUMPRODUCT(--(AG35&gt;PcutDF)))&amp;CHOOSE(1+SUMPRODUCT(--(N35&gt;CcutFC)),"A","B","C","D","E"))</f>
        <v/>
      </c>
      <c r="AR35" s="48" t="str">
        <f aca="false">IF($C35="","",(1+SUMPRODUCT(--(AL35&gt;PcutDF)))&amp;CHOOSE(1+SUMPRODUCT(--(N35&gt;CcutFC)),"A","B","C","D","E"))</f>
        <v/>
      </c>
      <c r="AS35" s="48" t="str">
        <f aca="false">IF($C35="","",IF(AND(Z35&amp;AA35=AQ35,AB35&amp;AC35=AR35),"OK","REVISAR"))</f>
        <v/>
      </c>
      <c r="AT35" s="42" t="str">
        <f aca="false">IF($C35="","",IFERROR(INDEX(RAMlev,Z35,MATCH(AA35,CatLet,0)),""))</f>
        <v/>
      </c>
      <c r="AU35" s="42" t="str">
        <f aca="false">IF($C35="","",IFERROR(INDEX(RAMlev,AB35,MATCH(AC35,CatLet,0)),""))</f>
        <v/>
      </c>
      <c r="AV35" s="48" t="str">
        <f aca="false">IF($C35="","",IF(AU35="","",IF(AU35&lt;=ObjNivel,"Cumple","Excede")))</f>
        <v/>
      </c>
      <c r="AW35" s="46" t="str">
        <f aca="false">IF($C35="","",IF(Base="RAM",AO35,AJ35))</f>
        <v/>
      </c>
      <c r="AX35" s="46" t="str">
        <f aca="false">IF($C35="","",IF(Base="RAM",AP35,AN35))</f>
        <v/>
      </c>
      <c r="AY35" s="46" t="str">
        <f aca="false">IF($C35="","",AW35-AX35)</f>
        <v/>
      </c>
      <c r="AZ35" s="46" t="str">
        <f aca="false">IF($C35="","",AY35*N(O35))</f>
        <v/>
      </c>
      <c r="BA35" s="46" t="str">
        <f aca="false">IF($C35="","",AY35-AZ35)</f>
        <v/>
      </c>
      <c r="BB35" s="46" t="str">
        <f aca="false">IF($C35="","",IFERROR(P35*(1/W35-1/X35),0))</f>
        <v/>
      </c>
      <c r="BC35" s="46" t="str">
        <f aca="false">IF($C35="","",IFERROR(Y35*(1/W35-1/X35),0))</f>
        <v/>
      </c>
      <c r="BD35" s="46" t="str">
        <f aca="false">IF($C35="","",AY35+BB35+BC35)</f>
        <v/>
      </c>
      <c r="BE35" s="46" t="str">
        <f aca="false">IF($C35="","",P35+INDEX(FFScost,N(S35)+1)+IF(AK35="NO APTO/REPARAR",N(V35),0)+RBIimpl)</f>
        <v/>
      </c>
      <c r="BF35" s="43" t="str">
        <f aca="false">IF($C35="","",IF(Q35=0,Horiz,(1-(1+Q35)^(-Horiz))/Q35))</f>
        <v/>
      </c>
      <c r="BG35" s="46" t="str">
        <f aca="false">IF($C35="","",BD35*BF35)</f>
        <v/>
      </c>
      <c r="BH35" s="49" t="str">
        <f aca="false">IF($C35="","",IFERROR(BG35/BE35,0))</f>
        <v/>
      </c>
      <c r="BI35" s="50" t="str">
        <f aca="false">IF($C35="","",BG35-BE35)</f>
        <v/>
      </c>
      <c r="BJ35" s="51" t="str">
        <f aca="false">IF($C35="","",IFERROR((Horiz*BD35-BE35)/BE35,0))</f>
        <v/>
      </c>
      <c r="BK35" s="52" t="str">
        <f aca="false">IF($C35="","",IF(BD35&gt;0,BE35/BD35,"No recupera"))</f>
        <v/>
      </c>
      <c r="BL35" s="52" t="str">
        <f aca="false">IF($C35="","",IF(BD35&lt;=0,"No recupera",IF(Q35=0,BE35/BD35,IFERROR(-LN(1-BE35*Q35/BD35)/LN(1+Q35),"No recupera"))))</f>
        <v/>
      </c>
      <c r="BM35" s="50" t="str">
        <f aca="false">IF($C35="","",BD35-BE35/BF35)</f>
        <v/>
      </c>
      <c r="BN35" s="47" t="str">
        <f aca="false">IF($C35="","",IF(BH35&gt;1,"ACEPTABLE","NO ACEPTABLE"))</f>
        <v/>
      </c>
      <c r="BO35" s="50" t="str">
        <f aca="false">IF($C35="","",-$BE35+IF($Q35=0,$BD35*MIN(BO$15,Horiz),$BD35*(1-(1+$Q35)^(-MIN(BO$15,Horiz)))/$Q35))</f>
        <v/>
      </c>
      <c r="BP35" s="50" t="str">
        <f aca="false">IF($C35="","",-$BE35+IF($Q35=0,$BD35*MIN(BP$15,Horiz),$BD35*(1-(1+$Q35)^(-MIN(BP$15,Horiz)))/$Q35))</f>
        <v/>
      </c>
      <c r="BQ35" s="50" t="str">
        <f aca="false">IF($C35="","",-$BE35+IF($Q35=0,$BD35*MIN(BQ$15,Horiz),$BD35*(1-(1+$Q35)^(-MIN(BQ$15,Horiz)))/$Q35))</f>
        <v/>
      </c>
      <c r="BR35" s="50" t="str">
        <f aca="false">IF($C35="","",-$BE35+IF($Q35=0,$BD35*MIN(BR$15,Horiz),$BD35*(1-(1+$Q35)^(-MIN(BR$15,Horiz)))/$Q35))</f>
        <v/>
      </c>
      <c r="BS35" s="50" t="str">
        <f aca="false">IF($C35="","",-$BE35+IF($Q35=0,$BD35*MIN(BS$15,Horiz),$BD35*(1-(1+$Q35)^(-MIN(BS$15,Horiz)))/$Q35))</f>
        <v/>
      </c>
      <c r="BT35" s="50" t="str">
        <f aca="false">IF($C35="","",-$BE35+IF($Q35=0,$BD35*MIN(BT$15,Horiz),$BD35*(1-(1+$Q35)^(-MIN(BT$15,Horiz)))/$Q35))</f>
        <v/>
      </c>
      <c r="BU35" s="50" t="str">
        <f aca="false">IF($C35="","",-$BE35+IF($Q35=0,$BD35*MIN(BU$15,Horiz),$BD35*(1-(1+$Q35)^(-MIN(BU$15,Horiz)))/$Q35))</f>
        <v/>
      </c>
      <c r="BV35" s="50" t="str">
        <f aca="false">IF($C35="","",-$BE35+IF($Q35=0,$BD35*MIN(BV$15,Horiz),$BD35*(1-(1+$Q35)^(-MIN(BV$15,Horiz)))/$Q35))</f>
        <v/>
      </c>
      <c r="BW35" s="50" t="str">
        <f aca="false">IF($C35="","",-$BE35+IF($Q35=0,$BD35*MIN(BW$15,Horiz),$BD35*(1-(1+$Q35)^(-MIN(BW$15,Horiz)))/$Q35))</f>
        <v/>
      </c>
      <c r="BX35" s="50" t="str">
        <f aca="false">IF($C35="","",-$BE35+IF($Q35=0,$BD35*MIN(BX$15,Horiz),$BD35*(1-(1+$Q35)^(-MIN(BX$15,Horiz)))/$Q35))</f>
        <v/>
      </c>
      <c r="BY35" s="50" t="str">
        <f aca="false">IF($C35="","",-$BE35+IF($Q35=0,$BD35*MIN(BY$15,Horiz),$BD35*(1-(1+$Q35)^(-MIN(BY$15,Horiz)))/$Q35))</f>
        <v/>
      </c>
      <c r="BZ35" s="50" t="str">
        <f aca="false">IF($C35="","",-$BE35+IF($Q35=0,$BD35*MIN(BZ$15,Horiz),$BD35*(1-(1+$Q35)^(-MIN(BZ$15,Horiz)))/$Q35))</f>
        <v/>
      </c>
      <c r="CA35" s="50" t="str">
        <f aca="false">IF($C35="","",-$BE35+IF($Q35=0,$BD35*MIN(CA$15,Horiz),$BD35*(1-(1+$Q35)^(-MIN(CA$15,Horiz)))/$Q35))</f>
        <v/>
      </c>
      <c r="CB35" s="50" t="str">
        <f aca="false">IF($C35="","",-$BE35+IF($Q35=0,$BD35*MIN(CB$15,Horiz),$BD35*(1-(1+$Q35)^(-MIN(CB$15,Horiz)))/$Q35))</f>
        <v/>
      </c>
      <c r="CC35" s="50" t="str">
        <f aca="false">IF($C35="","",-$BE35+IF($Q35=0,$BD35*MIN(CC$15,Horiz),$BD35*(1-(1+$Q35)^(-MIN(CC$15,Horiz)))/$Q35))</f>
        <v/>
      </c>
      <c r="CD35" s="50" t="str">
        <f aca="false">IF($C35="","",-$BE35+IF($Q35=0,$BD35*MIN(CD$15,Horiz),$BD35*(1-(1+$Q35)^(-MIN(CD$15,Horiz)))/$Q35))</f>
        <v/>
      </c>
    </row>
    <row r="36" customFormat="false" ht="15" hidden="false" customHeight="false" outlineLevel="0" collapsed="false">
      <c r="A36" s="32" t="n">
        <v>21</v>
      </c>
      <c r="B36" s="33"/>
      <c r="C36" s="34"/>
      <c r="D36" s="33"/>
      <c r="E36" s="33"/>
      <c r="F36" s="35"/>
      <c r="G36" s="35"/>
      <c r="H36" s="36"/>
      <c r="I36" s="37"/>
      <c r="J36" s="35"/>
      <c r="K36" s="33"/>
      <c r="L36" s="34"/>
      <c r="M36" s="38"/>
      <c r="N36" s="39"/>
      <c r="O36" s="40"/>
      <c r="P36" s="39"/>
      <c r="Q36" s="41"/>
      <c r="R36" s="34"/>
      <c r="S36" s="35"/>
      <c r="T36" s="34"/>
      <c r="U36" s="34"/>
      <c r="V36" s="39"/>
      <c r="W36" s="35"/>
      <c r="X36" s="35"/>
      <c r="Y36" s="39"/>
      <c r="Z36" s="35"/>
      <c r="AA36" s="34"/>
      <c r="AB36" s="35"/>
      <c r="AC36" s="34"/>
      <c r="AD36" s="42" t="str">
        <f aca="false">IF($C36="","",AnioEval-J36)</f>
        <v/>
      </c>
      <c r="AE36" s="43" t="str">
        <f aca="false">IF($C36="","",IFERROR(I36*AD36/H36,0))</f>
        <v/>
      </c>
      <c r="AF36" s="44" t="str">
        <f aca="false">IF($C36="","",IF(INDEX(MecTipo,MATCH(K36,MecList,0))="F",IFERROR(INDEX(SusDF,MATCH(L36,SusList,0)),1),LOOKUP(AE36,ArtLim,ArtDF)))</f>
        <v/>
      </c>
      <c r="AG36" s="44" t="str">
        <f aca="false">IF($C36="","",IF(ISNUMBER(M36),M36,AF36))</f>
        <v/>
      </c>
      <c r="AH36" s="45" t="str">
        <f aca="false">IF($C36="","",INDEX(GFFval,MATCH(D36,GFFtipo,0)))</f>
        <v/>
      </c>
      <c r="AI36" s="45" t="str">
        <f aca="false">IF($C36="","",AH36*AG36*FMS)</f>
        <v/>
      </c>
      <c r="AJ36" s="46" t="str">
        <f aca="false">IF($C36="","",AI36*N36)</f>
        <v/>
      </c>
      <c r="AK36" s="47" t="str">
        <f aca="false">IF($C36="","",IF(N(S36)=0,"No requerido",IF(AND(T36="Apto",U36="Pasa"),"APTO/PASA",IF(T36="No apto","NO APTO/REPARAR","REVISAR"))))</f>
        <v/>
      </c>
      <c r="AL36" s="44" t="str">
        <f aca="false">IF($C36="","",IF(AK36="NO APTO/REPARAR",1,MAX(1,AG36*INDEX(EffRet,MATCH(R36,EffList,0))*INDEX(FFSfac,MATCH(AK36,FFSlist,0)))))</f>
        <v/>
      </c>
      <c r="AM36" s="45" t="str">
        <f aca="false">IF($C36="","",AH36*AL36*FMS)</f>
        <v/>
      </c>
      <c r="AN36" s="46" t="str">
        <f aca="false">IF($C36="","",AM36*N36)</f>
        <v/>
      </c>
      <c r="AO36" s="46" t="str">
        <f aca="false">IF($C36="","",IFERROR(AH36*FMS*INDEX(DFrep,Z36)*INDEX(FCrep,MATCH(AA36,CatLet,0)),AJ36))</f>
        <v/>
      </c>
      <c r="AP36" s="46" t="str">
        <f aca="false">IF($C36="","",IFERROR(AH36*FMS*INDEX(DFrep,AB36)*INDEX(FCrep,MATCH(AC36,CatLet,0)),AN36))</f>
        <v/>
      </c>
      <c r="AQ36" s="48" t="str">
        <f aca="false">IF($C36="","",(1+SUMPRODUCT(--(AG36&gt;PcutDF)))&amp;CHOOSE(1+SUMPRODUCT(--(N36&gt;CcutFC)),"A","B","C","D","E"))</f>
        <v/>
      </c>
      <c r="AR36" s="48" t="str">
        <f aca="false">IF($C36="","",(1+SUMPRODUCT(--(AL36&gt;PcutDF)))&amp;CHOOSE(1+SUMPRODUCT(--(N36&gt;CcutFC)),"A","B","C","D","E"))</f>
        <v/>
      </c>
      <c r="AS36" s="48" t="str">
        <f aca="false">IF($C36="","",IF(AND(Z36&amp;AA36=AQ36,AB36&amp;AC36=AR36),"OK","REVISAR"))</f>
        <v/>
      </c>
      <c r="AT36" s="42" t="str">
        <f aca="false">IF($C36="","",IFERROR(INDEX(RAMlev,Z36,MATCH(AA36,CatLet,0)),""))</f>
        <v/>
      </c>
      <c r="AU36" s="42" t="str">
        <f aca="false">IF($C36="","",IFERROR(INDEX(RAMlev,AB36,MATCH(AC36,CatLet,0)),""))</f>
        <v/>
      </c>
      <c r="AV36" s="48" t="str">
        <f aca="false">IF($C36="","",IF(AU36="","",IF(AU36&lt;=ObjNivel,"Cumple","Excede")))</f>
        <v/>
      </c>
      <c r="AW36" s="46" t="str">
        <f aca="false">IF($C36="","",IF(Base="RAM",AO36,AJ36))</f>
        <v/>
      </c>
      <c r="AX36" s="46" t="str">
        <f aca="false">IF($C36="","",IF(Base="RAM",AP36,AN36))</f>
        <v/>
      </c>
      <c r="AY36" s="46" t="str">
        <f aca="false">IF($C36="","",AW36-AX36)</f>
        <v/>
      </c>
      <c r="AZ36" s="46" t="str">
        <f aca="false">IF($C36="","",AY36*N(O36))</f>
        <v/>
      </c>
      <c r="BA36" s="46" t="str">
        <f aca="false">IF($C36="","",AY36-AZ36)</f>
        <v/>
      </c>
      <c r="BB36" s="46" t="str">
        <f aca="false">IF($C36="","",IFERROR(P36*(1/W36-1/X36),0))</f>
        <v/>
      </c>
      <c r="BC36" s="46" t="str">
        <f aca="false">IF($C36="","",IFERROR(Y36*(1/W36-1/X36),0))</f>
        <v/>
      </c>
      <c r="BD36" s="46" t="str">
        <f aca="false">IF($C36="","",AY36+BB36+BC36)</f>
        <v/>
      </c>
      <c r="BE36" s="46" t="str">
        <f aca="false">IF($C36="","",P36+INDEX(FFScost,N(S36)+1)+IF(AK36="NO APTO/REPARAR",N(V36),0)+RBIimpl)</f>
        <v/>
      </c>
      <c r="BF36" s="43" t="str">
        <f aca="false">IF($C36="","",IF(Q36=0,Horiz,(1-(1+Q36)^(-Horiz))/Q36))</f>
        <v/>
      </c>
      <c r="BG36" s="46" t="str">
        <f aca="false">IF($C36="","",BD36*BF36)</f>
        <v/>
      </c>
      <c r="BH36" s="49" t="str">
        <f aca="false">IF($C36="","",IFERROR(BG36/BE36,0))</f>
        <v/>
      </c>
      <c r="BI36" s="50" t="str">
        <f aca="false">IF($C36="","",BG36-BE36)</f>
        <v/>
      </c>
      <c r="BJ36" s="51" t="str">
        <f aca="false">IF($C36="","",IFERROR((Horiz*BD36-BE36)/BE36,0))</f>
        <v/>
      </c>
      <c r="BK36" s="52" t="str">
        <f aca="false">IF($C36="","",IF(BD36&gt;0,BE36/BD36,"No recupera"))</f>
        <v/>
      </c>
      <c r="BL36" s="52" t="str">
        <f aca="false">IF($C36="","",IF(BD36&lt;=0,"No recupera",IF(Q36=0,BE36/BD36,IFERROR(-LN(1-BE36*Q36/BD36)/LN(1+Q36),"No recupera"))))</f>
        <v/>
      </c>
      <c r="BM36" s="50" t="str">
        <f aca="false">IF($C36="","",BD36-BE36/BF36)</f>
        <v/>
      </c>
      <c r="BN36" s="47" t="str">
        <f aca="false">IF($C36="","",IF(BH36&gt;1,"ACEPTABLE","NO ACEPTABLE"))</f>
        <v/>
      </c>
      <c r="BO36" s="50" t="str">
        <f aca="false">IF($C36="","",-$BE36+IF($Q36=0,$BD36*MIN(BO$15,Horiz),$BD36*(1-(1+$Q36)^(-MIN(BO$15,Horiz)))/$Q36))</f>
        <v/>
      </c>
      <c r="BP36" s="50" t="str">
        <f aca="false">IF($C36="","",-$BE36+IF($Q36=0,$BD36*MIN(BP$15,Horiz),$BD36*(1-(1+$Q36)^(-MIN(BP$15,Horiz)))/$Q36))</f>
        <v/>
      </c>
      <c r="BQ36" s="50" t="str">
        <f aca="false">IF($C36="","",-$BE36+IF($Q36=0,$BD36*MIN(BQ$15,Horiz),$BD36*(1-(1+$Q36)^(-MIN(BQ$15,Horiz)))/$Q36))</f>
        <v/>
      </c>
      <c r="BR36" s="50" t="str">
        <f aca="false">IF($C36="","",-$BE36+IF($Q36=0,$BD36*MIN(BR$15,Horiz),$BD36*(1-(1+$Q36)^(-MIN(BR$15,Horiz)))/$Q36))</f>
        <v/>
      </c>
      <c r="BS36" s="50" t="str">
        <f aca="false">IF($C36="","",-$BE36+IF($Q36=0,$BD36*MIN(BS$15,Horiz),$BD36*(1-(1+$Q36)^(-MIN(BS$15,Horiz)))/$Q36))</f>
        <v/>
      </c>
      <c r="BT36" s="50" t="str">
        <f aca="false">IF($C36="","",-$BE36+IF($Q36=0,$BD36*MIN(BT$15,Horiz),$BD36*(1-(1+$Q36)^(-MIN(BT$15,Horiz)))/$Q36))</f>
        <v/>
      </c>
      <c r="BU36" s="50" t="str">
        <f aca="false">IF($C36="","",-$BE36+IF($Q36=0,$BD36*MIN(BU$15,Horiz),$BD36*(1-(1+$Q36)^(-MIN(BU$15,Horiz)))/$Q36))</f>
        <v/>
      </c>
      <c r="BV36" s="50" t="str">
        <f aca="false">IF($C36="","",-$BE36+IF($Q36=0,$BD36*MIN(BV$15,Horiz),$BD36*(1-(1+$Q36)^(-MIN(BV$15,Horiz)))/$Q36))</f>
        <v/>
      </c>
      <c r="BW36" s="50" t="str">
        <f aca="false">IF($C36="","",-$BE36+IF($Q36=0,$BD36*MIN(BW$15,Horiz),$BD36*(1-(1+$Q36)^(-MIN(BW$15,Horiz)))/$Q36))</f>
        <v/>
      </c>
      <c r="BX36" s="50" t="str">
        <f aca="false">IF($C36="","",-$BE36+IF($Q36=0,$BD36*MIN(BX$15,Horiz),$BD36*(1-(1+$Q36)^(-MIN(BX$15,Horiz)))/$Q36))</f>
        <v/>
      </c>
      <c r="BY36" s="50" t="str">
        <f aca="false">IF($C36="","",-$BE36+IF($Q36=0,$BD36*MIN(BY$15,Horiz),$BD36*(1-(1+$Q36)^(-MIN(BY$15,Horiz)))/$Q36))</f>
        <v/>
      </c>
      <c r="BZ36" s="50" t="str">
        <f aca="false">IF($C36="","",-$BE36+IF($Q36=0,$BD36*MIN(BZ$15,Horiz),$BD36*(1-(1+$Q36)^(-MIN(BZ$15,Horiz)))/$Q36))</f>
        <v/>
      </c>
      <c r="CA36" s="50" t="str">
        <f aca="false">IF($C36="","",-$BE36+IF($Q36=0,$BD36*MIN(CA$15,Horiz),$BD36*(1-(1+$Q36)^(-MIN(CA$15,Horiz)))/$Q36))</f>
        <v/>
      </c>
      <c r="CB36" s="50" t="str">
        <f aca="false">IF($C36="","",-$BE36+IF($Q36=0,$BD36*MIN(CB$15,Horiz),$BD36*(1-(1+$Q36)^(-MIN(CB$15,Horiz)))/$Q36))</f>
        <v/>
      </c>
      <c r="CC36" s="50" t="str">
        <f aca="false">IF($C36="","",-$BE36+IF($Q36=0,$BD36*MIN(CC$15,Horiz),$BD36*(1-(1+$Q36)^(-MIN(CC$15,Horiz)))/$Q36))</f>
        <v/>
      </c>
      <c r="CD36" s="50" t="str">
        <f aca="false">IF($C36="","",-$BE36+IF($Q36=0,$BD36*MIN(CD$15,Horiz),$BD36*(1-(1+$Q36)^(-MIN(CD$15,Horiz)))/$Q36))</f>
        <v/>
      </c>
    </row>
    <row r="37" customFormat="false" ht="15" hidden="false" customHeight="false" outlineLevel="0" collapsed="false">
      <c r="A37" s="32" t="n">
        <v>22</v>
      </c>
      <c r="B37" s="33"/>
      <c r="C37" s="34"/>
      <c r="D37" s="33"/>
      <c r="E37" s="33"/>
      <c r="F37" s="35"/>
      <c r="G37" s="35"/>
      <c r="H37" s="36"/>
      <c r="I37" s="37"/>
      <c r="J37" s="35"/>
      <c r="K37" s="33"/>
      <c r="L37" s="34"/>
      <c r="M37" s="38"/>
      <c r="N37" s="39"/>
      <c r="O37" s="40"/>
      <c r="P37" s="39"/>
      <c r="Q37" s="41"/>
      <c r="R37" s="34"/>
      <c r="S37" s="35"/>
      <c r="T37" s="34"/>
      <c r="U37" s="34"/>
      <c r="V37" s="39"/>
      <c r="W37" s="35"/>
      <c r="X37" s="35"/>
      <c r="Y37" s="39"/>
      <c r="Z37" s="35"/>
      <c r="AA37" s="34"/>
      <c r="AB37" s="35"/>
      <c r="AC37" s="34"/>
      <c r="AD37" s="42" t="str">
        <f aca="false">IF($C37="","",AnioEval-J37)</f>
        <v/>
      </c>
      <c r="AE37" s="43" t="str">
        <f aca="false">IF($C37="","",IFERROR(I37*AD37/H37,0))</f>
        <v/>
      </c>
      <c r="AF37" s="44" t="str">
        <f aca="false">IF($C37="","",IF(INDEX(MecTipo,MATCH(K37,MecList,0))="F",IFERROR(INDEX(SusDF,MATCH(L37,SusList,0)),1),LOOKUP(AE37,ArtLim,ArtDF)))</f>
        <v/>
      </c>
      <c r="AG37" s="44" t="str">
        <f aca="false">IF($C37="","",IF(ISNUMBER(M37),M37,AF37))</f>
        <v/>
      </c>
      <c r="AH37" s="45" t="str">
        <f aca="false">IF($C37="","",INDEX(GFFval,MATCH(D37,GFFtipo,0)))</f>
        <v/>
      </c>
      <c r="AI37" s="45" t="str">
        <f aca="false">IF($C37="","",AH37*AG37*FMS)</f>
        <v/>
      </c>
      <c r="AJ37" s="46" t="str">
        <f aca="false">IF($C37="","",AI37*N37)</f>
        <v/>
      </c>
      <c r="AK37" s="47" t="str">
        <f aca="false">IF($C37="","",IF(N(S37)=0,"No requerido",IF(AND(T37="Apto",U37="Pasa"),"APTO/PASA",IF(T37="No apto","NO APTO/REPARAR","REVISAR"))))</f>
        <v/>
      </c>
      <c r="AL37" s="44" t="str">
        <f aca="false">IF($C37="","",IF(AK37="NO APTO/REPARAR",1,MAX(1,AG37*INDEX(EffRet,MATCH(R37,EffList,0))*INDEX(FFSfac,MATCH(AK37,FFSlist,0)))))</f>
        <v/>
      </c>
      <c r="AM37" s="45" t="str">
        <f aca="false">IF($C37="","",AH37*AL37*FMS)</f>
        <v/>
      </c>
      <c r="AN37" s="46" t="str">
        <f aca="false">IF($C37="","",AM37*N37)</f>
        <v/>
      </c>
      <c r="AO37" s="46" t="str">
        <f aca="false">IF($C37="","",IFERROR(AH37*FMS*INDEX(DFrep,Z37)*INDEX(FCrep,MATCH(AA37,CatLet,0)),AJ37))</f>
        <v/>
      </c>
      <c r="AP37" s="46" t="str">
        <f aca="false">IF($C37="","",IFERROR(AH37*FMS*INDEX(DFrep,AB37)*INDEX(FCrep,MATCH(AC37,CatLet,0)),AN37))</f>
        <v/>
      </c>
      <c r="AQ37" s="48" t="str">
        <f aca="false">IF($C37="","",(1+SUMPRODUCT(--(AG37&gt;PcutDF)))&amp;CHOOSE(1+SUMPRODUCT(--(N37&gt;CcutFC)),"A","B","C","D","E"))</f>
        <v/>
      </c>
      <c r="AR37" s="48" t="str">
        <f aca="false">IF($C37="","",(1+SUMPRODUCT(--(AL37&gt;PcutDF)))&amp;CHOOSE(1+SUMPRODUCT(--(N37&gt;CcutFC)),"A","B","C","D","E"))</f>
        <v/>
      </c>
      <c r="AS37" s="48" t="str">
        <f aca="false">IF($C37="","",IF(AND(Z37&amp;AA37=AQ37,AB37&amp;AC37=AR37),"OK","REVISAR"))</f>
        <v/>
      </c>
      <c r="AT37" s="42" t="str">
        <f aca="false">IF($C37="","",IFERROR(INDEX(RAMlev,Z37,MATCH(AA37,CatLet,0)),""))</f>
        <v/>
      </c>
      <c r="AU37" s="42" t="str">
        <f aca="false">IF($C37="","",IFERROR(INDEX(RAMlev,AB37,MATCH(AC37,CatLet,0)),""))</f>
        <v/>
      </c>
      <c r="AV37" s="48" t="str">
        <f aca="false">IF($C37="","",IF(AU37="","",IF(AU37&lt;=ObjNivel,"Cumple","Excede")))</f>
        <v/>
      </c>
      <c r="AW37" s="46" t="str">
        <f aca="false">IF($C37="","",IF(Base="RAM",AO37,AJ37))</f>
        <v/>
      </c>
      <c r="AX37" s="46" t="str">
        <f aca="false">IF($C37="","",IF(Base="RAM",AP37,AN37))</f>
        <v/>
      </c>
      <c r="AY37" s="46" t="str">
        <f aca="false">IF($C37="","",AW37-AX37)</f>
        <v/>
      </c>
      <c r="AZ37" s="46" t="str">
        <f aca="false">IF($C37="","",AY37*N(O37))</f>
        <v/>
      </c>
      <c r="BA37" s="46" t="str">
        <f aca="false">IF($C37="","",AY37-AZ37)</f>
        <v/>
      </c>
      <c r="BB37" s="46" t="str">
        <f aca="false">IF($C37="","",IFERROR(P37*(1/W37-1/X37),0))</f>
        <v/>
      </c>
      <c r="BC37" s="46" t="str">
        <f aca="false">IF($C37="","",IFERROR(Y37*(1/W37-1/X37),0))</f>
        <v/>
      </c>
      <c r="BD37" s="46" t="str">
        <f aca="false">IF($C37="","",AY37+BB37+BC37)</f>
        <v/>
      </c>
      <c r="BE37" s="46" t="str">
        <f aca="false">IF($C37="","",P37+INDEX(FFScost,N(S37)+1)+IF(AK37="NO APTO/REPARAR",N(V37),0)+RBIimpl)</f>
        <v/>
      </c>
      <c r="BF37" s="43" t="str">
        <f aca="false">IF($C37="","",IF(Q37=0,Horiz,(1-(1+Q37)^(-Horiz))/Q37))</f>
        <v/>
      </c>
      <c r="BG37" s="46" t="str">
        <f aca="false">IF($C37="","",BD37*BF37)</f>
        <v/>
      </c>
      <c r="BH37" s="49" t="str">
        <f aca="false">IF($C37="","",IFERROR(BG37/BE37,0))</f>
        <v/>
      </c>
      <c r="BI37" s="50" t="str">
        <f aca="false">IF($C37="","",BG37-BE37)</f>
        <v/>
      </c>
      <c r="BJ37" s="51" t="str">
        <f aca="false">IF($C37="","",IFERROR((Horiz*BD37-BE37)/BE37,0))</f>
        <v/>
      </c>
      <c r="BK37" s="52" t="str">
        <f aca="false">IF($C37="","",IF(BD37&gt;0,BE37/BD37,"No recupera"))</f>
        <v/>
      </c>
      <c r="BL37" s="52" t="str">
        <f aca="false">IF($C37="","",IF(BD37&lt;=0,"No recupera",IF(Q37=0,BE37/BD37,IFERROR(-LN(1-BE37*Q37/BD37)/LN(1+Q37),"No recupera"))))</f>
        <v/>
      </c>
      <c r="BM37" s="50" t="str">
        <f aca="false">IF($C37="","",BD37-BE37/BF37)</f>
        <v/>
      </c>
      <c r="BN37" s="47" t="str">
        <f aca="false">IF($C37="","",IF(BH37&gt;1,"ACEPTABLE","NO ACEPTABLE"))</f>
        <v/>
      </c>
      <c r="BO37" s="50" t="str">
        <f aca="false">IF($C37="","",-$BE37+IF($Q37=0,$BD37*MIN(BO$15,Horiz),$BD37*(1-(1+$Q37)^(-MIN(BO$15,Horiz)))/$Q37))</f>
        <v/>
      </c>
      <c r="BP37" s="50" t="str">
        <f aca="false">IF($C37="","",-$BE37+IF($Q37=0,$BD37*MIN(BP$15,Horiz),$BD37*(1-(1+$Q37)^(-MIN(BP$15,Horiz)))/$Q37))</f>
        <v/>
      </c>
      <c r="BQ37" s="50" t="str">
        <f aca="false">IF($C37="","",-$BE37+IF($Q37=0,$BD37*MIN(BQ$15,Horiz),$BD37*(1-(1+$Q37)^(-MIN(BQ$15,Horiz)))/$Q37))</f>
        <v/>
      </c>
      <c r="BR37" s="50" t="str">
        <f aca="false">IF($C37="","",-$BE37+IF($Q37=0,$BD37*MIN(BR$15,Horiz),$BD37*(1-(1+$Q37)^(-MIN(BR$15,Horiz)))/$Q37))</f>
        <v/>
      </c>
      <c r="BS37" s="50" t="str">
        <f aca="false">IF($C37="","",-$BE37+IF($Q37=0,$BD37*MIN(BS$15,Horiz),$BD37*(1-(1+$Q37)^(-MIN(BS$15,Horiz)))/$Q37))</f>
        <v/>
      </c>
      <c r="BT37" s="50" t="str">
        <f aca="false">IF($C37="","",-$BE37+IF($Q37=0,$BD37*MIN(BT$15,Horiz),$BD37*(1-(1+$Q37)^(-MIN(BT$15,Horiz)))/$Q37))</f>
        <v/>
      </c>
      <c r="BU37" s="50" t="str">
        <f aca="false">IF($C37="","",-$BE37+IF($Q37=0,$BD37*MIN(BU$15,Horiz),$BD37*(1-(1+$Q37)^(-MIN(BU$15,Horiz)))/$Q37))</f>
        <v/>
      </c>
      <c r="BV37" s="50" t="str">
        <f aca="false">IF($C37="","",-$BE37+IF($Q37=0,$BD37*MIN(BV$15,Horiz),$BD37*(1-(1+$Q37)^(-MIN(BV$15,Horiz)))/$Q37))</f>
        <v/>
      </c>
      <c r="BW37" s="50" t="str">
        <f aca="false">IF($C37="","",-$BE37+IF($Q37=0,$BD37*MIN(BW$15,Horiz),$BD37*(1-(1+$Q37)^(-MIN(BW$15,Horiz)))/$Q37))</f>
        <v/>
      </c>
      <c r="BX37" s="50" t="str">
        <f aca="false">IF($C37="","",-$BE37+IF($Q37=0,$BD37*MIN(BX$15,Horiz),$BD37*(1-(1+$Q37)^(-MIN(BX$15,Horiz)))/$Q37))</f>
        <v/>
      </c>
      <c r="BY37" s="50" t="str">
        <f aca="false">IF($C37="","",-$BE37+IF($Q37=0,$BD37*MIN(BY$15,Horiz),$BD37*(1-(1+$Q37)^(-MIN(BY$15,Horiz)))/$Q37))</f>
        <v/>
      </c>
      <c r="BZ37" s="50" t="str">
        <f aca="false">IF($C37="","",-$BE37+IF($Q37=0,$BD37*MIN(BZ$15,Horiz),$BD37*(1-(1+$Q37)^(-MIN(BZ$15,Horiz)))/$Q37))</f>
        <v/>
      </c>
      <c r="CA37" s="50" t="str">
        <f aca="false">IF($C37="","",-$BE37+IF($Q37=0,$BD37*MIN(CA$15,Horiz),$BD37*(1-(1+$Q37)^(-MIN(CA$15,Horiz)))/$Q37))</f>
        <v/>
      </c>
      <c r="CB37" s="50" t="str">
        <f aca="false">IF($C37="","",-$BE37+IF($Q37=0,$BD37*MIN(CB$15,Horiz),$BD37*(1-(1+$Q37)^(-MIN(CB$15,Horiz)))/$Q37))</f>
        <v/>
      </c>
      <c r="CC37" s="50" t="str">
        <f aca="false">IF($C37="","",-$BE37+IF($Q37=0,$BD37*MIN(CC$15,Horiz),$BD37*(1-(1+$Q37)^(-MIN(CC$15,Horiz)))/$Q37))</f>
        <v/>
      </c>
      <c r="CD37" s="50" t="str">
        <f aca="false">IF($C37="","",-$BE37+IF($Q37=0,$BD37*MIN(CD$15,Horiz),$BD37*(1-(1+$Q37)^(-MIN(CD$15,Horiz)))/$Q37))</f>
        <v/>
      </c>
    </row>
    <row r="38" customFormat="false" ht="15" hidden="false" customHeight="false" outlineLevel="0" collapsed="false">
      <c r="A38" s="32" t="n">
        <v>23</v>
      </c>
      <c r="B38" s="33"/>
      <c r="C38" s="34"/>
      <c r="D38" s="33"/>
      <c r="E38" s="33"/>
      <c r="F38" s="35"/>
      <c r="G38" s="35"/>
      <c r="H38" s="36"/>
      <c r="I38" s="37"/>
      <c r="J38" s="35"/>
      <c r="K38" s="33"/>
      <c r="L38" s="34"/>
      <c r="M38" s="38"/>
      <c r="N38" s="39"/>
      <c r="O38" s="40"/>
      <c r="P38" s="39"/>
      <c r="Q38" s="41"/>
      <c r="R38" s="34"/>
      <c r="S38" s="35"/>
      <c r="T38" s="34"/>
      <c r="U38" s="34"/>
      <c r="V38" s="39"/>
      <c r="W38" s="35"/>
      <c r="X38" s="35"/>
      <c r="Y38" s="39"/>
      <c r="Z38" s="35"/>
      <c r="AA38" s="34"/>
      <c r="AB38" s="35"/>
      <c r="AC38" s="34"/>
      <c r="AD38" s="42" t="str">
        <f aca="false">IF($C38="","",AnioEval-J38)</f>
        <v/>
      </c>
      <c r="AE38" s="43" t="str">
        <f aca="false">IF($C38="","",IFERROR(I38*AD38/H38,0))</f>
        <v/>
      </c>
      <c r="AF38" s="44" t="str">
        <f aca="false">IF($C38="","",IF(INDEX(MecTipo,MATCH(K38,MecList,0))="F",IFERROR(INDEX(SusDF,MATCH(L38,SusList,0)),1),LOOKUP(AE38,ArtLim,ArtDF)))</f>
        <v/>
      </c>
      <c r="AG38" s="44" t="str">
        <f aca="false">IF($C38="","",IF(ISNUMBER(M38),M38,AF38))</f>
        <v/>
      </c>
      <c r="AH38" s="45" t="str">
        <f aca="false">IF($C38="","",INDEX(GFFval,MATCH(D38,GFFtipo,0)))</f>
        <v/>
      </c>
      <c r="AI38" s="45" t="str">
        <f aca="false">IF($C38="","",AH38*AG38*FMS)</f>
        <v/>
      </c>
      <c r="AJ38" s="46" t="str">
        <f aca="false">IF($C38="","",AI38*N38)</f>
        <v/>
      </c>
      <c r="AK38" s="47" t="str">
        <f aca="false">IF($C38="","",IF(N(S38)=0,"No requerido",IF(AND(T38="Apto",U38="Pasa"),"APTO/PASA",IF(T38="No apto","NO APTO/REPARAR","REVISAR"))))</f>
        <v/>
      </c>
      <c r="AL38" s="44" t="str">
        <f aca="false">IF($C38="","",IF(AK38="NO APTO/REPARAR",1,MAX(1,AG38*INDEX(EffRet,MATCH(R38,EffList,0))*INDEX(FFSfac,MATCH(AK38,FFSlist,0)))))</f>
        <v/>
      </c>
      <c r="AM38" s="45" t="str">
        <f aca="false">IF($C38="","",AH38*AL38*FMS)</f>
        <v/>
      </c>
      <c r="AN38" s="46" t="str">
        <f aca="false">IF($C38="","",AM38*N38)</f>
        <v/>
      </c>
      <c r="AO38" s="46" t="str">
        <f aca="false">IF($C38="","",IFERROR(AH38*FMS*INDEX(DFrep,Z38)*INDEX(FCrep,MATCH(AA38,CatLet,0)),AJ38))</f>
        <v/>
      </c>
      <c r="AP38" s="46" t="str">
        <f aca="false">IF($C38="","",IFERROR(AH38*FMS*INDEX(DFrep,AB38)*INDEX(FCrep,MATCH(AC38,CatLet,0)),AN38))</f>
        <v/>
      </c>
      <c r="AQ38" s="48" t="str">
        <f aca="false">IF($C38="","",(1+SUMPRODUCT(--(AG38&gt;PcutDF)))&amp;CHOOSE(1+SUMPRODUCT(--(N38&gt;CcutFC)),"A","B","C","D","E"))</f>
        <v/>
      </c>
      <c r="AR38" s="48" t="str">
        <f aca="false">IF($C38="","",(1+SUMPRODUCT(--(AL38&gt;PcutDF)))&amp;CHOOSE(1+SUMPRODUCT(--(N38&gt;CcutFC)),"A","B","C","D","E"))</f>
        <v/>
      </c>
      <c r="AS38" s="48" t="str">
        <f aca="false">IF($C38="","",IF(AND(Z38&amp;AA38=AQ38,AB38&amp;AC38=AR38),"OK","REVISAR"))</f>
        <v/>
      </c>
      <c r="AT38" s="42" t="str">
        <f aca="false">IF($C38="","",IFERROR(INDEX(RAMlev,Z38,MATCH(AA38,CatLet,0)),""))</f>
        <v/>
      </c>
      <c r="AU38" s="42" t="str">
        <f aca="false">IF($C38="","",IFERROR(INDEX(RAMlev,AB38,MATCH(AC38,CatLet,0)),""))</f>
        <v/>
      </c>
      <c r="AV38" s="48" t="str">
        <f aca="false">IF($C38="","",IF(AU38="","",IF(AU38&lt;=ObjNivel,"Cumple","Excede")))</f>
        <v/>
      </c>
      <c r="AW38" s="46" t="str">
        <f aca="false">IF($C38="","",IF(Base="RAM",AO38,AJ38))</f>
        <v/>
      </c>
      <c r="AX38" s="46" t="str">
        <f aca="false">IF($C38="","",IF(Base="RAM",AP38,AN38))</f>
        <v/>
      </c>
      <c r="AY38" s="46" t="str">
        <f aca="false">IF($C38="","",AW38-AX38)</f>
        <v/>
      </c>
      <c r="AZ38" s="46" t="str">
        <f aca="false">IF($C38="","",AY38*N(O38))</f>
        <v/>
      </c>
      <c r="BA38" s="46" t="str">
        <f aca="false">IF($C38="","",AY38-AZ38)</f>
        <v/>
      </c>
      <c r="BB38" s="46" t="str">
        <f aca="false">IF($C38="","",IFERROR(P38*(1/W38-1/X38),0))</f>
        <v/>
      </c>
      <c r="BC38" s="46" t="str">
        <f aca="false">IF($C38="","",IFERROR(Y38*(1/W38-1/X38),0))</f>
        <v/>
      </c>
      <c r="BD38" s="46" t="str">
        <f aca="false">IF($C38="","",AY38+BB38+BC38)</f>
        <v/>
      </c>
      <c r="BE38" s="46" t="str">
        <f aca="false">IF($C38="","",P38+INDEX(FFScost,N(S38)+1)+IF(AK38="NO APTO/REPARAR",N(V38),0)+RBIimpl)</f>
        <v/>
      </c>
      <c r="BF38" s="43" t="str">
        <f aca="false">IF($C38="","",IF(Q38=0,Horiz,(1-(1+Q38)^(-Horiz))/Q38))</f>
        <v/>
      </c>
      <c r="BG38" s="46" t="str">
        <f aca="false">IF($C38="","",BD38*BF38)</f>
        <v/>
      </c>
      <c r="BH38" s="49" t="str">
        <f aca="false">IF($C38="","",IFERROR(BG38/BE38,0))</f>
        <v/>
      </c>
      <c r="BI38" s="50" t="str">
        <f aca="false">IF($C38="","",BG38-BE38)</f>
        <v/>
      </c>
      <c r="BJ38" s="51" t="str">
        <f aca="false">IF($C38="","",IFERROR((Horiz*BD38-BE38)/BE38,0))</f>
        <v/>
      </c>
      <c r="BK38" s="52" t="str">
        <f aca="false">IF($C38="","",IF(BD38&gt;0,BE38/BD38,"No recupera"))</f>
        <v/>
      </c>
      <c r="BL38" s="52" t="str">
        <f aca="false">IF($C38="","",IF(BD38&lt;=0,"No recupera",IF(Q38=0,BE38/BD38,IFERROR(-LN(1-BE38*Q38/BD38)/LN(1+Q38),"No recupera"))))</f>
        <v/>
      </c>
      <c r="BM38" s="50" t="str">
        <f aca="false">IF($C38="","",BD38-BE38/BF38)</f>
        <v/>
      </c>
      <c r="BN38" s="47" t="str">
        <f aca="false">IF($C38="","",IF(BH38&gt;1,"ACEPTABLE","NO ACEPTABLE"))</f>
        <v/>
      </c>
      <c r="BO38" s="50" t="str">
        <f aca="false">IF($C38="","",-$BE38+IF($Q38=0,$BD38*MIN(BO$15,Horiz),$BD38*(1-(1+$Q38)^(-MIN(BO$15,Horiz)))/$Q38))</f>
        <v/>
      </c>
      <c r="BP38" s="50" t="str">
        <f aca="false">IF($C38="","",-$BE38+IF($Q38=0,$BD38*MIN(BP$15,Horiz),$BD38*(1-(1+$Q38)^(-MIN(BP$15,Horiz)))/$Q38))</f>
        <v/>
      </c>
      <c r="BQ38" s="50" t="str">
        <f aca="false">IF($C38="","",-$BE38+IF($Q38=0,$BD38*MIN(BQ$15,Horiz),$BD38*(1-(1+$Q38)^(-MIN(BQ$15,Horiz)))/$Q38))</f>
        <v/>
      </c>
      <c r="BR38" s="50" t="str">
        <f aca="false">IF($C38="","",-$BE38+IF($Q38=0,$BD38*MIN(BR$15,Horiz),$BD38*(1-(1+$Q38)^(-MIN(BR$15,Horiz)))/$Q38))</f>
        <v/>
      </c>
      <c r="BS38" s="50" t="str">
        <f aca="false">IF($C38="","",-$BE38+IF($Q38=0,$BD38*MIN(BS$15,Horiz),$BD38*(1-(1+$Q38)^(-MIN(BS$15,Horiz)))/$Q38))</f>
        <v/>
      </c>
      <c r="BT38" s="50" t="str">
        <f aca="false">IF($C38="","",-$BE38+IF($Q38=0,$BD38*MIN(BT$15,Horiz),$BD38*(1-(1+$Q38)^(-MIN(BT$15,Horiz)))/$Q38))</f>
        <v/>
      </c>
      <c r="BU38" s="50" t="str">
        <f aca="false">IF($C38="","",-$BE38+IF($Q38=0,$BD38*MIN(BU$15,Horiz),$BD38*(1-(1+$Q38)^(-MIN(BU$15,Horiz)))/$Q38))</f>
        <v/>
      </c>
      <c r="BV38" s="50" t="str">
        <f aca="false">IF($C38="","",-$BE38+IF($Q38=0,$BD38*MIN(BV$15,Horiz),$BD38*(1-(1+$Q38)^(-MIN(BV$15,Horiz)))/$Q38))</f>
        <v/>
      </c>
      <c r="BW38" s="50" t="str">
        <f aca="false">IF($C38="","",-$BE38+IF($Q38=0,$BD38*MIN(BW$15,Horiz),$BD38*(1-(1+$Q38)^(-MIN(BW$15,Horiz)))/$Q38))</f>
        <v/>
      </c>
      <c r="BX38" s="50" t="str">
        <f aca="false">IF($C38="","",-$BE38+IF($Q38=0,$BD38*MIN(BX$15,Horiz),$BD38*(1-(1+$Q38)^(-MIN(BX$15,Horiz)))/$Q38))</f>
        <v/>
      </c>
      <c r="BY38" s="50" t="str">
        <f aca="false">IF($C38="","",-$BE38+IF($Q38=0,$BD38*MIN(BY$15,Horiz),$BD38*(1-(1+$Q38)^(-MIN(BY$15,Horiz)))/$Q38))</f>
        <v/>
      </c>
      <c r="BZ38" s="50" t="str">
        <f aca="false">IF($C38="","",-$BE38+IF($Q38=0,$BD38*MIN(BZ$15,Horiz),$BD38*(1-(1+$Q38)^(-MIN(BZ$15,Horiz)))/$Q38))</f>
        <v/>
      </c>
      <c r="CA38" s="50" t="str">
        <f aca="false">IF($C38="","",-$BE38+IF($Q38=0,$BD38*MIN(CA$15,Horiz),$BD38*(1-(1+$Q38)^(-MIN(CA$15,Horiz)))/$Q38))</f>
        <v/>
      </c>
      <c r="CB38" s="50" t="str">
        <f aca="false">IF($C38="","",-$BE38+IF($Q38=0,$BD38*MIN(CB$15,Horiz),$BD38*(1-(1+$Q38)^(-MIN(CB$15,Horiz)))/$Q38))</f>
        <v/>
      </c>
      <c r="CC38" s="50" t="str">
        <f aca="false">IF($C38="","",-$BE38+IF($Q38=0,$BD38*MIN(CC$15,Horiz),$BD38*(1-(1+$Q38)^(-MIN(CC$15,Horiz)))/$Q38))</f>
        <v/>
      </c>
      <c r="CD38" s="50" t="str">
        <f aca="false">IF($C38="","",-$BE38+IF($Q38=0,$BD38*MIN(CD$15,Horiz),$BD38*(1-(1+$Q38)^(-MIN(CD$15,Horiz)))/$Q38))</f>
        <v/>
      </c>
    </row>
    <row r="39" customFormat="false" ht="15" hidden="false" customHeight="false" outlineLevel="0" collapsed="false">
      <c r="A39" s="32" t="n">
        <v>24</v>
      </c>
      <c r="B39" s="33"/>
      <c r="C39" s="34"/>
      <c r="D39" s="33"/>
      <c r="E39" s="33"/>
      <c r="F39" s="35"/>
      <c r="G39" s="35"/>
      <c r="H39" s="36"/>
      <c r="I39" s="37"/>
      <c r="J39" s="35"/>
      <c r="K39" s="33"/>
      <c r="L39" s="34"/>
      <c r="M39" s="38"/>
      <c r="N39" s="39"/>
      <c r="O39" s="40"/>
      <c r="P39" s="39"/>
      <c r="Q39" s="41"/>
      <c r="R39" s="34"/>
      <c r="S39" s="35"/>
      <c r="T39" s="34"/>
      <c r="U39" s="34"/>
      <c r="V39" s="39"/>
      <c r="W39" s="35"/>
      <c r="X39" s="35"/>
      <c r="Y39" s="39"/>
      <c r="Z39" s="35"/>
      <c r="AA39" s="34"/>
      <c r="AB39" s="35"/>
      <c r="AC39" s="34"/>
      <c r="AD39" s="42" t="str">
        <f aca="false">IF($C39="","",AnioEval-J39)</f>
        <v/>
      </c>
      <c r="AE39" s="43" t="str">
        <f aca="false">IF($C39="","",IFERROR(I39*AD39/H39,0))</f>
        <v/>
      </c>
      <c r="AF39" s="44" t="str">
        <f aca="false">IF($C39="","",IF(INDEX(MecTipo,MATCH(K39,MecList,0))="F",IFERROR(INDEX(SusDF,MATCH(L39,SusList,0)),1),LOOKUP(AE39,ArtLim,ArtDF)))</f>
        <v/>
      </c>
      <c r="AG39" s="44" t="str">
        <f aca="false">IF($C39="","",IF(ISNUMBER(M39),M39,AF39))</f>
        <v/>
      </c>
      <c r="AH39" s="45" t="str">
        <f aca="false">IF($C39="","",INDEX(GFFval,MATCH(D39,GFFtipo,0)))</f>
        <v/>
      </c>
      <c r="AI39" s="45" t="str">
        <f aca="false">IF($C39="","",AH39*AG39*FMS)</f>
        <v/>
      </c>
      <c r="AJ39" s="46" t="str">
        <f aca="false">IF($C39="","",AI39*N39)</f>
        <v/>
      </c>
      <c r="AK39" s="47" t="str">
        <f aca="false">IF($C39="","",IF(N(S39)=0,"No requerido",IF(AND(T39="Apto",U39="Pasa"),"APTO/PASA",IF(T39="No apto","NO APTO/REPARAR","REVISAR"))))</f>
        <v/>
      </c>
      <c r="AL39" s="44" t="str">
        <f aca="false">IF($C39="","",IF(AK39="NO APTO/REPARAR",1,MAX(1,AG39*INDEX(EffRet,MATCH(R39,EffList,0))*INDEX(FFSfac,MATCH(AK39,FFSlist,0)))))</f>
        <v/>
      </c>
      <c r="AM39" s="45" t="str">
        <f aca="false">IF($C39="","",AH39*AL39*FMS)</f>
        <v/>
      </c>
      <c r="AN39" s="46" t="str">
        <f aca="false">IF($C39="","",AM39*N39)</f>
        <v/>
      </c>
      <c r="AO39" s="46" t="str">
        <f aca="false">IF($C39="","",IFERROR(AH39*FMS*INDEX(DFrep,Z39)*INDEX(FCrep,MATCH(AA39,CatLet,0)),AJ39))</f>
        <v/>
      </c>
      <c r="AP39" s="46" t="str">
        <f aca="false">IF($C39="","",IFERROR(AH39*FMS*INDEX(DFrep,AB39)*INDEX(FCrep,MATCH(AC39,CatLet,0)),AN39))</f>
        <v/>
      </c>
      <c r="AQ39" s="48" t="str">
        <f aca="false">IF($C39="","",(1+SUMPRODUCT(--(AG39&gt;PcutDF)))&amp;CHOOSE(1+SUMPRODUCT(--(N39&gt;CcutFC)),"A","B","C","D","E"))</f>
        <v/>
      </c>
      <c r="AR39" s="48" t="str">
        <f aca="false">IF($C39="","",(1+SUMPRODUCT(--(AL39&gt;PcutDF)))&amp;CHOOSE(1+SUMPRODUCT(--(N39&gt;CcutFC)),"A","B","C","D","E"))</f>
        <v/>
      </c>
      <c r="AS39" s="48" t="str">
        <f aca="false">IF($C39="","",IF(AND(Z39&amp;AA39=AQ39,AB39&amp;AC39=AR39),"OK","REVISAR"))</f>
        <v/>
      </c>
      <c r="AT39" s="42" t="str">
        <f aca="false">IF($C39="","",IFERROR(INDEX(RAMlev,Z39,MATCH(AA39,CatLet,0)),""))</f>
        <v/>
      </c>
      <c r="AU39" s="42" t="str">
        <f aca="false">IF($C39="","",IFERROR(INDEX(RAMlev,AB39,MATCH(AC39,CatLet,0)),""))</f>
        <v/>
      </c>
      <c r="AV39" s="48" t="str">
        <f aca="false">IF($C39="","",IF(AU39="","",IF(AU39&lt;=ObjNivel,"Cumple","Excede")))</f>
        <v/>
      </c>
      <c r="AW39" s="46" t="str">
        <f aca="false">IF($C39="","",IF(Base="RAM",AO39,AJ39))</f>
        <v/>
      </c>
      <c r="AX39" s="46" t="str">
        <f aca="false">IF($C39="","",IF(Base="RAM",AP39,AN39))</f>
        <v/>
      </c>
      <c r="AY39" s="46" t="str">
        <f aca="false">IF($C39="","",AW39-AX39)</f>
        <v/>
      </c>
      <c r="AZ39" s="46" t="str">
        <f aca="false">IF($C39="","",AY39*N(O39))</f>
        <v/>
      </c>
      <c r="BA39" s="46" t="str">
        <f aca="false">IF($C39="","",AY39-AZ39)</f>
        <v/>
      </c>
      <c r="BB39" s="46" t="str">
        <f aca="false">IF($C39="","",IFERROR(P39*(1/W39-1/X39),0))</f>
        <v/>
      </c>
      <c r="BC39" s="46" t="str">
        <f aca="false">IF($C39="","",IFERROR(Y39*(1/W39-1/X39),0))</f>
        <v/>
      </c>
      <c r="BD39" s="46" t="str">
        <f aca="false">IF($C39="","",AY39+BB39+BC39)</f>
        <v/>
      </c>
      <c r="BE39" s="46" t="str">
        <f aca="false">IF($C39="","",P39+INDEX(FFScost,N(S39)+1)+IF(AK39="NO APTO/REPARAR",N(V39),0)+RBIimpl)</f>
        <v/>
      </c>
      <c r="BF39" s="43" t="str">
        <f aca="false">IF($C39="","",IF(Q39=0,Horiz,(1-(1+Q39)^(-Horiz))/Q39))</f>
        <v/>
      </c>
      <c r="BG39" s="46" t="str">
        <f aca="false">IF($C39="","",BD39*BF39)</f>
        <v/>
      </c>
      <c r="BH39" s="49" t="str">
        <f aca="false">IF($C39="","",IFERROR(BG39/BE39,0))</f>
        <v/>
      </c>
      <c r="BI39" s="50" t="str">
        <f aca="false">IF($C39="","",BG39-BE39)</f>
        <v/>
      </c>
      <c r="BJ39" s="51" t="str">
        <f aca="false">IF($C39="","",IFERROR((Horiz*BD39-BE39)/BE39,0))</f>
        <v/>
      </c>
      <c r="BK39" s="52" t="str">
        <f aca="false">IF($C39="","",IF(BD39&gt;0,BE39/BD39,"No recupera"))</f>
        <v/>
      </c>
      <c r="BL39" s="52" t="str">
        <f aca="false">IF($C39="","",IF(BD39&lt;=0,"No recupera",IF(Q39=0,BE39/BD39,IFERROR(-LN(1-BE39*Q39/BD39)/LN(1+Q39),"No recupera"))))</f>
        <v/>
      </c>
      <c r="BM39" s="50" t="str">
        <f aca="false">IF($C39="","",BD39-BE39/BF39)</f>
        <v/>
      </c>
      <c r="BN39" s="47" t="str">
        <f aca="false">IF($C39="","",IF(BH39&gt;1,"ACEPTABLE","NO ACEPTABLE"))</f>
        <v/>
      </c>
      <c r="BO39" s="50" t="str">
        <f aca="false">IF($C39="","",-$BE39+IF($Q39=0,$BD39*MIN(BO$15,Horiz),$BD39*(1-(1+$Q39)^(-MIN(BO$15,Horiz)))/$Q39))</f>
        <v/>
      </c>
      <c r="BP39" s="50" t="str">
        <f aca="false">IF($C39="","",-$BE39+IF($Q39=0,$BD39*MIN(BP$15,Horiz),$BD39*(1-(1+$Q39)^(-MIN(BP$15,Horiz)))/$Q39))</f>
        <v/>
      </c>
      <c r="BQ39" s="50" t="str">
        <f aca="false">IF($C39="","",-$BE39+IF($Q39=0,$BD39*MIN(BQ$15,Horiz),$BD39*(1-(1+$Q39)^(-MIN(BQ$15,Horiz)))/$Q39))</f>
        <v/>
      </c>
      <c r="BR39" s="50" t="str">
        <f aca="false">IF($C39="","",-$BE39+IF($Q39=0,$BD39*MIN(BR$15,Horiz),$BD39*(1-(1+$Q39)^(-MIN(BR$15,Horiz)))/$Q39))</f>
        <v/>
      </c>
      <c r="BS39" s="50" t="str">
        <f aca="false">IF($C39="","",-$BE39+IF($Q39=0,$BD39*MIN(BS$15,Horiz),$BD39*(1-(1+$Q39)^(-MIN(BS$15,Horiz)))/$Q39))</f>
        <v/>
      </c>
      <c r="BT39" s="50" t="str">
        <f aca="false">IF($C39="","",-$BE39+IF($Q39=0,$BD39*MIN(BT$15,Horiz),$BD39*(1-(1+$Q39)^(-MIN(BT$15,Horiz)))/$Q39))</f>
        <v/>
      </c>
      <c r="BU39" s="50" t="str">
        <f aca="false">IF($C39="","",-$BE39+IF($Q39=0,$BD39*MIN(BU$15,Horiz),$BD39*(1-(1+$Q39)^(-MIN(BU$15,Horiz)))/$Q39))</f>
        <v/>
      </c>
      <c r="BV39" s="50" t="str">
        <f aca="false">IF($C39="","",-$BE39+IF($Q39=0,$BD39*MIN(BV$15,Horiz),$BD39*(1-(1+$Q39)^(-MIN(BV$15,Horiz)))/$Q39))</f>
        <v/>
      </c>
      <c r="BW39" s="50" t="str">
        <f aca="false">IF($C39="","",-$BE39+IF($Q39=0,$BD39*MIN(BW$15,Horiz),$BD39*(1-(1+$Q39)^(-MIN(BW$15,Horiz)))/$Q39))</f>
        <v/>
      </c>
      <c r="BX39" s="50" t="str">
        <f aca="false">IF($C39="","",-$BE39+IF($Q39=0,$BD39*MIN(BX$15,Horiz),$BD39*(1-(1+$Q39)^(-MIN(BX$15,Horiz)))/$Q39))</f>
        <v/>
      </c>
      <c r="BY39" s="50" t="str">
        <f aca="false">IF($C39="","",-$BE39+IF($Q39=0,$BD39*MIN(BY$15,Horiz),$BD39*(1-(1+$Q39)^(-MIN(BY$15,Horiz)))/$Q39))</f>
        <v/>
      </c>
      <c r="BZ39" s="50" t="str">
        <f aca="false">IF($C39="","",-$BE39+IF($Q39=0,$BD39*MIN(BZ$15,Horiz),$BD39*(1-(1+$Q39)^(-MIN(BZ$15,Horiz)))/$Q39))</f>
        <v/>
      </c>
      <c r="CA39" s="50" t="str">
        <f aca="false">IF($C39="","",-$BE39+IF($Q39=0,$BD39*MIN(CA$15,Horiz),$BD39*(1-(1+$Q39)^(-MIN(CA$15,Horiz)))/$Q39))</f>
        <v/>
      </c>
      <c r="CB39" s="50" t="str">
        <f aca="false">IF($C39="","",-$BE39+IF($Q39=0,$BD39*MIN(CB$15,Horiz),$BD39*(1-(1+$Q39)^(-MIN(CB$15,Horiz)))/$Q39))</f>
        <v/>
      </c>
      <c r="CC39" s="50" t="str">
        <f aca="false">IF($C39="","",-$BE39+IF($Q39=0,$BD39*MIN(CC$15,Horiz),$BD39*(1-(1+$Q39)^(-MIN(CC$15,Horiz)))/$Q39))</f>
        <v/>
      </c>
      <c r="CD39" s="50" t="str">
        <f aca="false">IF($C39="","",-$BE39+IF($Q39=0,$BD39*MIN(CD$15,Horiz),$BD39*(1-(1+$Q39)^(-MIN(CD$15,Horiz)))/$Q39))</f>
        <v/>
      </c>
    </row>
    <row r="40" customFormat="false" ht="15" hidden="false" customHeight="false" outlineLevel="0" collapsed="false">
      <c r="A40" s="32" t="n">
        <v>25</v>
      </c>
      <c r="B40" s="33"/>
      <c r="C40" s="34"/>
      <c r="D40" s="33"/>
      <c r="E40" s="33"/>
      <c r="F40" s="35"/>
      <c r="G40" s="35"/>
      <c r="H40" s="36"/>
      <c r="I40" s="37"/>
      <c r="J40" s="35"/>
      <c r="K40" s="33"/>
      <c r="L40" s="34"/>
      <c r="M40" s="38"/>
      <c r="N40" s="39"/>
      <c r="O40" s="40"/>
      <c r="P40" s="39"/>
      <c r="Q40" s="41"/>
      <c r="R40" s="34"/>
      <c r="S40" s="35"/>
      <c r="T40" s="34"/>
      <c r="U40" s="34"/>
      <c r="V40" s="39"/>
      <c r="W40" s="35"/>
      <c r="X40" s="35"/>
      <c r="Y40" s="39"/>
      <c r="Z40" s="35"/>
      <c r="AA40" s="34"/>
      <c r="AB40" s="35"/>
      <c r="AC40" s="34"/>
      <c r="AD40" s="42" t="str">
        <f aca="false">IF($C40="","",AnioEval-J40)</f>
        <v/>
      </c>
      <c r="AE40" s="43" t="str">
        <f aca="false">IF($C40="","",IFERROR(I40*AD40/H40,0))</f>
        <v/>
      </c>
      <c r="AF40" s="44" t="str">
        <f aca="false">IF($C40="","",IF(INDEX(MecTipo,MATCH(K40,MecList,0))="F",IFERROR(INDEX(SusDF,MATCH(L40,SusList,0)),1),LOOKUP(AE40,ArtLim,ArtDF)))</f>
        <v/>
      </c>
      <c r="AG40" s="44" t="str">
        <f aca="false">IF($C40="","",IF(ISNUMBER(M40),M40,AF40))</f>
        <v/>
      </c>
      <c r="AH40" s="45" t="str">
        <f aca="false">IF($C40="","",INDEX(GFFval,MATCH(D40,GFFtipo,0)))</f>
        <v/>
      </c>
      <c r="AI40" s="45" t="str">
        <f aca="false">IF($C40="","",AH40*AG40*FMS)</f>
        <v/>
      </c>
      <c r="AJ40" s="46" t="str">
        <f aca="false">IF($C40="","",AI40*N40)</f>
        <v/>
      </c>
      <c r="AK40" s="47" t="str">
        <f aca="false">IF($C40="","",IF(N(S40)=0,"No requerido",IF(AND(T40="Apto",U40="Pasa"),"APTO/PASA",IF(T40="No apto","NO APTO/REPARAR","REVISAR"))))</f>
        <v/>
      </c>
      <c r="AL40" s="44" t="str">
        <f aca="false">IF($C40="","",IF(AK40="NO APTO/REPARAR",1,MAX(1,AG40*INDEX(EffRet,MATCH(R40,EffList,0))*INDEX(FFSfac,MATCH(AK40,FFSlist,0)))))</f>
        <v/>
      </c>
      <c r="AM40" s="45" t="str">
        <f aca="false">IF($C40="","",AH40*AL40*FMS)</f>
        <v/>
      </c>
      <c r="AN40" s="46" t="str">
        <f aca="false">IF($C40="","",AM40*N40)</f>
        <v/>
      </c>
      <c r="AO40" s="46" t="str">
        <f aca="false">IF($C40="","",IFERROR(AH40*FMS*INDEX(DFrep,Z40)*INDEX(FCrep,MATCH(AA40,CatLet,0)),AJ40))</f>
        <v/>
      </c>
      <c r="AP40" s="46" t="str">
        <f aca="false">IF($C40="","",IFERROR(AH40*FMS*INDEX(DFrep,AB40)*INDEX(FCrep,MATCH(AC40,CatLet,0)),AN40))</f>
        <v/>
      </c>
      <c r="AQ40" s="48" t="str">
        <f aca="false">IF($C40="","",(1+SUMPRODUCT(--(AG40&gt;PcutDF)))&amp;CHOOSE(1+SUMPRODUCT(--(N40&gt;CcutFC)),"A","B","C","D","E"))</f>
        <v/>
      </c>
      <c r="AR40" s="48" t="str">
        <f aca="false">IF($C40="","",(1+SUMPRODUCT(--(AL40&gt;PcutDF)))&amp;CHOOSE(1+SUMPRODUCT(--(N40&gt;CcutFC)),"A","B","C","D","E"))</f>
        <v/>
      </c>
      <c r="AS40" s="48" t="str">
        <f aca="false">IF($C40="","",IF(AND(Z40&amp;AA40=AQ40,AB40&amp;AC40=AR40),"OK","REVISAR"))</f>
        <v/>
      </c>
      <c r="AT40" s="42" t="str">
        <f aca="false">IF($C40="","",IFERROR(INDEX(RAMlev,Z40,MATCH(AA40,CatLet,0)),""))</f>
        <v/>
      </c>
      <c r="AU40" s="42" t="str">
        <f aca="false">IF($C40="","",IFERROR(INDEX(RAMlev,AB40,MATCH(AC40,CatLet,0)),""))</f>
        <v/>
      </c>
      <c r="AV40" s="48" t="str">
        <f aca="false">IF($C40="","",IF(AU40="","",IF(AU40&lt;=ObjNivel,"Cumple","Excede")))</f>
        <v/>
      </c>
      <c r="AW40" s="46" t="str">
        <f aca="false">IF($C40="","",IF(Base="RAM",AO40,AJ40))</f>
        <v/>
      </c>
      <c r="AX40" s="46" t="str">
        <f aca="false">IF($C40="","",IF(Base="RAM",AP40,AN40))</f>
        <v/>
      </c>
      <c r="AY40" s="46" t="str">
        <f aca="false">IF($C40="","",AW40-AX40)</f>
        <v/>
      </c>
      <c r="AZ40" s="46" t="str">
        <f aca="false">IF($C40="","",AY40*N(O40))</f>
        <v/>
      </c>
      <c r="BA40" s="46" t="str">
        <f aca="false">IF($C40="","",AY40-AZ40)</f>
        <v/>
      </c>
      <c r="BB40" s="46" t="str">
        <f aca="false">IF($C40="","",IFERROR(P40*(1/W40-1/X40),0))</f>
        <v/>
      </c>
      <c r="BC40" s="46" t="str">
        <f aca="false">IF($C40="","",IFERROR(Y40*(1/W40-1/X40),0))</f>
        <v/>
      </c>
      <c r="BD40" s="46" t="str">
        <f aca="false">IF($C40="","",AY40+BB40+BC40)</f>
        <v/>
      </c>
      <c r="BE40" s="46" t="str">
        <f aca="false">IF($C40="","",P40+INDEX(FFScost,N(S40)+1)+IF(AK40="NO APTO/REPARAR",N(V40),0)+RBIimpl)</f>
        <v/>
      </c>
      <c r="BF40" s="43" t="str">
        <f aca="false">IF($C40="","",IF(Q40=0,Horiz,(1-(1+Q40)^(-Horiz))/Q40))</f>
        <v/>
      </c>
      <c r="BG40" s="46" t="str">
        <f aca="false">IF($C40="","",BD40*BF40)</f>
        <v/>
      </c>
      <c r="BH40" s="49" t="str">
        <f aca="false">IF($C40="","",IFERROR(BG40/BE40,0))</f>
        <v/>
      </c>
      <c r="BI40" s="50" t="str">
        <f aca="false">IF($C40="","",BG40-BE40)</f>
        <v/>
      </c>
      <c r="BJ40" s="51" t="str">
        <f aca="false">IF($C40="","",IFERROR((Horiz*BD40-BE40)/BE40,0))</f>
        <v/>
      </c>
      <c r="BK40" s="52" t="str">
        <f aca="false">IF($C40="","",IF(BD40&gt;0,BE40/BD40,"No recupera"))</f>
        <v/>
      </c>
      <c r="BL40" s="52" t="str">
        <f aca="false">IF($C40="","",IF(BD40&lt;=0,"No recupera",IF(Q40=0,BE40/BD40,IFERROR(-LN(1-BE40*Q40/BD40)/LN(1+Q40),"No recupera"))))</f>
        <v/>
      </c>
      <c r="BM40" s="50" t="str">
        <f aca="false">IF($C40="","",BD40-BE40/BF40)</f>
        <v/>
      </c>
      <c r="BN40" s="47" t="str">
        <f aca="false">IF($C40="","",IF(BH40&gt;1,"ACEPTABLE","NO ACEPTABLE"))</f>
        <v/>
      </c>
      <c r="BO40" s="50" t="str">
        <f aca="false">IF($C40="","",-$BE40+IF($Q40=0,$BD40*MIN(BO$15,Horiz),$BD40*(1-(1+$Q40)^(-MIN(BO$15,Horiz)))/$Q40))</f>
        <v/>
      </c>
      <c r="BP40" s="50" t="str">
        <f aca="false">IF($C40="","",-$BE40+IF($Q40=0,$BD40*MIN(BP$15,Horiz),$BD40*(1-(1+$Q40)^(-MIN(BP$15,Horiz)))/$Q40))</f>
        <v/>
      </c>
      <c r="BQ40" s="50" t="str">
        <f aca="false">IF($C40="","",-$BE40+IF($Q40=0,$BD40*MIN(BQ$15,Horiz),$BD40*(1-(1+$Q40)^(-MIN(BQ$15,Horiz)))/$Q40))</f>
        <v/>
      </c>
      <c r="BR40" s="50" t="str">
        <f aca="false">IF($C40="","",-$BE40+IF($Q40=0,$BD40*MIN(BR$15,Horiz),$BD40*(1-(1+$Q40)^(-MIN(BR$15,Horiz)))/$Q40))</f>
        <v/>
      </c>
      <c r="BS40" s="50" t="str">
        <f aca="false">IF($C40="","",-$BE40+IF($Q40=0,$BD40*MIN(BS$15,Horiz),$BD40*(1-(1+$Q40)^(-MIN(BS$15,Horiz)))/$Q40))</f>
        <v/>
      </c>
      <c r="BT40" s="50" t="str">
        <f aca="false">IF($C40="","",-$BE40+IF($Q40=0,$BD40*MIN(BT$15,Horiz),$BD40*(1-(1+$Q40)^(-MIN(BT$15,Horiz)))/$Q40))</f>
        <v/>
      </c>
      <c r="BU40" s="50" t="str">
        <f aca="false">IF($C40="","",-$BE40+IF($Q40=0,$BD40*MIN(BU$15,Horiz),$BD40*(1-(1+$Q40)^(-MIN(BU$15,Horiz)))/$Q40))</f>
        <v/>
      </c>
      <c r="BV40" s="50" t="str">
        <f aca="false">IF($C40="","",-$BE40+IF($Q40=0,$BD40*MIN(BV$15,Horiz),$BD40*(1-(1+$Q40)^(-MIN(BV$15,Horiz)))/$Q40))</f>
        <v/>
      </c>
      <c r="BW40" s="50" t="str">
        <f aca="false">IF($C40="","",-$BE40+IF($Q40=0,$BD40*MIN(BW$15,Horiz),$BD40*(1-(1+$Q40)^(-MIN(BW$15,Horiz)))/$Q40))</f>
        <v/>
      </c>
      <c r="BX40" s="50" t="str">
        <f aca="false">IF($C40="","",-$BE40+IF($Q40=0,$BD40*MIN(BX$15,Horiz),$BD40*(1-(1+$Q40)^(-MIN(BX$15,Horiz)))/$Q40))</f>
        <v/>
      </c>
      <c r="BY40" s="50" t="str">
        <f aca="false">IF($C40="","",-$BE40+IF($Q40=0,$BD40*MIN(BY$15,Horiz),$BD40*(1-(1+$Q40)^(-MIN(BY$15,Horiz)))/$Q40))</f>
        <v/>
      </c>
      <c r="BZ40" s="50" t="str">
        <f aca="false">IF($C40="","",-$BE40+IF($Q40=0,$BD40*MIN(BZ$15,Horiz),$BD40*(1-(1+$Q40)^(-MIN(BZ$15,Horiz)))/$Q40))</f>
        <v/>
      </c>
      <c r="CA40" s="50" t="str">
        <f aca="false">IF($C40="","",-$BE40+IF($Q40=0,$BD40*MIN(CA$15,Horiz),$BD40*(1-(1+$Q40)^(-MIN(CA$15,Horiz)))/$Q40))</f>
        <v/>
      </c>
      <c r="CB40" s="50" t="str">
        <f aca="false">IF($C40="","",-$BE40+IF($Q40=0,$BD40*MIN(CB$15,Horiz),$BD40*(1-(1+$Q40)^(-MIN(CB$15,Horiz)))/$Q40))</f>
        <v/>
      </c>
      <c r="CC40" s="50" t="str">
        <f aca="false">IF($C40="","",-$BE40+IF($Q40=0,$BD40*MIN(CC$15,Horiz),$BD40*(1-(1+$Q40)^(-MIN(CC$15,Horiz)))/$Q40))</f>
        <v/>
      </c>
      <c r="CD40" s="50" t="str">
        <f aca="false">IF($C40="","",-$BE40+IF($Q40=0,$BD40*MIN(CD$15,Horiz),$BD40*(1-(1+$Q40)^(-MIN(CD$15,Horiz)))/$Q40))</f>
        <v/>
      </c>
    </row>
    <row r="41" customFormat="false" ht="15" hidden="false" customHeight="false" outlineLevel="0" collapsed="false">
      <c r="A41" s="32" t="n">
        <v>26</v>
      </c>
      <c r="B41" s="33"/>
      <c r="C41" s="34"/>
      <c r="D41" s="33"/>
      <c r="E41" s="33"/>
      <c r="F41" s="35"/>
      <c r="G41" s="35"/>
      <c r="H41" s="36"/>
      <c r="I41" s="37"/>
      <c r="J41" s="35"/>
      <c r="K41" s="33"/>
      <c r="L41" s="34"/>
      <c r="M41" s="38"/>
      <c r="N41" s="39"/>
      <c r="O41" s="40"/>
      <c r="P41" s="39"/>
      <c r="Q41" s="41"/>
      <c r="R41" s="34"/>
      <c r="S41" s="35"/>
      <c r="T41" s="34"/>
      <c r="U41" s="34"/>
      <c r="V41" s="39"/>
      <c r="W41" s="35"/>
      <c r="X41" s="35"/>
      <c r="Y41" s="39"/>
      <c r="Z41" s="35"/>
      <c r="AA41" s="34"/>
      <c r="AB41" s="35"/>
      <c r="AC41" s="34"/>
      <c r="AD41" s="42" t="str">
        <f aca="false">IF($C41="","",AnioEval-J41)</f>
        <v/>
      </c>
      <c r="AE41" s="43" t="str">
        <f aca="false">IF($C41="","",IFERROR(I41*AD41/H41,0))</f>
        <v/>
      </c>
      <c r="AF41" s="44" t="str">
        <f aca="false">IF($C41="","",IF(INDEX(MecTipo,MATCH(K41,MecList,0))="F",IFERROR(INDEX(SusDF,MATCH(L41,SusList,0)),1),LOOKUP(AE41,ArtLim,ArtDF)))</f>
        <v/>
      </c>
      <c r="AG41" s="44" t="str">
        <f aca="false">IF($C41="","",IF(ISNUMBER(M41),M41,AF41))</f>
        <v/>
      </c>
      <c r="AH41" s="45" t="str">
        <f aca="false">IF($C41="","",INDEX(GFFval,MATCH(D41,GFFtipo,0)))</f>
        <v/>
      </c>
      <c r="AI41" s="45" t="str">
        <f aca="false">IF($C41="","",AH41*AG41*FMS)</f>
        <v/>
      </c>
      <c r="AJ41" s="46" t="str">
        <f aca="false">IF($C41="","",AI41*N41)</f>
        <v/>
      </c>
      <c r="AK41" s="47" t="str">
        <f aca="false">IF($C41="","",IF(N(S41)=0,"No requerido",IF(AND(T41="Apto",U41="Pasa"),"APTO/PASA",IF(T41="No apto","NO APTO/REPARAR","REVISAR"))))</f>
        <v/>
      </c>
      <c r="AL41" s="44" t="str">
        <f aca="false">IF($C41="","",IF(AK41="NO APTO/REPARAR",1,MAX(1,AG41*INDEX(EffRet,MATCH(R41,EffList,0))*INDEX(FFSfac,MATCH(AK41,FFSlist,0)))))</f>
        <v/>
      </c>
      <c r="AM41" s="45" t="str">
        <f aca="false">IF($C41="","",AH41*AL41*FMS)</f>
        <v/>
      </c>
      <c r="AN41" s="46" t="str">
        <f aca="false">IF($C41="","",AM41*N41)</f>
        <v/>
      </c>
      <c r="AO41" s="46" t="str">
        <f aca="false">IF($C41="","",IFERROR(AH41*FMS*INDEX(DFrep,Z41)*INDEX(FCrep,MATCH(AA41,CatLet,0)),AJ41))</f>
        <v/>
      </c>
      <c r="AP41" s="46" t="str">
        <f aca="false">IF($C41="","",IFERROR(AH41*FMS*INDEX(DFrep,AB41)*INDEX(FCrep,MATCH(AC41,CatLet,0)),AN41))</f>
        <v/>
      </c>
      <c r="AQ41" s="48" t="str">
        <f aca="false">IF($C41="","",(1+SUMPRODUCT(--(AG41&gt;PcutDF)))&amp;CHOOSE(1+SUMPRODUCT(--(N41&gt;CcutFC)),"A","B","C","D","E"))</f>
        <v/>
      </c>
      <c r="AR41" s="48" t="str">
        <f aca="false">IF($C41="","",(1+SUMPRODUCT(--(AL41&gt;PcutDF)))&amp;CHOOSE(1+SUMPRODUCT(--(N41&gt;CcutFC)),"A","B","C","D","E"))</f>
        <v/>
      </c>
      <c r="AS41" s="48" t="str">
        <f aca="false">IF($C41="","",IF(AND(Z41&amp;AA41=AQ41,AB41&amp;AC41=AR41),"OK","REVISAR"))</f>
        <v/>
      </c>
      <c r="AT41" s="42" t="str">
        <f aca="false">IF($C41="","",IFERROR(INDEX(RAMlev,Z41,MATCH(AA41,CatLet,0)),""))</f>
        <v/>
      </c>
      <c r="AU41" s="42" t="str">
        <f aca="false">IF($C41="","",IFERROR(INDEX(RAMlev,AB41,MATCH(AC41,CatLet,0)),""))</f>
        <v/>
      </c>
      <c r="AV41" s="48" t="str">
        <f aca="false">IF($C41="","",IF(AU41="","",IF(AU41&lt;=ObjNivel,"Cumple","Excede")))</f>
        <v/>
      </c>
      <c r="AW41" s="46" t="str">
        <f aca="false">IF($C41="","",IF(Base="RAM",AO41,AJ41))</f>
        <v/>
      </c>
      <c r="AX41" s="46" t="str">
        <f aca="false">IF($C41="","",IF(Base="RAM",AP41,AN41))</f>
        <v/>
      </c>
      <c r="AY41" s="46" t="str">
        <f aca="false">IF($C41="","",AW41-AX41)</f>
        <v/>
      </c>
      <c r="AZ41" s="46" t="str">
        <f aca="false">IF($C41="","",AY41*N(O41))</f>
        <v/>
      </c>
      <c r="BA41" s="46" t="str">
        <f aca="false">IF($C41="","",AY41-AZ41)</f>
        <v/>
      </c>
      <c r="BB41" s="46" t="str">
        <f aca="false">IF($C41="","",IFERROR(P41*(1/W41-1/X41),0))</f>
        <v/>
      </c>
      <c r="BC41" s="46" t="str">
        <f aca="false">IF($C41="","",IFERROR(Y41*(1/W41-1/X41),0))</f>
        <v/>
      </c>
      <c r="BD41" s="46" t="str">
        <f aca="false">IF($C41="","",AY41+BB41+BC41)</f>
        <v/>
      </c>
      <c r="BE41" s="46" t="str">
        <f aca="false">IF($C41="","",P41+INDEX(FFScost,N(S41)+1)+IF(AK41="NO APTO/REPARAR",N(V41),0)+RBIimpl)</f>
        <v/>
      </c>
      <c r="BF41" s="43" t="str">
        <f aca="false">IF($C41="","",IF(Q41=0,Horiz,(1-(1+Q41)^(-Horiz))/Q41))</f>
        <v/>
      </c>
      <c r="BG41" s="46" t="str">
        <f aca="false">IF($C41="","",BD41*BF41)</f>
        <v/>
      </c>
      <c r="BH41" s="49" t="str">
        <f aca="false">IF($C41="","",IFERROR(BG41/BE41,0))</f>
        <v/>
      </c>
      <c r="BI41" s="50" t="str">
        <f aca="false">IF($C41="","",BG41-BE41)</f>
        <v/>
      </c>
      <c r="BJ41" s="51" t="str">
        <f aca="false">IF($C41="","",IFERROR((Horiz*BD41-BE41)/BE41,0))</f>
        <v/>
      </c>
      <c r="BK41" s="52" t="str">
        <f aca="false">IF($C41="","",IF(BD41&gt;0,BE41/BD41,"No recupera"))</f>
        <v/>
      </c>
      <c r="BL41" s="52" t="str">
        <f aca="false">IF($C41="","",IF(BD41&lt;=0,"No recupera",IF(Q41=0,BE41/BD41,IFERROR(-LN(1-BE41*Q41/BD41)/LN(1+Q41),"No recupera"))))</f>
        <v/>
      </c>
      <c r="BM41" s="50" t="str">
        <f aca="false">IF($C41="","",BD41-BE41/BF41)</f>
        <v/>
      </c>
      <c r="BN41" s="47" t="str">
        <f aca="false">IF($C41="","",IF(BH41&gt;1,"ACEPTABLE","NO ACEPTABLE"))</f>
        <v/>
      </c>
      <c r="BO41" s="50" t="str">
        <f aca="false">IF($C41="","",-$BE41+IF($Q41=0,$BD41*MIN(BO$15,Horiz),$BD41*(1-(1+$Q41)^(-MIN(BO$15,Horiz)))/$Q41))</f>
        <v/>
      </c>
      <c r="BP41" s="50" t="str">
        <f aca="false">IF($C41="","",-$BE41+IF($Q41=0,$BD41*MIN(BP$15,Horiz),$BD41*(1-(1+$Q41)^(-MIN(BP$15,Horiz)))/$Q41))</f>
        <v/>
      </c>
      <c r="BQ41" s="50" t="str">
        <f aca="false">IF($C41="","",-$BE41+IF($Q41=0,$BD41*MIN(BQ$15,Horiz),$BD41*(1-(1+$Q41)^(-MIN(BQ$15,Horiz)))/$Q41))</f>
        <v/>
      </c>
      <c r="BR41" s="50" t="str">
        <f aca="false">IF($C41="","",-$BE41+IF($Q41=0,$BD41*MIN(BR$15,Horiz),$BD41*(1-(1+$Q41)^(-MIN(BR$15,Horiz)))/$Q41))</f>
        <v/>
      </c>
      <c r="BS41" s="50" t="str">
        <f aca="false">IF($C41="","",-$BE41+IF($Q41=0,$BD41*MIN(BS$15,Horiz),$BD41*(1-(1+$Q41)^(-MIN(BS$15,Horiz)))/$Q41))</f>
        <v/>
      </c>
      <c r="BT41" s="50" t="str">
        <f aca="false">IF($C41="","",-$BE41+IF($Q41=0,$BD41*MIN(BT$15,Horiz),$BD41*(1-(1+$Q41)^(-MIN(BT$15,Horiz)))/$Q41))</f>
        <v/>
      </c>
      <c r="BU41" s="50" t="str">
        <f aca="false">IF($C41="","",-$BE41+IF($Q41=0,$BD41*MIN(BU$15,Horiz),$BD41*(1-(1+$Q41)^(-MIN(BU$15,Horiz)))/$Q41))</f>
        <v/>
      </c>
      <c r="BV41" s="50" t="str">
        <f aca="false">IF($C41="","",-$BE41+IF($Q41=0,$BD41*MIN(BV$15,Horiz),$BD41*(1-(1+$Q41)^(-MIN(BV$15,Horiz)))/$Q41))</f>
        <v/>
      </c>
      <c r="BW41" s="50" t="str">
        <f aca="false">IF($C41="","",-$BE41+IF($Q41=0,$BD41*MIN(BW$15,Horiz),$BD41*(1-(1+$Q41)^(-MIN(BW$15,Horiz)))/$Q41))</f>
        <v/>
      </c>
      <c r="BX41" s="50" t="str">
        <f aca="false">IF($C41="","",-$BE41+IF($Q41=0,$BD41*MIN(BX$15,Horiz),$BD41*(1-(1+$Q41)^(-MIN(BX$15,Horiz)))/$Q41))</f>
        <v/>
      </c>
      <c r="BY41" s="50" t="str">
        <f aca="false">IF($C41="","",-$BE41+IF($Q41=0,$BD41*MIN(BY$15,Horiz),$BD41*(1-(1+$Q41)^(-MIN(BY$15,Horiz)))/$Q41))</f>
        <v/>
      </c>
      <c r="BZ41" s="50" t="str">
        <f aca="false">IF($C41="","",-$BE41+IF($Q41=0,$BD41*MIN(BZ$15,Horiz),$BD41*(1-(1+$Q41)^(-MIN(BZ$15,Horiz)))/$Q41))</f>
        <v/>
      </c>
      <c r="CA41" s="50" t="str">
        <f aca="false">IF($C41="","",-$BE41+IF($Q41=0,$BD41*MIN(CA$15,Horiz),$BD41*(1-(1+$Q41)^(-MIN(CA$15,Horiz)))/$Q41))</f>
        <v/>
      </c>
      <c r="CB41" s="50" t="str">
        <f aca="false">IF($C41="","",-$BE41+IF($Q41=0,$BD41*MIN(CB$15,Horiz),$BD41*(1-(1+$Q41)^(-MIN(CB$15,Horiz)))/$Q41))</f>
        <v/>
      </c>
      <c r="CC41" s="50" t="str">
        <f aca="false">IF($C41="","",-$BE41+IF($Q41=0,$BD41*MIN(CC$15,Horiz),$BD41*(1-(1+$Q41)^(-MIN(CC$15,Horiz)))/$Q41))</f>
        <v/>
      </c>
      <c r="CD41" s="50" t="str">
        <f aca="false">IF($C41="","",-$BE41+IF($Q41=0,$BD41*MIN(CD$15,Horiz),$BD41*(1-(1+$Q41)^(-MIN(CD$15,Horiz)))/$Q41))</f>
        <v/>
      </c>
    </row>
    <row r="42" customFormat="false" ht="15" hidden="false" customHeight="false" outlineLevel="0" collapsed="false">
      <c r="A42" s="32" t="n">
        <v>27</v>
      </c>
      <c r="B42" s="33"/>
      <c r="C42" s="34"/>
      <c r="D42" s="33"/>
      <c r="E42" s="33"/>
      <c r="F42" s="35"/>
      <c r="G42" s="35"/>
      <c r="H42" s="36"/>
      <c r="I42" s="37"/>
      <c r="J42" s="35"/>
      <c r="K42" s="33"/>
      <c r="L42" s="34"/>
      <c r="M42" s="38"/>
      <c r="N42" s="39"/>
      <c r="O42" s="40"/>
      <c r="P42" s="39"/>
      <c r="Q42" s="41"/>
      <c r="R42" s="34"/>
      <c r="S42" s="35"/>
      <c r="T42" s="34"/>
      <c r="U42" s="34"/>
      <c r="V42" s="39"/>
      <c r="W42" s="35"/>
      <c r="X42" s="35"/>
      <c r="Y42" s="39"/>
      <c r="Z42" s="35"/>
      <c r="AA42" s="34"/>
      <c r="AB42" s="35"/>
      <c r="AC42" s="34"/>
      <c r="AD42" s="42" t="str">
        <f aca="false">IF($C42="","",AnioEval-J42)</f>
        <v/>
      </c>
      <c r="AE42" s="43" t="str">
        <f aca="false">IF($C42="","",IFERROR(I42*AD42/H42,0))</f>
        <v/>
      </c>
      <c r="AF42" s="44" t="str">
        <f aca="false">IF($C42="","",IF(INDEX(MecTipo,MATCH(K42,MecList,0))="F",IFERROR(INDEX(SusDF,MATCH(L42,SusList,0)),1),LOOKUP(AE42,ArtLim,ArtDF)))</f>
        <v/>
      </c>
      <c r="AG42" s="44" t="str">
        <f aca="false">IF($C42="","",IF(ISNUMBER(M42),M42,AF42))</f>
        <v/>
      </c>
      <c r="AH42" s="45" t="str">
        <f aca="false">IF($C42="","",INDEX(GFFval,MATCH(D42,GFFtipo,0)))</f>
        <v/>
      </c>
      <c r="AI42" s="45" t="str">
        <f aca="false">IF($C42="","",AH42*AG42*FMS)</f>
        <v/>
      </c>
      <c r="AJ42" s="46" t="str">
        <f aca="false">IF($C42="","",AI42*N42)</f>
        <v/>
      </c>
      <c r="AK42" s="47" t="str">
        <f aca="false">IF($C42="","",IF(N(S42)=0,"No requerido",IF(AND(T42="Apto",U42="Pasa"),"APTO/PASA",IF(T42="No apto","NO APTO/REPARAR","REVISAR"))))</f>
        <v/>
      </c>
      <c r="AL42" s="44" t="str">
        <f aca="false">IF($C42="","",IF(AK42="NO APTO/REPARAR",1,MAX(1,AG42*INDEX(EffRet,MATCH(R42,EffList,0))*INDEX(FFSfac,MATCH(AK42,FFSlist,0)))))</f>
        <v/>
      </c>
      <c r="AM42" s="45" t="str">
        <f aca="false">IF($C42="","",AH42*AL42*FMS)</f>
        <v/>
      </c>
      <c r="AN42" s="46" t="str">
        <f aca="false">IF($C42="","",AM42*N42)</f>
        <v/>
      </c>
      <c r="AO42" s="46" t="str">
        <f aca="false">IF($C42="","",IFERROR(AH42*FMS*INDEX(DFrep,Z42)*INDEX(FCrep,MATCH(AA42,CatLet,0)),AJ42))</f>
        <v/>
      </c>
      <c r="AP42" s="46" t="str">
        <f aca="false">IF($C42="","",IFERROR(AH42*FMS*INDEX(DFrep,AB42)*INDEX(FCrep,MATCH(AC42,CatLet,0)),AN42))</f>
        <v/>
      </c>
      <c r="AQ42" s="48" t="str">
        <f aca="false">IF($C42="","",(1+SUMPRODUCT(--(AG42&gt;PcutDF)))&amp;CHOOSE(1+SUMPRODUCT(--(N42&gt;CcutFC)),"A","B","C","D","E"))</f>
        <v/>
      </c>
      <c r="AR42" s="48" t="str">
        <f aca="false">IF($C42="","",(1+SUMPRODUCT(--(AL42&gt;PcutDF)))&amp;CHOOSE(1+SUMPRODUCT(--(N42&gt;CcutFC)),"A","B","C","D","E"))</f>
        <v/>
      </c>
      <c r="AS42" s="48" t="str">
        <f aca="false">IF($C42="","",IF(AND(Z42&amp;AA42=AQ42,AB42&amp;AC42=AR42),"OK","REVISAR"))</f>
        <v/>
      </c>
      <c r="AT42" s="42" t="str">
        <f aca="false">IF($C42="","",IFERROR(INDEX(RAMlev,Z42,MATCH(AA42,CatLet,0)),""))</f>
        <v/>
      </c>
      <c r="AU42" s="42" t="str">
        <f aca="false">IF($C42="","",IFERROR(INDEX(RAMlev,AB42,MATCH(AC42,CatLet,0)),""))</f>
        <v/>
      </c>
      <c r="AV42" s="48" t="str">
        <f aca="false">IF($C42="","",IF(AU42="","",IF(AU42&lt;=ObjNivel,"Cumple","Excede")))</f>
        <v/>
      </c>
      <c r="AW42" s="46" t="str">
        <f aca="false">IF($C42="","",IF(Base="RAM",AO42,AJ42))</f>
        <v/>
      </c>
      <c r="AX42" s="46" t="str">
        <f aca="false">IF($C42="","",IF(Base="RAM",AP42,AN42))</f>
        <v/>
      </c>
      <c r="AY42" s="46" t="str">
        <f aca="false">IF($C42="","",AW42-AX42)</f>
        <v/>
      </c>
      <c r="AZ42" s="46" t="str">
        <f aca="false">IF($C42="","",AY42*N(O42))</f>
        <v/>
      </c>
      <c r="BA42" s="46" t="str">
        <f aca="false">IF($C42="","",AY42-AZ42)</f>
        <v/>
      </c>
      <c r="BB42" s="46" t="str">
        <f aca="false">IF($C42="","",IFERROR(P42*(1/W42-1/X42),0))</f>
        <v/>
      </c>
      <c r="BC42" s="46" t="str">
        <f aca="false">IF($C42="","",IFERROR(Y42*(1/W42-1/X42),0))</f>
        <v/>
      </c>
      <c r="BD42" s="46" t="str">
        <f aca="false">IF($C42="","",AY42+BB42+BC42)</f>
        <v/>
      </c>
      <c r="BE42" s="46" t="str">
        <f aca="false">IF($C42="","",P42+INDEX(FFScost,N(S42)+1)+IF(AK42="NO APTO/REPARAR",N(V42),0)+RBIimpl)</f>
        <v/>
      </c>
      <c r="BF42" s="43" t="str">
        <f aca="false">IF($C42="","",IF(Q42=0,Horiz,(1-(1+Q42)^(-Horiz))/Q42))</f>
        <v/>
      </c>
      <c r="BG42" s="46" t="str">
        <f aca="false">IF($C42="","",BD42*BF42)</f>
        <v/>
      </c>
      <c r="BH42" s="49" t="str">
        <f aca="false">IF($C42="","",IFERROR(BG42/BE42,0))</f>
        <v/>
      </c>
      <c r="BI42" s="50" t="str">
        <f aca="false">IF($C42="","",BG42-BE42)</f>
        <v/>
      </c>
      <c r="BJ42" s="51" t="str">
        <f aca="false">IF($C42="","",IFERROR((Horiz*BD42-BE42)/BE42,0))</f>
        <v/>
      </c>
      <c r="BK42" s="52" t="str">
        <f aca="false">IF($C42="","",IF(BD42&gt;0,BE42/BD42,"No recupera"))</f>
        <v/>
      </c>
      <c r="BL42" s="52" t="str">
        <f aca="false">IF($C42="","",IF(BD42&lt;=0,"No recupera",IF(Q42=0,BE42/BD42,IFERROR(-LN(1-BE42*Q42/BD42)/LN(1+Q42),"No recupera"))))</f>
        <v/>
      </c>
      <c r="BM42" s="50" t="str">
        <f aca="false">IF($C42="","",BD42-BE42/BF42)</f>
        <v/>
      </c>
      <c r="BN42" s="47" t="str">
        <f aca="false">IF($C42="","",IF(BH42&gt;1,"ACEPTABLE","NO ACEPTABLE"))</f>
        <v/>
      </c>
      <c r="BO42" s="50" t="str">
        <f aca="false">IF($C42="","",-$BE42+IF($Q42=0,$BD42*MIN(BO$15,Horiz),$BD42*(1-(1+$Q42)^(-MIN(BO$15,Horiz)))/$Q42))</f>
        <v/>
      </c>
      <c r="BP42" s="50" t="str">
        <f aca="false">IF($C42="","",-$BE42+IF($Q42=0,$BD42*MIN(BP$15,Horiz),$BD42*(1-(1+$Q42)^(-MIN(BP$15,Horiz)))/$Q42))</f>
        <v/>
      </c>
      <c r="BQ42" s="50" t="str">
        <f aca="false">IF($C42="","",-$BE42+IF($Q42=0,$BD42*MIN(BQ$15,Horiz),$BD42*(1-(1+$Q42)^(-MIN(BQ$15,Horiz)))/$Q42))</f>
        <v/>
      </c>
      <c r="BR42" s="50" t="str">
        <f aca="false">IF($C42="","",-$BE42+IF($Q42=0,$BD42*MIN(BR$15,Horiz),$BD42*(1-(1+$Q42)^(-MIN(BR$15,Horiz)))/$Q42))</f>
        <v/>
      </c>
      <c r="BS42" s="50" t="str">
        <f aca="false">IF($C42="","",-$BE42+IF($Q42=0,$BD42*MIN(BS$15,Horiz),$BD42*(1-(1+$Q42)^(-MIN(BS$15,Horiz)))/$Q42))</f>
        <v/>
      </c>
      <c r="BT42" s="50" t="str">
        <f aca="false">IF($C42="","",-$BE42+IF($Q42=0,$BD42*MIN(BT$15,Horiz),$BD42*(1-(1+$Q42)^(-MIN(BT$15,Horiz)))/$Q42))</f>
        <v/>
      </c>
      <c r="BU42" s="50" t="str">
        <f aca="false">IF($C42="","",-$BE42+IF($Q42=0,$BD42*MIN(BU$15,Horiz),$BD42*(1-(1+$Q42)^(-MIN(BU$15,Horiz)))/$Q42))</f>
        <v/>
      </c>
      <c r="BV42" s="50" t="str">
        <f aca="false">IF($C42="","",-$BE42+IF($Q42=0,$BD42*MIN(BV$15,Horiz),$BD42*(1-(1+$Q42)^(-MIN(BV$15,Horiz)))/$Q42))</f>
        <v/>
      </c>
      <c r="BW42" s="50" t="str">
        <f aca="false">IF($C42="","",-$BE42+IF($Q42=0,$BD42*MIN(BW$15,Horiz),$BD42*(1-(1+$Q42)^(-MIN(BW$15,Horiz)))/$Q42))</f>
        <v/>
      </c>
      <c r="BX42" s="50" t="str">
        <f aca="false">IF($C42="","",-$BE42+IF($Q42=0,$BD42*MIN(BX$15,Horiz),$BD42*(1-(1+$Q42)^(-MIN(BX$15,Horiz)))/$Q42))</f>
        <v/>
      </c>
      <c r="BY42" s="50" t="str">
        <f aca="false">IF($C42="","",-$BE42+IF($Q42=0,$BD42*MIN(BY$15,Horiz),$BD42*(1-(1+$Q42)^(-MIN(BY$15,Horiz)))/$Q42))</f>
        <v/>
      </c>
      <c r="BZ42" s="50" t="str">
        <f aca="false">IF($C42="","",-$BE42+IF($Q42=0,$BD42*MIN(BZ$15,Horiz),$BD42*(1-(1+$Q42)^(-MIN(BZ$15,Horiz)))/$Q42))</f>
        <v/>
      </c>
      <c r="CA42" s="50" t="str">
        <f aca="false">IF($C42="","",-$BE42+IF($Q42=0,$BD42*MIN(CA$15,Horiz),$BD42*(1-(1+$Q42)^(-MIN(CA$15,Horiz)))/$Q42))</f>
        <v/>
      </c>
      <c r="CB42" s="50" t="str">
        <f aca="false">IF($C42="","",-$BE42+IF($Q42=0,$BD42*MIN(CB$15,Horiz),$BD42*(1-(1+$Q42)^(-MIN(CB$15,Horiz)))/$Q42))</f>
        <v/>
      </c>
      <c r="CC42" s="50" t="str">
        <f aca="false">IF($C42="","",-$BE42+IF($Q42=0,$BD42*MIN(CC$15,Horiz),$BD42*(1-(1+$Q42)^(-MIN(CC$15,Horiz)))/$Q42))</f>
        <v/>
      </c>
      <c r="CD42" s="50" t="str">
        <f aca="false">IF($C42="","",-$BE42+IF($Q42=0,$BD42*MIN(CD$15,Horiz),$BD42*(1-(1+$Q42)^(-MIN(CD$15,Horiz)))/$Q42))</f>
        <v/>
      </c>
    </row>
    <row r="43" customFormat="false" ht="15" hidden="false" customHeight="false" outlineLevel="0" collapsed="false">
      <c r="A43" s="32" t="n">
        <v>28</v>
      </c>
      <c r="B43" s="33"/>
      <c r="C43" s="34"/>
      <c r="D43" s="33"/>
      <c r="E43" s="33"/>
      <c r="F43" s="35"/>
      <c r="G43" s="35"/>
      <c r="H43" s="36"/>
      <c r="I43" s="37"/>
      <c r="J43" s="35"/>
      <c r="K43" s="33"/>
      <c r="L43" s="34"/>
      <c r="M43" s="38"/>
      <c r="N43" s="39"/>
      <c r="O43" s="40"/>
      <c r="P43" s="39"/>
      <c r="Q43" s="41"/>
      <c r="R43" s="34"/>
      <c r="S43" s="35"/>
      <c r="T43" s="34"/>
      <c r="U43" s="34"/>
      <c r="V43" s="39"/>
      <c r="W43" s="35"/>
      <c r="X43" s="35"/>
      <c r="Y43" s="39"/>
      <c r="Z43" s="35"/>
      <c r="AA43" s="34"/>
      <c r="AB43" s="35"/>
      <c r="AC43" s="34"/>
      <c r="AD43" s="42" t="str">
        <f aca="false">IF($C43="","",AnioEval-J43)</f>
        <v/>
      </c>
      <c r="AE43" s="43" t="str">
        <f aca="false">IF($C43="","",IFERROR(I43*AD43/H43,0))</f>
        <v/>
      </c>
      <c r="AF43" s="44" t="str">
        <f aca="false">IF($C43="","",IF(INDEX(MecTipo,MATCH(K43,MecList,0))="F",IFERROR(INDEX(SusDF,MATCH(L43,SusList,0)),1),LOOKUP(AE43,ArtLim,ArtDF)))</f>
        <v/>
      </c>
      <c r="AG43" s="44" t="str">
        <f aca="false">IF($C43="","",IF(ISNUMBER(M43),M43,AF43))</f>
        <v/>
      </c>
      <c r="AH43" s="45" t="str">
        <f aca="false">IF($C43="","",INDEX(GFFval,MATCH(D43,GFFtipo,0)))</f>
        <v/>
      </c>
      <c r="AI43" s="45" t="str">
        <f aca="false">IF($C43="","",AH43*AG43*FMS)</f>
        <v/>
      </c>
      <c r="AJ43" s="46" t="str">
        <f aca="false">IF($C43="","",AI43*N43)</f>
        <v/>
      </c>
      <c r="AK43" s="47" t="str">
        <f aca="false">IF($C43="","",IF(N(S43)=0,"No requerido",IF(AND(T43="Apto",U43="Pasa"),"APTO/PASA",IF(T43="No apto","NO APTO/REPARAR","REVISAR"))))</f>
        <v/>
      </c>
      <c r="AL43" s="44" t="str">
        <f aca="false">IF($C43="","",IF(AK43="NO APTO/REPARAR",1,MAX(1,AG43*INDEX(EffRet,MATCH(R43,EffList,0))*INDEX(FFSfac,MATCH(AK43,FFSlist,0)))))</f>
        <v/>
      </c>
      <c r="AM43" s="45" t="str">
        <f aca="false">IF($C43="","",AH43*AL43*FMS)</f>
        <v/>
      </c>
      <c r="AN43" s="46" t="str">
        <f aca="false">IF($C43="","",AM43*N43)</f>
        <v/>
      </c>
      <c r="AO43" s="46" t="str">
        <f aca="false">IF($C43="","",IFERROR(AH43*FMS*INDEX(DFrep,Z43)*INDEX(FCrep,MATCH(AA43,CatLet,0)),AJ43))</f>
        <v/>
      </c>
      <c r="AP43" s="46" t="str">
        <f aca="false">IF($C43="","",IFERROR(AH43*FMS*INDEX(DFrep,AB43)*INDEX(FCrep,MATCH(AC43,CatLet,0)),AN43))</f>
        <v/>
      </c>
      <c r="AQ43" s="48" t="str">
        <f aca="false">IF($C43="","",(1+SUMPRODUCT(--(AG43&gt;PcutDF)))&amp;CHOOSE(1+SUMPRODUCT(--(N43&gt;CcutFC)),"A","B","C","D","E"))</f>
        <v/>
      </c>
      <c r="AR43" s="48" t="str">
        <f aca="false">IF($C43="","",(1+SUMPRODUCT(--(AL43&gt;PcutDF)))&amp;CHOOSE(1+SUMPRODUCT(--(N43&gt;CcutFC)),"A","B","C","D","E"))</f>
        <v/>
      </c>
      <c r="AS43" s="48" t="str">
        <f aca="false">IF($C43="","",IF(AND(Z43&amp;AA43=AQ43,AB43&amp;AC43=AR43),"OK","REVISAR"))</f>
        <v/>
      </c>
      <c r="AT43" s="42" t="str">
        <f aca="false">IF($C43="","",IFERROR(INDEX(RAMlev,Z43,MATCH(AA43,CatLet,0)),""))</f>
        <v/>
      </c>
      <c r="AU43" s="42" t="str">
        <f aca="false">IF($C43="","",IFERROR(INDEX(RAMlev,AB43,MATCH(AC43,CatLet,0)),""))</f>
        <v/>
      </c>
      <c r="AV43" s="48" t="str">
        <f aca="false">IF($C43="","",IF(AU43="","",IF(AU43&lt;=ObjNivel,"Cumple","Excede")))</f>
        <v/>
      </c>
      <c r="AW43" s="46" t="str">
        <f aca="false">IF($C43="","",IF(Base="RAM",AO43,AJ43))</f>
        <v/>
      </c>
      <c r="AX43" s="46" t="str">
        <f aca="false">IF($C43="","",IF(Base="RAM",AP43,AN43))</f>
        <v/>
      </c>
      <c r="AY43" s="46" t="str">
        <f aca="false">IF($C43="","",AW43-AX43)</f>
        <v/>
      </c>
      <c r="AZ43" s="46" t="str">
        <f aca="false">IF($C43="","",AY43*N(O43))</f>
        <v/>
      </c>
      <c r="BA43" s="46" t="str">
        <f aca="false">IF($C43="","",AY43-AZ43)</f>
        <v/>
      </c>
      <c r="BB43" s="46" t="str">
        <f aca="false">IF($C43="","",IFERROR(P43*(1/W43-1/X43),0))</f>
        <v/>
      </c>
      <c r="BC43" s="46" t="str">
        <f aca="false">IF($C43="","",IFERROR(Y43*(1/W43-1/X43),0))</f>
        <v/>
      </c>
      <c r="BD43" s="46" t="str">
        <f aca="false">IF($C43="","",AY43+BB43+BC43)</f>
        <v/>
      </c>
      <c r="BE43" s="46" t="str">
        <f aca="false">IF($C43="","",P43+INDEX(FFScost,N(S43)+1)+IF(AK43="NO APTO/REPARAR",N(V43),0)+RBIimpl)</f>
        <v/>
      </c>
      <c r="BF43" s="43" t="str">
        <f aca="false">IF($C43="","",IF(Q43=0,Horiz,(1-(1+Q43)^(-Horiz))/Q43))</f>
        <v/>
      </c>
      <c r="BG43" s="46" t="str">
        <f aca="false">IF($C43="","",BD43*BF43)</f>
        <v/>
      </c>
      <c r="BH43" s="49" t="str">
        <f aca="false">IF($C43="","",IFERROR(BG43/BE43,0))</f>
        <v/>
      </c>
      <c r="BI43" s="50" t="str">
        <f aca="false">IF($C43="","",BG43-BE43)</f>
        <v/>
      </c>
      <c r="BJ43" s="51" t="str">
        <f aca="false">IF($C43="","",IFERROR((Horiz*BD43-BE43)/BE43,0))</f>
        <v/>
      </c>
      <c r="BK43" s="52" t="str">
        <f aca="false">IF($C43="","",IF(BD43&gt;0,BE43/BD43,"No recupera"))</f>
        <v/>
      </c>
      <c r="BL43" s="52" t="str">
        <f aca="false">IF($C43="","",IF(BD43&lt;=0,"No recupera",IF(Q43=0,BE43/BD43,IFERROR(-LN(1-BE43*Q43/BD43)/LN(1+Q43),"No recupera"))))</f>
        <v/>
      </c>
      <c r="BM43" s="50" t="str">
        <f aca="false">IF($C43="","",BD43-BE43/BF43)</f>
        <v/>
      </c>
      <c r="BN43" s="47" t="str">
        <f aca="false">IF($C43="","",IF(BH43&gt;1,"ACEPTABLE","NO ACEPTABLE"))</f>
        <v/>
      </c>
      <c r="BO43" s="50" t="str">
        <f aca="false">IF($C43="","",-$BE43+IF($Q43=0,$BD43*MIN(BO$15,Horiz),$BD43*(1-(1+$Q43)^(-MIN(BO$15,Horiz)))/$Q43))</f>
        <v/>
      </c>
      <c r="BP43" s="50" t="str">
        <f aca="false">IF($C43="","",-$BE43+IF($Q43=0,$BD43*MIN(BP$15,Horiz),$BD43*(1-(1+$Q43)^(-MIN(BP$15,Horiz)))/$Q43))</f>
        <v/>
      </c>
      <c r="BQ43" s="50" t="str">
        <f aca="false">IF($C43="","",-$BE43+IF($Q43=0,$BD43*MIN(BQ$15,Horiz),$BD43*(1-(1+$Q43)^(-MIN(BQ$15,Horiz)))/$Q43))</f>
        <v/>
      </c>
      <c r="BR43" s="50" t="str">
        <f aca="false">IF($C43="","",-$BE43+IF($Q43=0,$BD43*MIN(BR$15,Horiz),$BD43*(1-(1+$Q43)^(-MIN(BR$15,Horiz)))/$Q43))</f>
        <v/>
      </c>
      <c r="BS43" s="50" t="str">
        <f aca="false">IF($C43="","",-$BE43+IF($Q43=0,$BD43*MIN(BS$15,Horiz),$BD43*(1-(1+$Q43)^(-MIN(BS$15,Horiz)))/$Q43))</f>
        <v/>
      </c>
      <c r="BT43" s="50" t="str">
        <f aca="false">IF($C43="","",-$BE43+IF($Q43=0,$BD43*MIN(BT$15,Horiz),$BD43*(1-(1+$Q43)^(-MIN(BT$15,Horiz)))/$Q43))</f>
        <v/>
      </c>
      <c r="BU43" s="50" t="str">
        <f aca="false">IF($C43="","",-$BE43+IF($Q43=0,$BD43*MIN(BU$15,Horiz),$BD43*(1-(1+$Q43)^(-MIN(BU$15,Horiz)))/$Q43))</f>
        <v/>
      </c>
      <c r="BV43" s="50" t="str">
        <f aca="false">IF($C43="","",-$BE43+IF($Q43=0,$BD43*MIN(BV$15,Horiz),$BD43*(1-(1+$Q43)^(-MIN(BV$15,Horiz)))/$Q43))</f>
        <v/>
      </c>
      <c r="BW43" s="50" t="str">
        <f aca="false">IF($C43="","",-$BE43+IF($Q43=0,$BD43*MIN(BW$15,Horiz),$BD43*(1-(1+$Q43)^(-MIN(BW$15,Horiz)))/$Q43))</f>
        <v/>
      </c>
      <c r="BX43" s="50" t="str">
        <f aca="false">IF($C43="","",-$BE43+IF($Q43=0,$BD43*MIN(BX$15,Horiz),$BD43*(1-(1+$Q43)^(-MIN(BX$15,Horiz)))/$Q43))</f>
        <v/>
      </c>
      <c r="BY43" s="50" t="str">
        <f aca="false">IF($C43="","",-$BE43+IF($Q43=0,$BD43*MIN(BY$15,Horiz),$BD43*(1-(1+$Q43)^(-MIN(BY$15,Horiz)))/$Q43))</f>
        <v/>
      </c>
      <c r="BZ43" s="50" t="str">
        <f aca="false">IF($C43="","",-$BE43+IF($Q43=0,$BD43*MIN(BZ$15,Horiz),$BD43*(1-(1+$Q43)^(-MIN(BZ$15,Horiz)))/$Q43))</f>
        <v/>
      </c>
      <c r="CA43" s="50" t="str">
        <f aca="false">IF($C43="","",-$BE43+IF($Q43=0,$BD43*MIN(CA$15,Horiz),$BD43*(1-(1+$Q43)^(-MIN(CA$15,Horiz)))/$Q43))</f>
        <v/>
      </c>
      <c r="CB43" s="50" t="str">
        <f aca="false">IF($C43="","",-$BE43+IF($Q43=0,$BD43*MIN(CB$15,Horiz),$BD43*(1-(1+$Q43)^(-MIN(CB$15,Horiz)))/$Q43))</f>
        <v/>
      </c>
      <c r="CC43" s="50" t="str">
        <f aca="false">IF($C43="","",-$BE43+IF($Q43=0,$BD43*MIN(CC$15,Horiz),$BD43*(1-(1+$Q43)^(-MIN(CC$15,Horiz)))/$Q43))</f>
        <v/>
      </c>
      <c r="CD43" s="50" t="str">
        <f aca="false">IF($C43="","",-$BE43+IF($Q43=0,$BD43*MIN(CD$15,Horiz),$BD43*(1-(1+$Q43)^(-MIN(CD$15,Horiz)))/$Q43))</f>
        <v/>
      </c>
    </row>
    <row r="44" customFormat="false" ht="15" hidden="false" customHeight="false" outlineLevel="0" collapsed="false">
      <c r="A44" s="32" t="n">
        <v>29</v>
      </c>
      <c r="B44" s="33"/>
      <c r="C44" s="34"/>
      <c r="D44" s="33"/>
      <c r="E44" s="33"/>
      <c r="F44" s="35"/>
      <c r="G44" s="35"/>
      <c r="H44" s="36"/>
      <c r="I44" s="37"/>
      <c r="J44" s="35"/>
      <c r="K44" s="33"/>
      <c r="L44" s="34"/>
      <c r="M44" s="38"/>
      <c r="N44" s="39"/>
      <c r="O44" s="40"/>
      <c r="P44" s="39"/>
      <c r="Q44" s="41"/>
      <c r="R44" s="34"/>
      <c r="S44" s="35"/>
      <c r="T44" s="34"/>
      <c r="U44" s="34"/>
      <c r="V44" s="39"/>
      <c r="W44" s="35"/>
      <c r="X44" s="35"/>
      <c r="Y44" s="39"/>
      <c r="Z44" s="35"/>
      <c r="AA44" s="34"/>
      <c r="AB44" s="35"/>
      <c r="AC44" s="34"/>
      <c r="AD44" s="42" t="str">
        <f aca="false">IF($C44="","",AnioEval-J44)</f>
        <v/>
      </c>
      <c r="AE44" s="43" t="str">
        <f aca="false">IF($C44="","",IFERROR(I44*AD44/H44,0))</f>
        <v/>
      </c>
      <c r="AF44" s="44" t="str">
        <f aca="false">IF($C44="","",IF(INDEX(MecTipo,MATCH(K44,MecList,0))="F",IFERROR(INDEX(SusDF,MATCH(L44,SusList,0)),1),LOOKUP(AE44,ArtLim,ArtDF)))</f>
        <v/>
      </c>
      <c r="AG44" s="44" t="str">
        <f aca="false">IF($C44="","",IF(ISNUMBER(M44),M44,AF44))</f>
        <v/>
      </c>
      <c r="AH44" s="45" t="str">
        <f aca="false">IF($C44="","",INDEX(GFFval,MATCH(D44,GFFtipo,0)))</f>
        <v/>
      </c>
      <c r="AI44" s="45" t="str">
        <f aca="false">IF($C44="","",AH44*AG44*FMS)</f>
        <v/>
      </c>
      <c r="AJ44" s="46" t="str">
        <f aca="false">IF($C44="","",AI44*N44)</f>
        <v/>
      </c>
      <c r="AK44" s="47" t="str">
        <f aca="false">IF($C44="","",IF(N(S44)=0,"No requerido",IF(AND(T44="Apto",U44="Pasa"),"APTO/PASA",IF(T44="No apto","NO APTO/REPARAR","REVISAR"))))</f>
        <v/>
      </c>
      <c r="AL44" s="44" t="str">
        <f aca="false">IF($C44="","",IF(AK44="NO APTO/REPARAR",1,MAX(1,AG44*INDEX(EffRet,MATCH(R44,EffList,0))*INDEX(FFSfac,MATCH(AK44,FFSlist,0)))))</f>
        <v/>
      </c>
      <c r="AM44" s="45" t="str">
        <f aca="false">IF($C44="","",AH44*AL44*FMS)</f>
        <v/>
      </c>
      <c r="AN44" s="46" t="str">
        <f aca="false">IF($C44="","",AM44*N44)</f>
        <v/>
      </c>
      <c r="AO44" s="46" t="str">
        <f aca="false">IF($C44="","",IFERROR(AH44*FMS*INDEX(DFrep,Z44)*INDEX(FCrep,MATCH(AA44,CatLet,0)),AJ44))</f>
        <v/>
      </c>
      <c r="AP44" s="46" t="str">
        <f aca="false">IF($C44="","",IFERROR(AH44*FMS*INDEX(DFrep,AB44)*INDEX(FCrep,MATCH(AC44,CatLet,0)),AN44))</f>
        <v/>
      </c>
      <c r="AQ44" s="48" t="str">
        <f aca="false">IF($C44="","",(1+SUMPRODUCT(--(AG44&gt;PcutDF)))&amp;CHOOSE(1+SUMPRODUCT(--(N44&gt;CcutFC)),"A","B","C","D","E"))</f>
        <v/>
      </c>
      <c r="AR44" s="48" t="str">
        <f aca="false">IF($C44="","",(1+SUMPRODUCT(--(AL44&gt;PcutDF)))&amp;CHOOSE(1+SUMPRODUCT(--(N44&gt;CcutFC)),"A","B","C","D","E"))</f>
        <v/>
      </c>
      <c r="AS44" s="48" t="str">
        <f aca="false">IF($C44="","",IF(AND(Z44&amp;AA44=AQ44,AB44&amp;AC44=AR44),"OK","REVISAR"))</f>
        <v/>
      </c>
      <c r="AT44" s="42" t="str">
        <f aca="false">IF($C44="","",IFERROR(INDEX(RAMlev,Z44,MATCH(AA44,CatLet,0)),""))</f>
        <v/>
      </c>
      <c r="AU44" s="42" t="str">
        <f aca="false">IF($C44="","",IFERROR(INDEX(RAMlev,AB44,MATCH(AC44,CatLet,0)),""))</f>
        <v/>
      </c>
      <c r="AV44" s="48" t="str">
        <f aca="false">IF($C44="","",IF(AU44="","",IF(AU44&lt;=ObjNivel,"Cumple","Excede")))</f>
        <v/>
      </c>
      <c r="AW44" s="46" t="str">
        <f aca="false">IF($C44="","",IF(Base="RAM",AO44,AJ44))</f>
        <v/>
      </c>
      <c r="AX44" s="46" t="str">
        <f aca="false">IF($C44="","",IF(Base="RAM",AP44,AN44))</f>
        <v/>
      </c>
      <c r="AY44" s="46" t="str">
        <f aca="false">IF($C44="","",AW44-AX44)</f>
        <v/>
      </c>
      <c r="AZ44" s="46" t="str">
        <f aca="false">IF($C44="","",AY44*N(O44))</f>
        <v/>
      </c>
      <c r="BA44" s="46" t="str">
        <f aca="false">IF($C44="","",AY44-AZ44)</f>
        <v/>
      </c>
      <c r="BB44" s="46" t="str">
        <f aca="false">IF($C44="","",IFERROR(P44*(1/W44-1/X44),0))</f>
        <v/>
      </c>
      <c r="BC44" s="46" t="str">
        <f aca="false">IF($C44="","",IFERROR(Y44*(1/W44-1/X44),0))</f>
        <v/>
      </c>
      <c r="BD44" s="46" t="str">
        <f aca="false">IF($C44="","",AY44+BB44+BC44)</f>
        <v/>
      </c>
      <c r="BE44" s="46" t="str">
        <f aca="false">IF($C44="","",P44+INDEX(FFScost,N(S44)+1)+IF(AK44="NO APTO/REPARAR",N(V44),0)+RBIimpl)</f>
        <v/>
      </c>
      <c r="BF44" s="43" t="str">
        <f aca="false">IF($C44="","",IF(Q44=0,Horiz,(1-(1+Q44)^(-Horiz))/Q44))</f>
        <v/>
      </c>
      <c r="BG44" s="46" t="str">
        <f aca="false">IF($C44="","",BD44*BF44)</f>
        <v/>
      </c>
      <c r="BH44" s="49" t="str">
        <f aca="false">IF($C44="","",IFERROR(BG44/BE44,0))</f>
        <v/>
      </c>
      <c r="BI44" s="50" t="str">
        <f aca="false">IF($C44="","",BG44-BE44)</f>
        <v/>
      </c>
      <c r="BJ44" s="51" t="str">
        <f aca="false">IF($C44="","",IFERROR((Horiz*BD44-BE44)/BE44,0))</f>
        <v/>
      </c>
      <c r="BK44" s="52" t="str">
        <f aca="false">IF($C44="","",IF(BD44&gt;0,BE44/BD44,"No recupera"))</f>
        <v/>
      </c>
      <c r="BL44" s="52" t="str">
        <f aca="false">IF($C44="","",IF(BD44&lt;=0,"No recupera",IF(Q44=0,BE44/BD44,IFERROR(-LN(1-BE44*Q44/BD44)/LN(1+Q44),"No recupera"))))</f>
        <v/>
      </c>
      <c r="BM44" s="50" t="str">
        <f aca="false">IF($C44="","",BD44-BE44/BF44)</f>
        <v/>
      </c>
      <c r="BN44" s="47" t="str">
        <f aca="false">IF($C44="","",IF(BH44&gt;1,"ACEPTABLE","NO ACEPTABLE"))</f>
        <v/>
      </c>
      <c r="BO44" s="50" t="str">
        <f aca="false">IF($C44="","",-$BE44+IF($Q44=0,$BD44*MIN(BO$15,Horiz),$BD44*(1-(1+$Q44)^(-MIN(BO$15,Horiz)))/$Q44))</f>
        <v/>
      </c>
      <c r="BP44" s="50" t="str">
        <f aca="false">IF($C44="","",-$BE44+IF($Q44=0,$BD44*MIN(BP$15,Horiz),$BD44*(1-(1+$Q44)^(-MIN(BP$15,Horiz)))/$Q44))</f>
        <v/>
      </c>
      <c r="BQ44" s="50" t="str">
        <f aca="false">IF($C44="","",-$BE44+IF($Q44=0,$BD44*MIN(BQ$15,Horiz),$BD44*(1-(1+$Q44)^(-MIN(BQ$15,Horiz)))/$Q44))</f>
        <v/>
      </c>
      <c r="BR44" s="50" t="str">
        <f aca="false">IF($C44="","",-$BE44+IF($Q44=0,$BD44*MIN(BR$15,Horiz),$BD44*(1-(1+$Q44)^(-MIN(BR$15,Horiz)))/$Q44))</f>
        <v/>
      </c>
      <c r="BS44" s="50" t="str">
        <f aca="false">IF($C44="","",-$BE44+IF($Q44=0,$BD44*MIN(BS$15,Horiz),$BD44*(1-(1+$Q44)^(-MIN(BS$15,Horiz)))/$Q44))</f>
        <v/>
      </c>
      <c r="BT44" s="50" t="str">
        <f aca="false">IF($C44="","",-$BE44+IF($Q44=0,$BD44*MIN(BT$15,Horiz),$BD44*(1-(1+$Q44)^(-MIN(BT$15,Horiz)))/$Q44))</f>
        <v/>
      </c>
      <c r="BU44" s="50" t="str">
        <f aca="false">IF($C44="","",-$BE44+IF($Q44=0,$BD44*MIN(BU$15,Horiz),$BD44*(1-(1+$Q44)^(-MIN(BU$15,Horiz)))/$Q44))</f>
        <v/>
      </c>
      <c r="BV44" s="50" t="str">
        <f aca="false">IF($C44="","",-$BE44+IF($Q44=0,$BD44*MIN(BV$15,Horiz),$BD44*(1-(1+$Q44)^(-MIN(BV$15,Horiz)))/$Q44))</f>
        <v/>
      </c>
      <c r="BW44" s="50" t="str">
        <f aca="false">IF($C44="","",-$BE44+IF($Q44=0,$BD44*MIN(BW$15,Horiz),$BD44*(1-(1+$Q44)^(-MIN(BW$15,Horiz)))/$Q44))</f>
        <v/>
      </c>
      <c r="BX44" s="50" t="str">
        <f aca="false">IF($C44="","",-$BE44+IF($Q44=0,$BD44*MIN(BX$15,Horiz),$BD44*(1-(1+$Q44)^(-MIN(BX$15,Horiz)))/$Q44))</f>
        <v/>
      </c>
      <c r="BY44" s="50" t="str">
        <f aca="false">IF($C44="","",-$BE44+IF($Q44=0,$BD44*MIN(BY$15,Horiz),$BD44*(1-(1+$Q44)^(-MIN(BY$15,Horiz)))/$Q44))</f>
        <v/>
      </c>
      <c r="BZ44" s="50" t="str">
        <f aca="false">IF($C44="","",-$BE44+IF($Q44=0,$BD44*MIN(BZ$15,Horiz),$BD44*(1-(1+$Q44)^(-MIN(BZ$15,Horiz)))/$Q44))</f>
        <v/>
      </c>
      <c r="CA44" s="50" t="str">
        <f aca="false">IF($C44="","",-$BE44+IF($Q44=0,$BD44*MIN(CA$15,Horiz),$BD44*(1-(1+$Q44)^(-MIN(CA$15,Horiz)))/$Q44))</f>
        <v/>
      </c>
      <c r="CB44" s="50" t="str">
        <f aca="false">IF($C44="","",-$BE44+IF($Q44=0,$BD44*MIN(CB$15,Horiz),$BD44*(1-(1+$Q44)^(-MIN(CB$15,Horiz)))/$Q44))</f>
        <v/>
      </c>
      <c r="CC44" s="50" t="str">
        <f aca="false">IF($C44="","",-$BE44+IF($Q44=0,$BD44*MIN(CC$15,Horiz),$BD44*(1-(1+$Q44)^(-MIN(CC$15,Horiz)))/$Q44))</f>
        <v/>
      </c>
      <c r="CD44" s="50" t="str">
        <f aca="false">IF($C44="","",-$BE44+IF($Q44=0,$BD44*MIN(CD$15,Horiz),$BD44*(1-(1+$Q44)^(-MIN(CD$15,Horiz)))/$Q44))</f>
        <v/>
      </c>
    </row>
    <row r="45" customFormat="false" ht="15" hidden="false" customHeight="false" outlineLevel="0" collapsed="false">
      <c r="A45" s="32" t="n">
        <v>30</v>
      </c>
      <c r="B45" s="33"/>
      <c r="C45" s="34"/>
      <c r="D45" s="33"/>
      <c r="E45" s="33"/>
      <c r="F45" s="35"/>
      <c r="G45" s="35"/>
      <c r="H45" s="36"/>
      <c r="I45" s="37"/>
      <c r="J45" s="35"/>
      <c r="K45" s="33"/>
      <c r="L45" s="34"/>
      <c r="M45" s="38"/>
      <c r="N45" s="39"/>
      <c r="O45" s="40"/>
      <c r="P45" s="39"/>
      <c r="Q45" s="41"/>
      <c r="R45" s="34"/>
      <c r="S45" s="35"/>
      <c r="T45" s="34"/>
      <c r="U45" s="34"/>
      <c r="V45" s="39"/>
      <c r="W45" s="35"/>
      <c r="X45" s="35"/>
      <c r="Y45" s="39"/>
      <c r="Z45" s="35"/>
      <c r="AA45" s="34"/>
      <c r="AB45" s="35"/>
      <c r="AC45" s="34"/>
      <c r="AD45" s="42" t="str">
        <f aca="false">IF($C45="","",AnioEval-J45)</f>
        <v/>
      </c>
      <c r="AE45" s="43" t="str">
        <f aca="false">IF($C45="","",IFERROR(I45*AD45/H45,0))</f>
        <v/>
      </c>
      <c r="AF45" s="44" t="str">
        <f aca="false">IF($C45="","",IF(INDEX(MecTipo,MATCH(K45,MecList,0))="F",IFERROR(INDEX(SusDF,MATCH(L45,SusList,0)),1),LOOKUP(AE45,ArtLim,ArtDF)))</f>
        <v/>
      </c>
      <c r="AG45" s="44" t="str">
        <f aca="false">IF($C45="","",IF(ISNUMBER(M45),M45,AF45))</f>
        <v/>
      </c>
      <c r="AH45" s="45" t="str">
        <f aca="false">IF($C45="","",INDEX(GFFval,MATCH(D45,GFFtipo,0)))</f>
        <v/>
      </c>
      <c r="AI45" s="45" t="str">
        <f aca="false">IF($C45="","",AH45*AG45*FMS)</f>
        <v/>
      </c>
      <c r="AJ45" s="46" t="str">
        <f aca="false">IF($C45="","",AI45*N45)</f>
        <v/>
      </c>
      <c r="AK45" s="47" t="str">
        <f aca="false">IF($C45="","",IF(N(S45)=0,"No requerido",IF(AND(T45="Apto",U45="Pasa"),"APTO/PASA",IF(T45="No apto","NO APTO/REPARAR","REVISAR"))))</f>
        <v/>
      </c>
      <c r="AL45" s="44" t="str">
        <f aca="false">IF($C45="","",IF(AK45="NO APTO/REPARAR",1,MAX(1,AG45*INDEX(EffRet,MATCH(R45,EffList,0))*INDEX(FFSfac,MATCH(AK45,FFSlist,0)))))</f>
        <v/>
      </c>
      <c r="AM45" s="45" t="str">
        <f aca="false">IF($C45="","",AH45*AL45*FMS)</f>
        <v/>
      </c>
      <c r="AN45" s="46" t="str">
        <f aca="false">IF($C45="","",AM45*N45)</f>
        <v/>
      </c>
      <c r="AO45" s="46" t="str">
        <f aca="false">IF($C45="","",IFERROR(AH45*FMS*INDEX(DFrep,Z45)*INDEX(FCrep,MATCH(AA45,CatLet,0)),AJ45))</f>
        <v/>
      </c>
      <c r="AP45" s="46" t="str">
        <f aca="false">IF($C45="","",IFERROR(AH45*FMS*INDEX(DFrep,AB45)*INDEX(FCrep,MATCH(AC45,CatLet,0)),AN45))</f>
        <v/>
      </c>
      <c r="AQ45" s="48" t="str">
        <f aca="false">IF($C45="","",(1+SUMPRODUCT(--(AG45&gt;PcutDF)))&amp;CHOOSE(1+SUMPRODUCT(--(N45&gt;CcutFC)),"A","B","C","D","E"))</f>
        <v/>
      </c>
      <c r="AR45" s="48" t="str">
        <f aca="false">IF($C45="","",(1+SUMPRODUCT(--(AL45&gt;PcutDF)))&amp;CHOOSE(1+SUMPRODUCT(--(N45&gt;CcutFC)),"A","B","C","D","E"))</f>
        <v/>
      </c>
      <c r="AS45" s="48" t="str">
        <f aca="false">IF($C45="","",IF(AND(Z45&amp;AA45=AQ45,AB45&amp;AC45=AR45),"OK","REVISAR"))</f>
        <v/>
      </c>
      <c r="AT45" s="42" t="str">
        <f aca="false">IF($C45="","",IFERROR(INDEX(RAMlev,Z45,MATCH(AA45,CatLet,0)),""))</f>
        <v/>
      </c>
      <c r="AU45" s="42" t="str">
        <f aca="false">IF($C45="","",IFERROR(INDEX(RAMlev,AB45,MATCH(AC45,CatLet,0)),""))</f>
        <v/>
      </c>
      <c r="AV45" s="48" t="str">
        <f aca="false">IF($C45="","",IF(AU45="","",IF(AU45&lt;=ObjNivel,"Cumple","Excede")))</f>
        <v/>
      </c>
      <c r="AW45" s="46" t="str">
        <f aca="false">IF($C45="","",IF(Base="RAM",AO45,AJ45))</f>
        <v/>
      </c>
      <c r="AX45" s="46" t="str">
        <f aca="false">IF($C45="","",IF(Base="RAM",AP45,AN45))</f>
        <v/>
      </c>
      <c r="AY45" s="46" t="str">
        <f aca="false">IF($C45="","",AW45-AX45)</f>
        <v/>
      </c>
      <c r="AZ45" s="46" t="str">
        <f aca="false">IF($C45="","",AY45*N(O45))</f>
        <v/>
      </c>
      <c r="BA45" s="46" t="str">
        <f aca="false">IF($C45="","",AY45-AZ45)</f>
        <v/>
      </c>
      <c r="BB45" s="46" t="str">
        <f aca="false">IF($C45="","",IFERROR(P45*(1/W45-1/X45),0))</f>
        <v/>
      </c>
      <c r="BC45" s="46" t="str">
        <f aca="false">IF($C45="","",IFERROR(Y45*(1/W45-1/X45),0))</f>
        <v/>
      </c>
      <c r="BD45" s="46" t="str">
        <f aca="false">IF($C45="","",AY45+BB45+BC45)</f>
        <v/>
      </c>
      <c r="BE45" s="46" t="str">
        <f aca="false">IF($C45="","",P45+INDEX(FFScost,N(S45)+1)+IF(AK45="NO APTO/REPARAR",N(V45),0)+RBIimpl)</f>
        <v/>
      </c>
      <c r="BF45" s="43" t="str">
        <f aca="false">IF($C45="","",IF(Q45=0,Horiz,(1-(1+Q45)^(-Horiz))/Q45))</f>
        <v/>
      </c>
      <c r="BG45" s="46" t="str">
        <f aca="false">IF($C45="","",BD45*BF45)</f>
        <v/>
      </c>
      <c r="BH45" s="49" t="str">
        <f aca="false">IF($C45="","",IFERROR(BG45/BE45,0))</f>
        <v/>
      </c>
      <c r="BI45" s="50" t="str">
        <f aca="false">IF($C45="","",BG45-BE45)</f>
        <v/>
      </c>
      <c r="BJ45" s="51" t="str">
        <f aca="false">IF($C45="","",IFERROR((Horiz*BD45-BE45)/BE45,0))</f>
        <v/>
      </c>
      <c r="BK45" s="52" t="str">
        <f aca="false">IF($C45="","",IF(BD45&gt;0,BE45/BD45,"No recupera"))</f>
        <v/>
      </c>
      <c r="BL45" s="52" t="str">
        <f aca="false">IF($C45="","",IF(BD45&lt;=0,"No recupera",IF(Q45=0,BE45/BD45,IFERROR(-LN(1-BE45*Q45/BD45)/LN(1+Q45),"No recupera"))))</f>
        <v/>
      </c>
      <c r="BM45" s="50" t="str">
        <f aca="false">IF($C45="","",BD45-BE45/BF45)</f>
        <v/>
      </c>
      <c r="BN45" s="47" t="str">
        <f aca="false">IF($C45="","",IF(BH45&gt;1,"ACEPTABLE","NO ACEPTABLE"))</f>
        <v/>
      </c>
      <c r="BO45" s="50" t="str">
        <f aca="false">IF($C45="","",-$BE45+IF($Q45=0,$BD45*MIN(BO$15,Horiz),$BD45*(1-(1+$Q45)^(-MIN(BO$15,Horiz)))/$Q45))</f>
        <v/>
      </c>
      <c r="BP45" s="50" t="str">
        <f aca="false">IF($C45="","",-$BE45+IF($Q45=0,$BD45*MIN(BP$15,Horiz),$BD45*(1-(1+$Q45)^(-MIN(BP$15,Horiz)))/$Q45))</f>
        <v/>
      </c>
      <c r="BQ45" s="50" t="str">
        <f aca="false">IF($C45="","",-$BE45+IF($Q45=0,$BD45*MIN(BQ$15,Horiz),$BD45*(1-(1+$Q45)^(-MIN(BQ$15,Horiz)))/$Q45))</f>
        <v/>
      </c>
      <c r="BR45" s="50" t="str">
        <f aca="false">IF($C45="","",-$BE45+IF($Q45=0,$BD45*MIN(BR$15,Horiz),$BD45*(1-(1+$Q45)^(-MIN(BR$15,Horiz)))/$Q45))</f>
        <v/>
      </c>
      <c r="BS45" s="50" t="str">
        <f aca="false">IF($C45="","",-$BE45+IF($Q45=0,$BD45*MIN(BS$15,Horiz),$BD45*(1-(1+$Q45)^(-MIN(BS$15,Horiz)))/$Q45))</f>
        <v/>
      </c>
      <c r="BT45" s="50" t="str">
        <f aca="false">IF($C45="","",-$BE45+IF($Q45=0,$BD45*MIN(BT$15,Horiz),$BD45*(1-(1+$Q45)^(-MIN(BT$15,Horiz)))/$Q45))</f>
        <v/>
      </c>
      <c r="BU45" s="50" t="str">
        <f aca="false">IF($C45="","",-$BE45+IF($Q45=0,$BD45*MIN(BU$15,Horiz),$BD45*(1-(1+$Q45)^(-MIN(BU$15,Horiz)))/$Q45))</f>
        <v/>
      </c>
      <c r="BV45" s="50" t="str">
        <f aca="false">IF($C45="","",-$BE45+IF($Q45=0,$BD45*MIN(BV$15,Horiz),$BD45*(1-(1+$Q45)^(-MIN(BV$15,Horiz)))/$Q45))</f>
        <v/>
      </c>
      <c r="BW45" s="50" t="str">
        <f aca="false">IF($C45="","",-$BE45+IF($Q45=0,$BD45*MIN(BW$15,Horiz),$BD45*(1-(1+$Q45)^(-MIN(BW$15,Horiz)))/$Q45))</f>
        <v/>
      </c>
      <c r="BX45" s="50" t="str">
        <f aca="false">IF($C45="","",-$BE45+IF($Q45=0,$BD45*MIN(BX$15,Horiz),$BD45*(1-(1+$Q45)^(-MIN(BX$15,Horiz)))/$Q45))</f>
        <v/>
      </c>
      <c r="BY45" s="50" t="str">
        <f aca="false">IF($C45="","",-$BE45+IF($Q45=0,$BD45*MIN(BY$15,Horiz),$BD45*(1-(1+$Q45)^(-MIN(BY$15,Horiz)))/$Q45))</f>
        <v/>
      </c>
      <c r="BZ45" s="50" t="str">
        <f aca="false">IF($C45="","",-$BE45+IF($Q45=0,$BD45*MIN(BZ$15,Horiz),$BD45*(1-(1+$Q45)^(-MIN(BZ$15,Horiz)))/$Q45))</f>
        <v/>
      </c>
      <c r="CA45" s="50" t="str">
        <f aca="false">IF($C45="","",-$BE45+IF($Q45=0,$BD45*MIN(CA$15,Horiz),$BD45*(1-(1+$Q45)^(-MIN(CA$15,Horiz)))/$Q45))</f>
        <v/>
      </c>
      <c r="CB45" s="50" t="str">
        <f aca="false">IF($C45="","",-$BE45+IF($Q45=0,$BD45*MIN(CB$15,Horiz),$BD45*(1-(1+$Q45)^(-MIN(CB$15,Horiz)))/$Q45))</f>
        <v/>
      </c>
      <c r="CC45" s="50" t="str">
        <f aca="false">IF($C45="","",-$BE45+IF($Q45=0,$BD45*MIN(CC$15,Horiz),$BD45*(1-(1+$Q45)^(-MIN(CC$15,Horiz)))/$Q45))</f>
        <v/>
      </c>
      <c r="CD45" s="50" t="str">
        <f aca="false">IF($C45="","",-$BE45+IF($Q45=0,$BD45*MIN(CD$15,Horiz),$BD45*(1-(1+$Q45)^(-MIN(CD$15,Horiz)))/$Q45))</f>
        <v/>
      </c>
    </row>
    <row r="46" customFormat="false" ht="15" hidden="false" customHeight="false" outlineLevel="0" collapsed="false">
      <c r="A46" s="53" t="s">
        <v>138</v>
      </c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4" t="n">
        <f aca="false">SUM(N16:N45)</f>
        <v>26850000</v>
      </c>
      <c r="O46" s="53"/>
      <c r="P46" s="54" t="n">
        <f aca="false">SUM(P16:P45)</f>
        <v>121720</v>
      </c>
      <c r="Q46" s="53"/>
      <c r="R46" s="53"/>
      <c r="S46" s="53"/>
      <c r="T46" s="53"/>
      <c r="U46" s="53"/>
      <c r="V46" s="54" t="n">
        <f aca="false">SUM(V16:V45)</f>
        <v>250000</v>
      </c>
      <c r="W46" s="53"/>
      <c r="X46" s="53"/>
      <c r="Y46" s="54" t="n">
        <f aca="false">SUM(Y16:Y45)</f>
        <v>1820000</v>
      </c>
      <c r="Z46" s="53"/>
      <c r="AA46" s="53"/>
      <c r="AB46" s="53"/>
      <c r="AC46" s="53"/>
      <c r="AD46" s="53"/>
      <c r="AE46" s="53"/>
      <c r="AF46" s="53"/>
      <c r="AG46" s="53"/>
      <c r="AH46" s="53"/>
      <c r="AI46" s="53"/>
      <c r="AJ46" s="54" t="n">
        <f aca="false">SUM(AJ16:AJ45)</f>
        <v>33485.7692396188</v>
      </c>
      <c r="AK46" s="53"/>
      <c r="AL46" s="53"/>
      <c r="AM46" s="53"/>
      <c r="AN46" s="54" t="n">
        <f aca="false">SUM(AN16:AN45)</f>
        <v>5950.72745730937</v>
      </c>
      <c r="AO46" s="54" t="n">
        <f aca="false">SUM(AO16:AO45)</f>
        <v>27159.3441277471</v>
      </c>
      <c r="AP46" s="54" t="n">
        <f aca="false">SUM(AP16:AP45)</f>
        <v>11396.4057153922</v>
      </c>
      <c r="AQ46" s="53"/>
      <c r="AR46" s="53"/>
      <c r="AS46" s="53"/>
      <c r="AT46" s="53"/>
      <c r="AU46" s="53"/>
      <c r="AV46" s="53"/>
      <c r="AW46" s="54" t="n">
        <f aca="false">SUM(AW16:AW45)</f>
        <v>33485.7692396188</v>
      </c>
      <c r="AX46" s="54" t="n">
        <f aca="false">SUM(AX16:AX45)</f>
        <v>5950.72745730937</v>
      </c>
      <c r="AY46" s="54" t="n">
        <f aca="false">SUM(AY16:AY45)</f>
        <v>27535.0417823094</v>
      </c>
      <c r="AZ46" s="54" t="n">
        <f aca="false">SUM(AZ16:AZ45)</f>
        <v>13687.0541667411</v>
      </c>
      <c r="BA46" s="54" t="n">
        <f aca="false">SUM(BA16:BA45)</f>
        <v>13847.9876155683</v>
      </c>
      <c r="BB46" s="54" t="n">
        <f aca="false">SUM(BB16:BB45)</f>
        <v>8209.86928104575</v>
      </c>
      <c r="BC46" s="54" t="n">
        <f aca="false">SUM(BC16:BC45)</f>
        <v>125856.209150327</v>
      </c>
      <c r="BD46" s="54" t="n">
        <f aca="false">SUM(BD16:BD45)</f>
        <v>161601.120213682</v>
      </c>
      <c r="BE46" s="54" t="n">
        <f aca="false">SUM(BE16:BE45)</f>
        <v>408980</v>
      </c>
      <c r="BF46" s="53"/>
      <c r="BG46" s="54" t="n">
        <f aca="false">SUM(BG16:BG45)</f>
        <v>992968.927510019</v>
      </c>
      <c r="BH46" s="55" t="n">
        <f aca="false">IFERROR(BG46/BE46,0)</f>
        <v>2.42791561325742</v>
      </c>
      <c r="BI46" s="56" t="n">
        <f aca="false">SUM(BI16:BI45)</f>
        <v>583988.927510019</v>
      </c>
      <c r="BJ46" s="57" t="n">
        <f aca="false">IFERROR((Horiz*BD46-BE46)/BE46,0)</f>
        <v>2.95132085220994</v>
      </c>
      <c r="BK46" s="58" t="n">
        <f aca="false">IFERROR(BE46/BD46,"n/a")</f>
        <v>2.53079928814363</v>
      </c>
      <c r="BL46" s="53"/>
      <c r="BM46" s="56" t="n">
        <f aca="false">SUM(BM16:BM45)</f>
        <v>95041.5086146324</v>
      </c>
      <c r="BN46" s="53" t="str">
        <f aca="false">IF(BH46&gt;1,"ACEPTABLE","NO ACEPTABLE")</f>
        <v>ACEPTABLE</v>
      </c>
      <c r="BO46" s="56" t="n">
        <f aca="false">SUM(BO16:BO45)</f>
        <v>-408980</v>
      </c>
      <c r="BP46" s="56" t="n">
        <f aca="false">SUM(BP16:BP45)</f>
        <v>-262069.890714835</v>
      </c>
      <c r="BQ46" s="56" t="n">
        <f aca="false">SUM(BQ16:BQ45)</f>
        <v>-128515.245910139</v>
      </c>
      <c r="BR46" s="56" t="n">
        <f aca="false">SUM(BR16:BR45)</f>
        <v>-7101.93245132407</v>
      </c>
      <c r="BS46" s="56" t="n">
        <f aca="false">SUM(BS16:BS45)</f>
        <v>103273.807056689</v>
      </c>
      <c r="BT46" s="56" t="n">
        <f aca="false">SUM(BT16:BT45)</f>
        <v>203615.38842761</v>
      </c>
      <c r="BU46" s="56" t="n">
        <f aca="false">SUM(BU16:BU45)</f>
        <v>294835.00785572</v>
      </c>
      <c r="BV46" s="56" t="n">
        <f aca="false">SUM(BV16:BV45)</f>
        <v>377761.934608547</v>
      </c>
      <c r="BW46" s="56" t="n">
        <f aca="false">SUM(BW16:BW45)</f>
        <v>453150.049838391</v>
      </c>
      <c r="BX46" s="56" t="n">
        <f aca="false">SUM(BX16:BX45)</f>
        <v>521684.700047339</v>
      </c>
      <c r="BY46" s="56" t="n">
        <f aca="false">SUM(BY16:BY45)</f>
        <v>583988.927510019</v>
      </c>
      <c r="BZ46" s="56" t="n">
        <f aca="false">SUM(BZ16:BZ45)</f>
        <v>583988.927510019</v>
      </c>
      <c r="CA46" s="56" t="n">
        <f aca="false">SUM(CA16:CA45)</f>
        <v>583988.927510019</v>
      </c>
      <c r="CB46" s="56" t="n">
        <f aca="false">SUM(CB16:CB45)</f>
        <v>583988.927510019</v>
      </c>
      <c r="CC46" s="56" t="n">
        <f aca="false">SUM(CC16:CC45)</f>
        <v>583988.927510019</v>
      </c>
      <c r="CD46" s="56" t="n">
        <f aca="false">SUM(CD16:CD45)</f>
        <v>583988.927510019</v>
      </c>
    </row>
    <row r="47" customFormat="false" ht="15" hidden="false" customHeight="false" outlineLevel="0" collapsed="false">
      <c r="A47" s="59" t="s">
        <v>139</v>
      </c>
    </row>
    <row r="48" customFormat="false" ht="15" hidden="false" customHeight="false" outlineLevel="0" collapsed="false">
      <c r="B48" s="60" t="s">
        <v>140</v>
      </c>
    </row>
    <row r="49" customFormat="false" ht="15" hidden="false" customHeight="false" outlineLevel="0" collapsed="false">
      <c r="B49" s="61" t="s">
        <v>141</v>
      </c>
      <c r="J49" s="61" t="s">
        <v>142</v>
      </c>
    </row>
    <row r="50" customFormat="false" ht="15" hidden="false" customHeight="false" outlineLevel="0" collapsed="false">
      <c r="B50" s="62" t="n">
        <v>5</v>
      </c>
      <c r="C50" s="63" t="n">
        <f aca="false">COUNTIFS(Z16:Z45,5,AA16:AA45,"A")</f>
        <v>0</v>
      </c>
      <c r="D50" s="64" t="n">
        <f aca="false">COUNTIFS(Z16:Z45,5,AA16:AA45,"B")</f>
        <v>0</v>
      </c>
      <c r="E50" s="64" t="n">
        <f aca="false">COUNTIFS(Z16:Z45,5,AA16:AA45,"C")</f>
        <v>0</v>
      </c>
      <c r="F50" s="65" t="n">
        <f aca="false">COUNTIFS(Z16:Z45,5,AA16:AA45,"D")</f>
        <v>0</v>
      </c>
      <c r="G50" s="65" t="n">
        <f aca="false">COUNTIFS(Z16:Z45,5,AA16:AA45,"E")</f>
        <v>0</v>
      </c>
      <c r="J50" s="62" t="n">
        <v>5</v>
      </c>
      <c r="K50" s="63" t="n">
        <f aca="false">COUNTIFS(AB16:AB45,5,AC16:AC45,"A")</f>
        <v>0</v>
      </c>
      <c r="L50" s="64" t="n">
        <f aca="false">COUNTIFS(AB16:AB45,5,AC16:AC45,"B")</f>
        <v>0</v>
      </c>
      <c r="M50" s="64" t="n">
        <f aca="false">COUNTIFS(AB16:AB45,5,AC16:AC45,"C")</f>
        <v>0</v>
      </c>
      <c r="N50" s="65" t="n">
        <f aca="false">COUNTIFS(AB16:AB45,5,AC16:AC45,"D")</f>
        <v>0</v>
      </c>
      <c r="O50" s="65" t="n">
        <f aca="false">COUNTIFS(AB16:AB45,5,AC16:AC45,"E")</f>
        <v>0</v>
      </c>
    </row>
    <row r="51" customFormat="false" ht="15" hidden="false" customHeight="false" outlineLevel="0" collapsed="false">
      <c r="B51" s="62" t="n">
        <v>4</v>
      </c>
      <c r="C51" s="63" t="n">
        <f aca="false">COUNTIFS(Z16:Z45,4,AA16:AA45,"A")</f>
        <v>0</v>
      </c>
      <c r="D51" s="63" t="n">
        <f aca="false">COUNTIFS(Z16:Z45,4,AA16:AA45,"B")</f>
        <v>0</v>
      </c>
      <c r="E51" s="64" t="n">
        <f aca="false">COUNTIFS(Z16:Z45,4,AA16:AA45,"C")</f>
        <v>1</v>
      </c>
      <c r="F51" s="64" t="n">
        <f aca="false">COUNTIFS(Z16:Z45,4,AA16:AA45,"D")</f>
        <v>1</v>
      </c>
      <c r="G51" s="65" t="n">
        <f aca="false">COUNTIFS(Z16:Z45,4,AA16:AA45,"E")</f>
        <v>0</v>
      </c>
      <c r="J51" s="62" t="n">
        <v>4</v>
      </c>
      <c r="K51" s="63" t="n">
        <f aca="false">COUNTIFS(AB16:AB45,4,AC16:AC45,"A")</f>
        <v>0</v>
      </c>
      <c r="L51" s="63" t="n">
        <f aca="false">COUNTIFS(AB16:AB45,4,AC16:AC45,"B")</f>
        <v>0</v>
      </c>
      <c r="M51" s="64" t="n">
        <f aca="false">COUNTIFS(AB16:AB45,4,AC16:AC45,"C")</f>
        <v>0</v>
      </c>
      <c r="N51" s="64" t="n">
        <f aca="false">COUNTIFS(AB16:AB45,4,AC16:AC45,"D")</f>
        <v>1</v>
      </c>
      <c r="O51" s="65" t="n">
        <f aca="false">COUNTIFS(AB16:AB45,4,AC16:AC45,"E")</f>
        <v>0</v>
      </c>
    </row>
    <row r="52" customFormat="false" ht="15" hidden="false" customHeight="false" outlineLevel="0" collapsed="false">
      <c r="B52" s="62" t="n">
        <v>3</v>
      </c>
      <c r="C52" s="66" t="n">
        <f aca="false">COUNTIFS(Z16:Z45,3,AA16:AA45,"A")</f>
        <v>0</v>
      </c>
      <c r="D52" s="63" t="n">
        <f aca="false">COUNTIFS(Z16:Z45,3,AA16:AA45,"B")</f>
        <v>0</v>
      </c>
      <c r="E52" s="63" t="n">
        <f aca="false">COUNTIFS(Z16:Z45,3,AA16:AA45,"C")</f>
        <v>0</v>
      </c>
      <c r="F52" s="64" t="n">
        <f aca="false">COUNTIFS(Z16:Z45,3,AA16:AA45,"D")</f>
        <v>2</v>
      </c>
      <c r="G52" s="64" t="n">
        <f aca="false">COUNTIFS(Z16:Z45,3,AA16:AA45,"E")</f>
        <v>1</v>
      </c>
      <c r="J52" s="62" t="n">
        <v>3</v>
      </c>
      <c r="K52" s="66" t="n">
        <f aca="false">COUNTIFS(AB16:AB45,3,AC16:AC45,"A")</f>
        <v>0</v>
      </c>
      <c r="L52" s="63" t="n">
        <f aca="false">COUNTIFS(AB16:AB45,3,AC16:AC45,"B")</f>
        <v>0</v>
      </c>
      <c r="M52" s="63" t="n">
        <f aca="false">COUNTIFS(AB16:AB45,3,AC16:AC45,"C")</f>
        <v>0</v>
      </c>
      <c r="N52" s="64" t="n">
        <f aca="false">COUNTIFS(AB16:AB45,3,AC16:AC45,"D")</f>
        <v>1</v>
      </c>
      <c r="O52" s="64" t="n">
        <f aca="false">COUNTIFS(AB16:AB45,3,AC16:AC45,"E")</f>
        <v>0</v>
      </c>
    </row>
    <row r="53" customFormat="false" ht="15" hidden="false" customHeight="false" outlineLevel="0" collapsed="false">
      <c r="B53" s="62" t="n">
        <v>2</v>
      </c>
      <c r="C53" s="66" t="n">
        <f aca="false">COUNTIFS(Z16:Z45,2,AA16:AA45,"A")</f>
        <v>0</v>
      </c>
      <c r="D53" s="66" t="n">
        <f aca="false">COUNTIFS(Z16:Z45,2,AA16:AA45,"B")</f>
        <v>0</v>
      </c>
      <c r="E53" s="63" t="n">
        <f aca="false">COUNTIFS(Z16:Z45,2,AA16:AA45,"C")</f>
        <v>1</v>
      </c>
      <c r="F53" s="63" t="n">
        <f aca="false">COUNTIFS(Z16:Z45,2,AA16:AA45,"D")</f>
        <v>0</v>
      </c>
      <c r="G53" s="64" t="n">
        <f aca="false">COUNTIFS(Z16:Z45,2,AA16:AA45,"E")</f>
        <v>0</v>
      </c>
      <c r="J53" s="62" t="n">
        <v>2</v>
      </c>
      <c r="K53" s="66" t="n">
        <f aca="false">COUNTIFS(AB16:AB45,2,AC16:AC45,"A")</f>
        <v>0</v>
      </c>
      <c r="L53" s="66" t="n">
        <f aca="false">COUNTIFS(AB16:AB45,2,AC16:AC45,"B")</f>
        <v>0</v>
      </c>
      <c r="M53" s="63" t="n">
        <f aca="false">COUNTIFS(AB16:AB45,2,AC16:AC45,"C")</f>
        <v>1</v>
      </c>
      <c r="N53" s="63" t="n">
        <f aca="false">COUNTIFS(AB16:AB45,2,AC16:AC45,"D")</f>
        <v>0</v>
      </c>
      <c r="O53" s="64" t="n">
        <f aca="false">COUNTIFS(AB16:AB45,2,AC16:AC45,"E")</f>
        <v>0</v>
      </c>
    </row>
    <row r="54" customFormat="false" ht="15" hidden="false" customHeight="false" outlineLevel="0" collapsed="false">
      <c r="B54" s="62" t="n">
        <v>1</v>
      </c>
      <c r="C54" s="66" t="n">
        <f aca="false">COUNTIFS(Z16:Z45,1,AA16:AA45,"A")</f>
        <v>0</v>
      </c>
      <c r="D54" s="66" t="n">
        <f aca="false">COUNTIFS(Z16:Z45,1,AA16:AA45,"B")</f>
        <v>0</v>
      </c>
      <c r="E54" s="66" t="n">
        <f aca="false">COUNTIFS(Z16:Z45,1,AA16:AA45,"C")</f>
        <v>0</v>
      </c>
      <c r="F54" s="63" t="n">
        <f aca="false">COUNTIFS(Z16:Z45,1,AA16:AA45,"D")</f>
        <v>0</v>
      </c>
      <c r="G54" s="63" t="n">
        <f aca="false">COUNTIFS(Z16:Z45,1,AA16:AA45,"E")</f>
        <v>0</v>
      </c>
      <c r="J54" s="62" t="n">
        <v>1</v>
      </c>
      <c r="K54" s="66" t="n">
        <f aca="false">COUNTIFS(AB16:AB45,1,AC16:AC45,"A")</f>
        <v>0</v>
      </c>
      <c r="L54" s="66" t="n">
        <f aca="false">COUNTIFS(AB16:AB45,1,AC16:AC45,"B")</f>
        <v>0</v>
      </c>
      <c r="M54" s="66" t="n">
        <f aca="false">COUNTIFS(AB16:AB45,1,AC16:AC45,"C")</f>
        <v>1</v>
      </c>
      <c r="N54" s="63" t="n">
        <f aca="false">COUNTIFS(AB16:AB45,1,AC16:AC45,"D")</f>
        <v>1</v>
      </c>
      <c r="O54" s="63" t="n">
        <f aca="false">COUNTIFS(AB16:AB45,1,AC16:AC45,"E")</f>
        <v>1</v>
      </c>
    </row>
    <row r="55" customFormat="false" ht="15" hidden="false" customHeight="false" outlineLevel="0" collapsed="false">
      <c r="C55" s="62" t="s">
        <v>106</v>
      </c>
      <c r="D55" s="62" t="s">
        <v>116</v>
      </c>
      <c r="E55" s="62" t="s">
        <v>109</v>
      </c>
      <c r="F55" s="62" t="s">
        <v>124</v>
      </c>
      <c r="G55" s="62" t="s">
        <v>117</v>
      </c>
      <c r="K55" s="62" t="s">
        <v>106</v>
      </c>
      <c r="L55" s="62" t="s">
        <v>116</v>
      </c>
      <c r="M55" s="62" t="s">
        <v>109</v>
      </c>
      <c r="N55" s="62" t="s">
        <v>124</v>
      </c>
      <c r="O55" s="62" t="s">
        <v>117</v>
      </c>
    </row>
    <row r="56" customFormat="false" ht="15" hidden="false" customHeight="false" outlineLevel="0" collapsed="false">
      <c r="C56" s="67" t="s">
        <v>143</v>
      </c>
      <c r="K56" s="67" t="s">
        <v>143</v>
      </c>
    </row>
    <row r="57" customFormat="false" ht="15" hidden="false" customHeight="false" outlineLevel="0" collapsed="false">
      <c r="B57" s="67" t="s">
        <v>144</v>
      </c>
    </row>
    <row r="63" customFormat="false" ht="15" hidden="false" customHeight="false" outlineLevel="0" collapsed="false">
      <c r="B63" s="61" t="s">
        <v>145</v>
      </c>
      <c r="E63" s="61" t="s">
        <v>146</v>
      </c>
      <c r="H63" s="61" t="s">
        <v>147</v>
      </c>
      <c r="K63" s="61" t="s">
        <v>148</v>
      </c>
      <c r="P63" s="61" t="s">
        <v>149</v>
      </c>
      <c r="T63" s="61" t="s">
        <v>150</v>
      </c>
      <c r="W63" s="61" t="s">
        <v>151</v>
      </c>
    </row>
    <row r="64" customFormat="false" ht="15" hidden="false" customHeight="false" outlineLevel="0" collapsed="false">
      <c r="B64" s="4" t="s">
        <v>112</v>
      </c>
      <c r="C64" s="68" t="n">
        <v>3.06E-005</v>
      </c>
      <c r="E64" s="61" t="s">
        <v>152</v>
      </c>
      <c r="F64" s="61" t="s">
        <v>153</v>
      </c>
      <c r="H64" s="4" t="s">
        <v>134</v>
      </c>
      <c r="I64" s="69" t="n">
        <v>500</v>
      </c>
      <c r="K64" s="4" t="s">
        <v>105</v>
      </c>
      <c r="N64" s="4" t="s">
        <v>117</v>
      </c>
      <c r="P64" s="61" t="s">
        <v>154</v>
      </c>
      <c r="Q64" s="61" t="s">
        <v>155</v>
      </c>
      <c r="R64" s="61" t="s">
        <v>156</v>
      </c>
      <c r="T64" s="4" t="s">
        <v>157</v>
      </c>
      <c r="U64" s="69" t="n">
        <v>1</v>
      </c>
      <c r="W64" s="4" t="s">
        <v>158</v>
      </c>
      <c r="X64" s="70" t="n">
        <v>0</v>
      </c>
    </row>
    <row r="65" customFormat="false" ht="15" hidden="false" customHeight="false" outlineLevel="0" collapsed="false">
      <c r="B65" s="4" t="s">
        <v>103</v>
      </c>
      <c r="C65" s="68" t="n">
        <v>3.06E-005</v>
      </c>
      <c r="E65" s="69" t="n">
        <v>0</v>
      </c>
      <c r="F65" s="69" t="n">
        <v>1</v>
      </c>
      <c r="H65" s="4" t="s">
        <v>115</v>
      </c>
      <c r="I65" s="69" t="n">
        <v>100</v>
      </c>
      <c r="K65" s="4" t="s">
        <v>159</v>
      </c>
      <c r="N65" s="4" t="s">
        <v>117</v>
      </c>
      <c r="P65" s="4" t="s">
        <v>106</v>
      </c>
      <c r="Q65" s="71" t="n">
        <v>0.9</v>
      </c>
      <c r="R65" s="72" t="n">
        <f aca="false">1-Q65</f>
        <v>0.1</v>
      </c>
      <c r="T65" s="4" t="s">
        <v>160</v>
      </c>
      <c r="U65" s="69" t="n">
        <v>0.05</v>
      </c>
      <c r="W65" s="4" t="s">
        <v>161</v>
      </c>
      <c r="X65" s="70" t="n">
        <v>3000</v>
      </c>
    </row>
    <row r="66" customFormat="false" ht="15" hidden="false" customHeight="false" outlineLevel="0" collapsed="false">
      <c r="B66" s="4" t="s">
        <v>119</v>
      </c>
      <c r="C66" s="68" t="n">
        <v>3.06E-005</v>
      </c>
      <c r="E66" s="69" t="n">
        <v>0.05</v>
      </c>
      <c r="F66" s="69" t="n">
        <v>2</v>
      </c>
      <c r="H66" s="4" t="s">
        <v>162</v>
      </c>
      <c r="I66" s="69" t="n">
        <v>10</v>
      </c>
      <c r="K66" s="4" t="s">
        <v>137</v>
      </c>
      <c r="N66" s="4" t="s">
        <v>117</v>
      </c>
      <c r="P66" s="4" t="s">
        <v>116</v>
      </c>
      <c r="Q66" s="71" t="n">
        <v>0.7</v>
      </c>
      <c r="R66" s="72" t="n">
        <f aca="false">1-Q66</f>
        <v>0.3</v>
      </c>
      <c r="T66" s="4" t="s">
        <v>163</v>
      </c>
      <c r="U66" s="69" t="n">
        <v>1</v>
      </c>
      <c r="W66" s="4" t="s">
        <v>164</v>
      </c>
      <c r="X66" s="70" t="n">
        <v>15000</v>
      </c>
    </row>
    <row r="67" customFormat="false" ht="15" hidden="false" customHeight="false" outlineLevel="0" collapsed="false">
      <c r="B67" s="4" t="s">
        <v>127</v>
      </c>
      <c r="C67" s="68" t="n">
        <v>3.06E-005</v>
      </c>
      <c r="E67" s="69" t="n">
        <v>0.1</v>
      </c>
      <c r="F67" s="69" t="n">
        <v>6</v>
      </c>
      <c r="H67" s="4" t="s">
        <v>165</v>
      </c>
      <c r="I67" s="69" t="n">
        <v>1</v>
      </c>
      <c r="K67" s="4" t="s">
        <v>121</v>
      </c>
      <c r="N67" s="4" t="s">
        <v>117</v>
      </c>
      <c r="P67" s="4" t="s">
        <v>109</v>
      </c>
      <c r="Q67" s="71" t="n">
        <v>0.5</v>
      </c>
      <c r="R67" s="72" t="n">
        <f aca="false">1-Q67</f>
        <v>0.5</v>
      </c>
      <c r="W67" s="4" t="s">
        <v>166</v>
      </c>
      <c r="X67" s="70" t="n">
        <v>60000</v>
      </c>
    </row>
    <row r="68" customFormat="false" ht="15" hidden="false" customHeight="false" outlineLevel="0" collapsed="false">
      <c r="B68" s="4" t="s">
        <v>131</v>
      </c>
      <c r="C68" s="68" t="n">
        <v>3.06E-005</v>
      </c>
      <c r="E68" s="69" t="n">
        <v>0.15</v>
      </c>
      <c r="F68" s="69" t="n">
        <v>20</v>
      </c>
      <c r="K68" s="4" t="s">
        <v>133</v>
      </c>
      <c r="N68" s="4" t="s">
        <v>167</v>
      </c>
      <c r="P68" s="4" t="s">
        <v>124</v>
      </c>
      <c r="Q68" s="71" t="n">
        <v>0.3</v>
      </c>
      <c r="R68" s="72" t="n">
        <f aca="false">1-Q68</f>
        <v>0.7</v>
      </c>
    </row>
    <row r="69" customFormat="false" ht="15" hidden="false" customHeight="false" outlineLevel="0" collapsed="false">
      <c r="E69" s="69" t="n">
        <v>0.2</v>
      </c>
      <c r="F69" s="69" t="n">
        <v>60</v>
      </c>
      <c r="K69" s="4" t="s">
        <v>168</v>
      </c>
      <c r="N69" s="4" t="s">
        <v>167</v>
      </c>
      <c r="P69" s="4" t="s">
        <v>117</v>
      </c>
      <c r="Q69" s="71" t="n">
        <v>0.1</v>
      </c>
      <c r="R69" s="72" t="n">
        <f aca="false">1-Q69</f>
        <v>0.9</v>
      </c>
    </row>
    <row r="70" customFormat="false" ht="15" hidden="false" customHeight="false" outlineLevel="0" collapsed="false">
      <c r="E70" s="69" t="n">
        <v>0.3</v>
      </c>
      <c r="F70" s="69" t="n">
        <v>250</v>
      </c>
      <c r="K70" s="4" t="s">
        <v>114</v>
      </c>
      <c r="N70" s="4" t="s">
        <v>167</v>
      </c>
    </row>
    <row r="71" customFormat="false" ht="15" hidden="false" customHeight="false" outlineLevel="0" collapsed="false">
      <c r="E71" s="69" t="n">
        <v>0.4</v>
      </c>
      <c r="F71" s="69" t="n">
        <v>750</v>
      </c>
    </row>
    <row r="72" customFormat="false" ht="15" hidden="false" customHeight="false" outlineLevel="0" collapsed="false">
      <c r="E72" s="69" t="n">
        <v>0.5</v>
      </c>
      <c r="F72" s="69" t="n">
        <v>2000</v>
      </c>
    </row>
    <row r="73" customFormat="false" ht="15" hidden="false" customHeight="false" outlineLevel="0" collapsed="false">
      <c r="E73" s="69" t="n">
        <v>0.65</v>
      </c>
      <c r="F73" s="69" t="n">
        <v>5000</v>
      </c>
    </row>
    <row r="75" customFormat="false" ht="15" hidden="false" customHeight="false" outlineLevel="0" collapsed="false">
      <c r="B75" s="61" t="s">
        <v>169</v>
      </c>
      <c r="J75" s="61" t="s">
        <v>170</v>
      </c>
    </row>
    <row r="76" customFormat="false" ht="15" hidden="false" customHeight="false" outlineLevel="0" collapsed="false">
      <c r="B76" s="61" t="s">
        <v>171</v>
      </c>
      <c r="C76" s="61" t="s">
        <v>172</v>
      </c>
      <c r="D76" s="61" t="s">
        <v>173</v>
      </c>
      <c r="E76" s="61" t="s">
        <v>174</v>
      </c>
      <c r="F76" s="61" t="s">
        <v>175</v>
      </c>
      <c r="G76" s="61" t="s">
        <v>176</v>
      </c>
      <c r="K76" s="61" t="s">
        <v>106</v>
      </c>
      <c r="L76" s="61" t="s">
        <v>116</v>
      </c>
      <c r="M76" s="61" t="s">
        <v>109</v>
      </c>
      <c r="N76" s="61" t="s">
        <v>124</v>
      </c>
      <c r="O76" s="61" t="s">
        <v>117</v>
      </c>
    </row>
    <row r="77" customFormat="false" ht="15" hidden="false" customHeight="false" outlineLevel="0" collapsed="false">
      <c r="B77" s="4" t="n">
        <v>1</v>
      </c>
      <c r="C77" s="70" t="n">
        <v>2</v>
      </c>
      <c r="D77" s="70" t="n">
        <v>1</v>
      </c>
      <c r="E77" s="4" t="s">
        <v>106</v>
      </c>
      <c r="F77" s="70" t="n">
        <v>10000</v>
      </c>
      <c r="G77" s="70" t="n">
        <v>5000</v>
      </c>
      <c r="J77" s="61" t="n">
        <v>1</v>
      </c>
      <c r="K77" s="73" t="n">
        <v>1</v>
      </c>
      <c r="L77" s="73" t="n">
        <v>1</v>
      </c>
      <c r="M77" s="73" t="n">
        <v>1</v>
      </c>
      <c r="N77" s="73" t="n">
        <v>2</v>
      </c>
      <c r="O77" s="73" t="n">
        <v>2</v>
      </c>
    </row>
    <row r="78" customFormat="false" ht="15" hidden="false" customHeight="false" outlineLevel="0" collapsed="false">
      <c r="B78" s="4" t="n">
        <v>2</v>
      </c>
      <c r="C78" s="70" t="n">
        <v>20</v>
      </c>
      <c r="D78" s="70" t="n">
        <v>6</v>
      </c>
      <c r="E78" s="4" t="s">
        <v>116</v>
      </c>
      <c r="F78" s="70" t="n">
        <v>100000</v>
      </c>
      <c r="G78" s="70" t="n">
        <v>31600</v>
      </c>
      <c r="J78" s="61" t="n">
        <v>2</v>
      </c>
      <c r="K78" s="73" t="n">
        <v>1</v>
      </c>
      <c r="L78" s="73" t="n">
        <v>1</v>
      </c>
      <c r="M78" s="73" t="n">
        <v>2</v>
      </c>
      <c r="N78" s="73" t="n">
        <v>2</v>
      </c>
      <c r="O78" s="73" t="n">
        <v>3</v>
      </c>
    </row>
    <row r="79" customFormat="false" ht="15" hidden="false" customHeight="false" outlineLevel="0" collapsed="false">
      <c r="B79" s="4" t="n">
        <v>3</v>
      </c>
      <c r="C79" s="70" t="n">
        <v>100</v>
      </c>
      <c r="D79" s="70" t="n">
        <v>45</v>
      </c>
      <c r="E79" s="4" t="s">
        <v>109</v>
      </c>
      <c r="F79" s="70" t="n">
        <v>1000000</v>
      </c>
      <c r="G79" s="70" t="n">
        <v>316000</v>
      </c>
      <c r="J79" s="61" t="n">
        <v>3</v>
      </c>
      <c r="K79" s="73" t="n">
        <v>1</v>
      </c>
      <c r="L79" s="73" t="n">
        <v>2</v>
      </c>
      <c r="M79" s="73" t="n">
        <v>2</v>
      </c>
      <c r="N79" s="73" t="n">
        <v>3</v>
      </c>
      <c r="O79" s="73" t="n">
        <v>3</v>
      </c>
    </row>
    <row r="80" customFormat="false" ht="15" hidden="false" customHeight="false" outlineLevel="0" collapsed="false">
      <c r="B80" s="4" t="n">
        <v>4</v>
      </c>
      <c r="C80" s="70" t="n">
        <v>1000</v>
      </c>
      <c r="D80" s="70" t="n">
        <v>316</v>
      </c>
      <c r="E80" s="4" t="s">
        <v>124</v>
      </c>
      <c r="F80" s="70" t="n">
        <v>10000000</v>
      </c>
      <c r="G80" s="70" t="n">
        <v>3160000</v>
      </c>
      <c r="J80" s="61" t="n">
        <v>4</v>
      </c>
      <c r="K80" s="73" t="n">
        <v>2</v>
      </c>
      <c r="L80" s="73" t="n">
        <v>2</v>
      </c>
      <c r="M80" s="73" t="n">
        <v>3</v>
      </c>
      <c r="N80" s="73" t="n">
        <v>3</v>
      </c>
      <c r="O80" s="73" t="n">
        <v>4</v>
      </c>
    </row>
    <row r="81" customFormat="false" ht="15" hidden="false" customHeight="false" outlineLevel="0" collapsed="false">
      <c r="B81" s="4" t="n">
        <v>5</v>
      </c>
      <c r="C81" s="70" t="s">
        <v>177</v>
      </c>
      <c r="D81" s="70" t="n">
        <v>2000</v>
      </c>
      <c r="E81" s="4" t="s">
        <v>117</v>
      </c>
      <c r="F81" s="70" t="s">
        <v>177</v>
      </c>
      <c r="G81" s="70" t="n">
        <v>31600000</v>
      </c>
      <c r="J81" s="61" t="n">
        <v>5</v>
      </c>
      <c r="K81" s="73" t="n">
        <v>2</v>
      </c>
      <c r="L81" s="73" t="n">
        <v>3</v>
      </c>
      <c r="M81" s="73" t="n">
        <v>3</v>
      </c>
      <c r="N81" s="73" t="n">
        <v>4</v>
      </c>
      <c r="O81" s="73" t="n">
        <v>4</v>
      </c>
    </row>
    <row r="84" customFormat="false" ht="15" hidden="false" customHeight="false" outlineLevel="0" collapsed="false">
      <c r="B84" s="60" t="s">
        <v>178</v>
      </c>
    </row>
    <row r="85" customFormat="false" ht="15" hidden="false" customHeight="false" outlineLevel="0" collapsed="false">
      <c r="B85" s="4" t="s">
        <v>179</v>
      </c>
      <c r="F85" s="74" t="n">
        <v>60</v>
      </c>
      <c r="G85" s="6" t="s">
        <v>180</v>
      </c>
      <c r="H85" s="75" t="s">
        <v>181</v>
      </c>
    </row>
    <row r="86" customFormat="false" ht="15" hidden="false" customHeight="false" outlineLevel="0" collapsed="false">
      <c r="B86" s="4" t="s">
        <v>182</v>
      </c>
      <c r="F86" s="74" t="n">
        <v>60</v>
      </c>
      <c r="G86" s="6" t="s">
        <v>180</v>
      </c>
      <c r="H86" s="75" t="s">
        <v>183</v>
      </c>
    </row>
    <row r="87" customFormat="false" ht="15" hidden="false" customHeight="false" outlineLevel="0" collapsed="false">
      <c r="B87" s="4" t="s">
        <v>184</v>
      </c>
      <c r="F87" s="74" t="n">
        <v>4000</v>
      </c>
      <c r="G87" s="6" t="s">
        <v>185</v>
      </c>
      <c r="H87" s="75" t="s">
        <v>186</v>
      </c>
    </row>
    <row r="88" customFormat="false" ht="15" hidden="false" customHeight="false" outlineLevel="0" collapsed="false">
      <c r="B88" s="4" t="s">
        <v>187</v>
      </c>
      <c r="F88" s="74" t="n">
        <v>0.1</v>
      </c>
      <c r="G88" s="6" t="s">
        <v>188</v>
      </c>
      <c r="H88" s="75" t="s">
        <v>189</v>
      </c>
    </row>
    <row r="89" customFormat="false" ht="15" hidden="false" customHeight="false" outlineLevel="0" collapsed="false">
      <c r="B89" s="4" t="s">
        <v>190</v>
      </c>
      <c r="F89" s="74" t="n">
        <v>10000</v>
      </c>
      <c r="G89" s="6" t="s">
        <v>191</v>
      </c>
      <c r="H89" s="75" t="s">
        <v>192</v>
      </c>
    </row>
    <row r="90" customFormat="false" ht="15" hidden="false" customHeight="false" outlineLevel="0" collapsed="false">
      <c r="B90" s="4" t="s">
        <v>193</v>
      </c>
      <c r="F90" s="74" t="n">
        <v>0.25</v>
      </c>
      <c r="G90" s="6" t="s">
        <v>194</v>
      </c>
      <c r="H90" s="75" t="s">
        <v>195</v>
      </c>
    </row>
    <row r="91" customFormat="false" ht="15" hidden="false" customHeight="false" outlineLevel="0" collapsed="false">
      <c r="B91" s="4" t="s">
        <v>196</v>
      </c>
      <c r="F91" s="74" t="n">
        <v>3</v>
      </c>
      <c r="G91" s="6" t="s">
        <v>197</v>
      </c>
      <c r="H91" s="75" t="s">
        <v>198</v>
      </c>
    </row>
    <row r="92" customFormat="false" ht="15" hidden="false" customHeight="false" outlineLevel="0" collapsed="false">
      <c r="B92" s="4" t="s">
        <v>199</v>
      </c>
      <c r="F92" s="74" t="n">
        <v>20000</v>
      </c>
      <c r="G92" s="6" t="s">
        <v>191</v>
      </c>
      <c r="H92" s="75" t="s">
        <v>195</v>
      </c>
    </row>
    <row r="93" customFormat="false" ht="15" hidden="false" customHeight="false" outlineLevel="0" collapsed="false">
      <c r="B93" s="4" t="s">
        <v>200</v>
      </c>
      <c r="F93" s="74" t="n">
        <v>0.1</v>
      </c>
      <c r="G93" s="6" t="s">
        <v>194</v>
      </c>
      <c r="H93" s="75" t="s">
        <v>201</v>
      </c>
    </row>
    <row r="94" customFormat="false" ht="15" hidden="false" customHeight="false" outlineLevel="0" collapsed="false">
      <c r="B94" s="4" t="s">
        <v>202</v>
      </c>
      <c r="F94" s="46" t="n">
        <f aca="false">$F$85*$F$87</f>
        <v>240000</v>
      </c>
    </row>
    <row r="95" customFormat="false" ht="15" hidden="false" customHeight="false" outlineLevel="0" collapsed="false">
      <c r="B95" s="4" t="s">
        <v>203</v>
      </c>
      <c r="F95" s="46" t="n">
        <f aca="false">$F$90*F94</f>
        <v>60000</v>
      </c>
    </row>
    <row r="96" customFormat="false" ht="15" hidden="false" customHeight="false" outlineLevel="0" collapsed="false">
      <c r="B96" s="4" t="s">
        <v>204</v>
      </c>
      <c r="F96" s="46" t="n">
        <f aca="false">$F$91*ProdDia</f>
        <v>120000</v>
      </c>
    </row>
    <row r="97" customFormat="false" ht="15" hidden="false" customHeight="false" outlineLevel="0" collapsed="false">
      <c r="B97" s="4" t="s">
        <v>205</v>
      </c>
      <c r="F97" s="46" t="n">
        <f aca="false">$F$86*$F$88*$F$89</f>
        <v>60000</v>
      </c>
    </row>
    <row r="98" customFormat="false" ht="15" hidden="false" customHeight="false" outlineLevel="0" collapsed="false">
      <c r="B98" s="4" t="s">
        <v>206</v>
      </c>
      <c r="F98" s="46" t="n">
        <f aca="false">$F$92</f>
        <v>20000</v>
      </c>
    </row>
    <row r="99" customFormat="false" ht="15" hidden="false" customHeight="false" outlineLevel="0" collapsed="false">
      <c r="B99" s="61" t="s">
        <v>207</v>
      </c>
      <c r="F99" s="76" t="n">
        <f aca="false">SUM(F94:F98)</f>
        <v>500000</v>
      </c>
    </row>
    <row r="100" customFormat="false" ht="15" hidden="false" customHeight="false" outlineLevel="0" collapsed="false">
      <c r="B100" s="61" t="s">
        <v>208</v>
      </c>
      <c r="F100" s="76" t="n">
        <f aca="false">F99*(1-$F$93)</f>
        <v>450000</v>
      </c>
    </row>
    <row r="101" customFormat="false" ht="15" hidden="false" customHeight="false" outlineLevel="0" collapsed="false">
      <c r="B101" s="4" t="s">
        <v>209</v>
      </c>
      <c r="F101" s="77" t="n">
        <f aca="false">AI16*$F$86*$F$88</f>
        <v>0.0145148544601729</v>
      </c>
    </row>
    <row r="102" customFormat="false" ht="15" hidden="false" customHeight="false" outlineLevel="0" collapsed="false">
      <c r="B102" s="4" t="s">
        <v>210</v>
      </c>
      <c r="F102" s="46" t="n">
        <f aca="false">F101*$F$89</f>
        <v>145.148544601729</v>
      </c>
    </row>
    <row r="103" customFormat="false" ht="15" hidden="false" customHeight="false" outlineLevel="0" collapsed="false">
      <c r="B103" s="4" t="s">
        <v>211</v>
      </c>
      <c r="F103" s="46" t="n">
        <f aca="false">BD16</f>
        <v>1643.69388990739</v>
      </c>
    </row>
  </sheetData>
  <dataValidations count="12">
    <dataValidation allowBlank="false" errorStyle="stop" operator="between" showDropDown="false" showErrorMessage="false" showInputMessage="false" sqref="E8" type="list">
      <formula1>"CUANT,RAM"</formula1>
      <formula2>0</formula2>
    </dataValidation>
    <dataValidation allowBlank="true" errorStyle="stop" operator="between" showDropDown="false" showErrorMessage="false" showInputMessage="false" sqref="D16:D45" type="list">
      <formula1>"Reactor,Intercambiador T&amp;C,Torre,Horno (proxy),Drum"</formula1>
      <formula2>0</formula2>
    </dataValidation>
    <dataValidation allowBlank="true" errorStyle="stop" operator="between" showDropDown="false" showErrorMessage="false" showInputMessage="false" sqref="K16:K45" type="list">
      <formula1>"Adelgazamiento,Corrosión externa,CUI,Sulfidación,HIC/SOHIC,SCC,HTHA"</formula1>
      <formula2>0</formula2>
    </dataValidation>
    <dataValidation allowBlank="true" errorStyle="stop" operator="between" showDropDown="false" showErrorMessage="false" showInputMessage="false" sqref="L16:L45" type="list">
      <formula1>"Alta,Media,Baja,Ninguna"</formula1>
      <formula2>0</formula2>
    </dataValidation>
    <dataValidation allowBlank="true" errorStyle="stop" operator="between" showDropDown="false" showErrorMessage="false" showInputMessage="false" sqref="R16:R45" type="list">
      <formula1>"A,B,C,D,E"</formula1>
      <formula2>0</formula2>
    </dataValidation>
    <dataValidation allowBlank="true" errorStyle="stop" operator="between" showDropDown="false" showErrorMessage="false" showInputMessage="false" sqref="S16:S45" type="list">
      <formula1>"0,1,2,3"</formula1>
      <formula2>0</formula2>
    </dataValidation>
    <dataValidation allowBlank="true" errorStyle="stop" operator="between" showDropDown="false" showErrorMessage="false" showInputMessage="false" sqref="T16:T45" type="list">
      <formula1>"Apto,No apto"</formula1>
      <formula2>0</formula2>
    </dataValidation>
    <dataValidation allowBlank="true" errorStyle="stop" operator="between" showDropDown="false" showErrorMessage="false" showInputMessage="false" sqref="U16:U45" type="list">
      <formula1>"Pasa,No pasa"</formula1>
      <formula2>0</formula2>
    </dataValidation>
    <dataValidation allowBlank="true" errorStyle="stop" operator="between" showDropDown="false" showErrorMessage="false" showInputMessage="false" sqref="Z16:Z45" type="list">
      <formula1>"1,2,3,4,5"</formula1>
      <formula2>0</formula2>
    </dataValidation>
    <dataValidation allowBlank="true" errorStyle="stop" operator="between" showDropDown="false" showErrorMessage="false" showInputMessage="false" sqref="AB16:AB45" type="list">
      <formula1>"1,2,3,4,5"</formula1>
      <formula2>0</formula2>
    </dataValidation>
    <dataValidation allowBlank="true" errorStyle="stop" operator="between" showDropDown="false" showErrorMessage="false" showInputMessage="false" sqref="AA16:AA45" type="list">
      <formula1>"A,B,C,D,E"</formula1>
      <formula2>0</formula2>
    </dataValidation>
    <dataValidation allowBlank="true" errorStyle="stop" operator="between" showDropDown="false" showErrorMessage="false" showInputMessage="false" sqref="AC16:AC45" type="list">
      <formula1>"A,B,C,D,E"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2026-09-29T18:58:15Z</dcterms:created>
  <dc:creator>openpyxl</dc:creator>
  <dc:description/>
  <dc:language>en-US</dc:language>
  <cp:lastModifiedBy/>
  <dcterms:modified xsi:type="dcterms:W3CDTF">2026-09-29T18:58:16Z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