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BI_GRB" sheetId="1" state="visible" r:id="rId3"/>
  </sheets>
  <definedNames>
    <definedName function="false" hidden="false" name="AnioEval" vbProcedure="false">RBI_GRB!$E$4</definedName>
    <definedName function="false" hidden="false" name="ArtDF" vbProcedure="false">RBI_GRB!$F$65:$F$73</definedName>
    <definedName function="false" hidden="false" name="ArtLim" vbProcedure="false">RBI_GRB!$E$65:$E$73</definedName>
    <definedName function="false" hidden="false" name="Base" vbProcedure="false">RBI_GRB!$E$8</definedName>
    <definedName function="false" hidden="false" name="CapBpd" vbProcedure="false">RBI_GRB!$F$105</definedName>
    <definedName function="false" hidden="false" name="CatLet" vbProcedure="false">RBI_GRB!$E$77:$E$81</definedName>
    <definedName function="false" hidden="false" name="CcutFC" vbProcedure="false">RBI_GRB!$F$77:$F$80</definedName>
    <definedName function="false" hidden="false" name="CostRel" vbProcedure="false">RBI_GRB!$S$65:$S$69</definedName>
    <definedName function="false" hidden="false" name="DFrep" vbProcedure="false">RBI_GRB!$D$77:$D$81</definedName>
    <definedName function="false" hidden="false" name="EffList" vbProcedure="false">RBI_GRB!$P$65:$P$69</definedName>
    <definedName function="false" hidden="false" name="EffRet" vbProcedure="false">RBI_GRB!$R$65:$R$69</definedName>
    <definedName function="false" hidden="false" name="FCrep" vbProcedure="false">RBI_GRB!$G$77:$G$81</definedName>
    <definedName function="false" hidden="false" name="FC_CALC" vbProcedure="false">RBI_GRB!$F$100</definedName>
    <definedName function="false" hidden="false" name="FDown" vbProcedure="false">RBI_GRB!$AE$7</definedName>
    <definedName function="false" hidden="false" name="FFScost" vbProcedure="false">RBI_GRB!$X$64:$X$67</definedName>
    <definedName function="false" hidden="false" name="FFSfac" vbProcedure="false">RBI_GRB!$U$64:$U$67</definedName>
    <definedName function="false" hidden="false" name="FFSlist" vbProcedure="false">RBI_GRB!$T$64:$T$67</definedName>
    <definedName function="false" hidden="false" name="FInsp" vbProcedure="false">RBI_GRB!$AE$8</definedName>
    <definedName function="false" hidden="false" name="FMargen" vbProcedure="false">RBI_GRB!$AE$6</definedName>
    <definedName function="false" hidden="false" name="FMS" vbProcedure="false">RBI_GRB!$E$6</definedName>
    <definedName function="false" hidden="false" name="FPrecio" vbProcedure="false">RBI_GRB!$AE$5</definedName>
    <definedName function="false" hidden="false" name="FRep" vbProcedure="false">RBI_GRB!$AE$9</definedName>
    <definedName function="false" hidden="false" name="GFFtipo" vbProcedure="false">RBI_GRB!$B$64:$B$68</definedName>
    <definedName function="false" hidden="false" name="GFFval" vbProcedure="false">RBI_GRB!$C$64:$C$68</definedName>
    <definedName function="false" hidden="false" name="Horiz" vbProcedure="false">RBI_GRB!$E$7</definedName>
    <definedName function="false" hidden="false" name="Kpd" vbProcedure="false">RBI_GRB!$AE$10</definedName>
    <definedName function="false" hidden="false" name="MargenBbl" vbProcedure="false">RBI_GRB!$F$108</definedName>
    <definedName function="false" hidden="false" name="MargenPct" vbProcedure="false">RBI_GRB!$F$107</definedName>
    <definedName function="false" hidden="false" name="MecList" vbProcedure="false">RBI_GRB!$K$64:$K$71</definedName>
    <definedName function="false" hidden="false" name="MecTipo" vbProcedure="false">RBI_GRB!$N$64:$N$71</definedName>
    <definedName function="false" hidden="false" name="ObjNivel" vbProcedure="false">RBI_GRB!$E$9</definedName>
    <definedName function="false" hidden="false" name="PcutDF" vbProcedure="false">RBI_GRB!$C$77:$C$80</definedName>
    <definedName function="false" hidden="false" name="PrecioBbl" vbProcedure="false">RBI_GRB!$F$106</definedName>
    <definedName function="false" hidden="false" name="ProdDia" vbProcedure="false">RBI_GRB!$E$11</definedName>
    <definedName function="false" hidden="false" name="RAMlev" vbProcedure="false">RBI_GRB!$K$77:$O$81</definedName>
    <definedName function="false" hidden="false" name="RBIimpl" vbProcedure="false">RBI_GRB!$E$10</definedName>
    <definedName function="false" hidden="false" name="RefDia" vbProcedure="false">RBI_GRB!$F$109</definedName>
    <definedName function="false" hidden="false" name="ScoreSGA" vbProcedure="false">RBI_GRB!$E$5</definedName>
    <definedName function="false" hidden="false" name="SensCR" vbProcedure="false">RBI_GRB!$AE$4</definedName>
    <definedName function="false" hidden="false" name="SusDF" vbProcedure="false">RBI_GRB!$I$64:$I$67</definedName>
    <definedName function="false" hidden="false" name="SusList" vbProcedure="false">RBI_GRB!$H$64:$H$67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Año calendario del análisis (edad = año − año última inspección)</t>
        </r>
      </text>
    </comment>
    <comment ref="E5" authorId="0">
      <text>
        <r>
          <rPr>
            <sz val="10"/>
            <rFont val="Arial"/>
            <family val="2"/>
          </rPr>
          <t xml:space="preserve">Paper §2.3: score 750 según API 581 Anexo 2.A</t>
        </r>
      </text>
    </comment>
    <comment ref="E6" authorId="0">
      <text>
        <r>
          <rPr>
            <sz val="10"/>
            <rFont val="Arial"/>
            <family val="2"/>
          </rPr>
          <t xml:space="preserve">API 581 Parte 2 Anexo 2.A (verificar en su edición); 750 → 0,316</t>
        </r>
      </text>
    </comment>
    <comment ref="E7" authorId="0">
      <text>
        <r>
          <rPr>
            <sz val="10"/>
            <rFont val="Arial"/>
            <family val="2"/>
          </rPr>
          <t xml:space="preserve">Años en que se mantiene el beneficio (reevaluar por 'evergreening', paper §2.2)</t>
        </r>
      </text>
    </comment>
    <comment ref="E8" authorId="0">
      <text>
        <r>
          <rPr>
            <sz val="10"/>
            <rFont val="Arial"/>
            <family val="2"/>
          </rPr>
          <t xml:space="preserve">CUANT: riesgo=POF×FC. RAM: riesgo desde categorías seleccionadas (valores representativos)</t>
        </r>
      </text>
    </comment>
    <comment ref="E9" authorId="0">
      <text>
        <r>
          <rPr>
            <sz val="10"/>
            <rFont val="Arial"/>
            <family val="2"/>
          </rPr>
          <t xml:space="preserve">1 bajo, 2 medio, 3 medio-alto, 4 alto. Paper §2.3: objetivo = riesgo medio</t>
        </r>
      </text>
    </comment>
    <comment ref="E10" authorId="0">
      <text>
        <r>
          <rPr>
            <sz val="10"/>
            <rFont val="Arial"/>
            <family val="2"/>
          </rPr>
          <t xml:space="preserve">Paper §2.3: 210 USD por activo</t>
        </r>
      </text>
    </comment>
    <comment ref="E11" authorId="0">
      <text>
        <r>
          <rPr>
            <sz val="10"/>
            <rFont val="Arial"/>
            <family val="2"/>
          </rPr>
          <t xml:space="preserve">Paper §2.3: 40.000 USD/día (el paper lo rotula '$/m2' por error tipográfico; Tabla 9: 6 h ≈ 10.000 USD)</t>
        </r>
      </text>
    </comment>
    <comment ref="AE10" authorId="0">
      <text>
        <r>
          <rPr>
            <sz val="10"/>
            <rFont val="Arial"/>
            <family val="2"/>
          </rPr>
          <t xml:space="preserve">Precio, margen y downtime escalan la parte de producción del FC (ΔEMV producción) y la pérdida por parada (downtime evitado). Entradas de producción = valores base.</t>
        </r>
      </text>
    </comment>
  </commentList>
</comments>
</file>

<file path=xl/sharedStrings.xml><?xml version="1.0" encoding="utf-8"?>
<sst xmlns="http://schemas.openxmlformats.org/spreadsheetml/2006/main" count="492" uniqueCount="360">
  <si>
    <t xml:space="preserve">RBI – Beneficio económico por reducción de riesgo | Refinería de Barrancabermeja (GRB) – equipos estáticos</t>
  </si>
  <si>
    <t xml:space="preserve">Una hoja: 1 fila = 1 equipo evaluado en el año. Celdas AZUL/AMARILLO = entradas; negro = fórmulas. Filas de ejemplo ILUSTRATIVAS (no son datos reales de GRB); E-101 replica el intercambiador del paper (Oropallo et al., 2024, doi:10.1016/j.ssci.2024.106570). Ecuaciones (1)–(12) en el documento Word.</t>
  </si>
  <si>
    <t xml:space="preserve">PANEL RESUMEN ANUAL</t>
  </si>
  <si>
    <t xml:space="preserve">SENSIBILIDADES (multiplicadores; 1 = base; relativos a las entradas)</t>
  </si>
  <si>
    <t xml:space="preserve">Año de evaluación</t>
  </si>
  <si>
    <t xml:space="preserve">Riesgo inicial agregado (USD/año)</t>
  </si>
  <si>
    <t xml:space="preserve">Beneficio por reducción de riesgo (USD/año)</t>
  </si>
  <si>
    <t xml:space="preserve">SIR promedio (por equipo)</t>
  </si>
  <si>
    <t xml:space="preserve">Tasa de corrosión / CUI (×)</t>
  </si>
  <si>
    <t xml:space="preserve">Score sistema de gestión (0–1000)</t>
  </si>
  <si>
    <t xml:space="preserve">Riesgo residual agregado (USD/año)</t>
  </si>
  <si>
    <t xml:space="preserve">Ahorro por diferimiento: menor inspección</t>
  </si>
  <si>
    <t xml:space="preserve">SIR agregado (ΣVP/ΣInversión)</t>
  </si>
  <si>
    <t xml:space="preserve">Precio del barril (×)</t>
  </si>
  <si>
    <t xml:space="preserve">FMS = 10^(1−0,02·score/10)</t>
  </si>
  <si>
    <t xml:space="preserve">Reducción total de riesgo (USD/año)</t>
  </si>
  <si>
    <t xml:space="preserve">Ahorro por diferimiento: menor pérdida prod.</t>
  </si>
  <si>
    <t xml:space="preserve">ROI a N años</t>
  </si>
  <si>
    <t xml:space="preserve">Margen (×)</t>
  </si>
  <si>
    <t xml:space="preserve">Horizonte de evaluación N (años)</t>
  </si>
  <si>
    <t xml:space="preserve">% de reducción de riesgo</t>
  </si>
  <si>
    <t xml:space="preserve">Costo total inspecciones y reparaciones (USD)</t>
  </si>
  <si>
    <t xml:space="preserve">Periodo de recuperación simple (años)</t>
  </si>
  <si>
    <t xml:space="preserve">Downtime / días de parada (×)</t>
  </si>
  <si>
    <t xml:space="preserve">Base económica (CUANT / RAM)</t>
  </si>
  <si>
    <t xml:space="preserve">CUANT</t>
  </si>
  <si>
    <t xml:space="preserve">Equipos evaluados</t>
  </si>
  <si>
    <t xml:space="preserve">Beneficio neto anual (USD/año)</t>
  </si>
  <si>
    <t xml:space="preserve">Recuperación descontada portafolio (años)</t>
  </si>
  <si>
    <t xml:space="preserve">Costo de inspección (×)</t>
  </si>
  <si>
    <t xml:space="preserve">Nivel RAM máximo permitido (1–4)</t>
  </si>
  <si>
    <t xml:space="preserve">Equipos con SIR&gt;1 (aceptables)</t>
  </si>
  <si>
    <t xml:space="preserve">VAN total (USD)</t>
  </si>
  <si>
    <t xml:space="preserve">Equipos que exceden objetivo de riesgo</t>
  </si>
  <si>
    <t xml:space="preserve">Costo de reparación/reemplazo (×)</t>
  </si>
  <si>
    <t xml:space="preserve">Costo de implantación RBI (USD/equipo)</t>
  </si>
  <si>
    <t xml:space="preserve">Costo anual de inspección TBI (USD/año)</t>
  </si>
  <si>
    <t xml:space="preserve">VAN a 10 años (USD)</t>
  </si>
  <si>
    <t xml:space="preserve">RUL mínimo del portafolio (años)</t>
  </si>
  <si>
    <t xml:space="preserve">K_prod = precio × margen × downtime</t>
  </si>
  <si>
    <t xml:space="preserve">Producción (USD/día) – referencia paper</t>
  </si>
  <si>
    <t xml:space="preserve">Costo anual de inspección RBI (USD/año)</t>
  </si>
  <si>
    <t xml:space="preserve">LCC TBI (VP, USD)</t>
  </si>
  <si>
    <t xml:space="preserve">Alertas de consistencia (RUL&lt;0)</t>
  </si>
  <si>
    <t xml:space="preserve">VAN de caja real (sin ΔEMV) (USD)</t>
  </si>
  <si>
    <t xml:space="preserve">Ahorro TBI→RBI (USD/año)</t>
  </si>
  <si>
    <t xml:space="preserve">LCC RBI (VP, USD)</t>
  </si>
  <si>
    <t xml:space="preserve">VP de aprobar FFS vs rechazar (Σ, USD)</t>
  </si>
  <si>
    <t xml:space="preserve">SIR de caja real</t>
  </si>
  <si>
    <t xml:space="preserve">VAN a 1 año (USD)</t>
  </si>
  <si>
    <t xml:space="preserve">Chequeo: LCC TBI − LCC RBI − VAN (debe ser 0)</t>
  </si>
  <si>
    <t xml:space="preserve">Equipos donde aprobar FFS destruye valor</t>
  </si>
  <si>
    <t xml:space="preserve">Payback de caja real (años)</t>
  </si>
  <si>
    <t xml:space="preserve">ENTRADAS POR EQUIPO</t>
  </si>
  <si>
    <t xml:space="preserve">RAM (selección del usuario) y riesgo por categoría</t>
  </si>
  <si>
    <t xml:space="preserve">CÁLCULO CUANTITATIVO API 581 simplificado</t>
  </si>
  <si>
    <t xml:space="preserve">RAM: verificación y objetivo</t>
  </si>
  <si>
    <t xml:space="preserve">ECONOMÍA: reducción de riesgo, diferimiento, SIR, VAN, ROI, LCC, decisión FFS</t>
  </si>
  <si>
    <t xml:space="preserve">FLUJO NETO DESCONTADO ACUMULADO (USD) por equipo – año</t>
  </si>
  <si>
    <t xml:space="preserve">N°</t>
  </si>
  <si>
    <t xml:space="preserve">Planta</t>
  </si>
  <si>
    <t xml:space="preserve">Tag</t>
  </si>
  <si>
    <t xml:space="preserve">Tipo de equipo</t>
  </si>
  <si>
    <t xml:space="preserve">Fluido</t>
  </si>
  <si>
    <t xml:space="preserve">P (bar)</t>
  </si>
  <si>
    <t xml:space="preserve">T (°C)</t>
  </si>
  <si>
    <t xml:space="preserve">Espesor medido (mm)</t>
  </si>
  <si>
    <t xml:space="preserve">Tasa corr. (mm/año)</t>
  </si>
  <si>
    <t xml:space="preserve">t mín. requerido (mm, opc.)</t>
  </si>
  <si>
    <t xml:space="preserve">Año últ. inspección</t>
  </si>
  <si>
    <t xml:space="preserve">Mecanismo de daño</t>
  </si>
  <si>
    <t xml:space="preserve">Susceptib. (fisuración)</t>
  </si>
  <si>
    <t xml:space="preserve">DF inicial usuario (opc.)</t>
  </si>
  <si>
    <t xml:space="preserve">FC (USD)</t>
  </si>
  <si>
    <t xml:space="preserve">% del FC por producción</t>
  </si>
  <si>
    <t xml:space="preserve">Costo inspección (USD)</t>
  </si>
  <si>
    <t xml:space="preserve">Tasa descuento</t>
  </si>
  <si>
    <t xml:space="preserve">Efectividad insp. (A–E)</t>
  </si>
  <si>
    <t xml:space="preserve">Nivel FFS (0–3)</t>
  </si>
  <si>
    <t xml:space="preserve">FFS: Apto / No apto</t>
  </si>
  <si>
    <t xml:space="preserve">FAD: Pasa / No pasa</t>
  </si>
  <si>
    <t xml:space="preserve">Costo reparación/reemplazo o limitaciones (USD)</t>
  </si>
  <si>
    <t xml:space="preserve">Intervalo TBI (años)</t>
  </si>
  <si>
    <t xml:space="preserve">Intervalo RBI (años)</t>
  </si>
  <si>
    <t xml:space="preserve">Pérdida prod. por parada (USD)</t>
  </si>
  <si>
    <t xml:space="preserve">OPEX incremental del programa RBI/FFS (USD/año)</t>
  </si>
  <si>
    <t xml:space="preserve">P inicial (1–5)</t>
  </si>
  <si>
    <t xml:space="preserve">C inicial (A–E)</t>
  </si>
  <si>
    <t xml:space="preserve">P posterior (1–5)</t>
  </si>
  <si>
    <t xml:space="preserve">C posterior (A–E)</t>
  </si>
  <si>
    <t xml:space="preserve">Edad (años)</t>
  </si>
  <si>
    <t xml:space="preserve">RUL (años) = (t−t_mín)/CR − edad</t>
  </si>
  <si>
    <t xml:space="preserve">Art = CR·edad/t</t>
  </si>
  <si>
    <t xml:space="preserve">DF sugerido</t>
  </si>
  <si>
    <t xml:space="preserve">DF inicial</t>
  </si>
  <si>
    <t xml:space="preserve">GFF (1/año)</t>
  </si>
  <si>
    <t xml:space="preserve">COF₀ = COF₁ = FC·[(1−%prod)+%prod·K_prod] (USD)</t>
  </si>
  <si>
    <t xml:space="preserve">POF inicial (1/año)</t>
  </si>
  <si>
    <t xml:space="preserve">EMV₀ CUANT = POF₀×COF₀ (USD/año)</t>
  </si>
  <si>
    <t xml:space="preserve">Estado FFS</t>
  </si>
  <si>
    <t xml:space="preserve">Riesgo post. si efectividad A (USD/año)</t>
  </si>
  <si>
    <t xml:space="preserve">… si B</t>
  </si>
  <si>
    <t xml:space="preserve">… si C</t>
  </si>
  <si>
    <t xml:space="preserve">… si D</t>
  </si>
  <si>
    <t xml:space="preserve">Costo insp. equivalente efectividad A (USD)</t>
  </si>
  <si>
    <t xml:space="preserve">DF posterior</t>
  </si>
  <si>
    <t xml:space="preserve">POF posterior (1/año)</t>
  </si>
  <si>
    <t xml:space="preserve">EMV₁ CUANT = POF₁×COF₁ (USD/año)</t>
  </si>
  <si>
    <t xml:space="preserve">Riesgo inicial RAM (USD/año)</t>
  </si>
  <si>
    <t xml:space="preserve">Riesgo posterior RAM (USD/año)</t>
  </si>
  <si>
    <t xml:space="preserve">Cat. calculada inicial</t>
  </si>
  <si>
    <t xml:space="preserve">Cat. calculada posterior</t>
  </si>
  <si>
    <t xml:space="preserve">Coincide sel. vs calc.</t>
  </si>
  <si>
    <t xml:space="preserve">Nivel RAM inicial</t>
  </si>
  <si>
    <t xml:space="preserve">Nivel RAM posterior</t>
  </si>
  <si>
    <t xml:space="preserve">Objetivo de riesgo</t>
  </si>
  <si>
    <t xml:space="preserve">EMV₀ usado (USD/año)</t>
  </si>
  <si>
    <t xml:space="preserve">EMV₁ usado (USD/año)</t>
  </si>
  <si>
    <t xml:space="preserve">ΔEMV = EMV₀ − EMV₁ (USD/año) [esperado]</t>
  </si>
  <si>
    <t xml:space="preserve">  ΔEMV producción (depende de precio×margen×downtime)</t>
  </si>
  <si>
    <t xml:space="preserve">  ΔEMV otras consecuencias (no depende del barril)</t>
  </si>
  <si>
    <t xml:space="preserve">Ahorro caja: menor inspección (USD/año)</t>
  </si>
  <si>
    <t xml:space="preserve">Ahorro caja: downtime evitado por diferimiento (USD/año; depende de margen)</t>
  </si>
  <si>
    <t xml:space="preserve">Costo anual TBI (USD/año)</t>
  </si>
  <si>
    <t xml:space="preserve">Costo anual RBI (USD/año)</t>
  </si>
  <si>
    <t xml:space="preserve">Beneficio anual total A = ΔEMV + ahorros − OPEX (USD/año)</t>
  </si>
  <si>
    <t xml:space="preserve">  de lo cual caja real = ahorros − OPEX (USD/año)</t>
  </si>
  <si>
    <t xml:space="preserve">Inversión inicial (USD)</t>
  </si>
  <si>
    <t xml:space="preserve">  de la cual inspección</t>
  </si>
  <si>
    <t xml:space="preserve">  de la cual FFS + implantación</t>
  </si>
  <si>
    <t xml:space="preserve">  de la cual reparación/limitaciones</t>
  </si>
  <si>
    <t xml:space="preserve">Factor anualidad</t>
  </si>
  <si>
    <t xml:space="preserve">VP ahorros (USD)</t>
  </si>
  <si>
    <t xml:space="preserve">SIR</t>
  </si>
  <si>
    <t xml:space="preserve">VAN a N años (USD)</t>
  </si>
  <si>
    <t xml:space="preserve">VAN de caja real a N años (sin ΔEMV) (USD)</t>
  </si>
  <si>
    <t xml:space="preserve">SIR caja real</t>
  </si>
  <si>
    <t xml:space="preserve">Payback caja real (años)</t>
  </si>
  <si>
    <t xml:space="preserve">ROI (N años)</t>
  </si>
  <si>
    <t xml:space="preserve">Recuperación simple (años)</t>
  </si>
  <si>
    <t xml:space="preserve">Recuperación descontada (años)</t>
  </si>
  <si>
    <t xml:space="preserve">LCC TBI: VP inspección + riesgo (USD)</t>
  </si>
  <si>
    <t xml:space="preserve">LCC RBI: VP inspección + riesgo + inversión (USD)</t>
  </si>
  <si>
    <t xml:space="preserve">VP de aprobar FFS vs rechazarlo (USD): solo estados Apto; n/a si no hay FFS, No apto o Revisar</t>
  </si>
  <si>
    <t xml:space="preserve">Decisión SIR&gt;1</t>
  </si>
  <si>
    <t xml:space="preserve">Alerta de consistencia</t>
  </si>
  <si>
    <t xml:space="preserve">Crudo/Topping (ej.)</t>
  </si>
  <si>
    <t xml:space="preserve">E-101</t>
  </si>
  <si>
    <t xml:space="preserve">Intercambiador T&amp;C</t>
  </si>
  <si>
    <t xml:space="preserve">Vapor (caso paper)</t>
  </si>
  <si>
    <t xml:space="preserve">Adelgazamiento</t>
  </si>
  <si>
    <t xml:space="preserve">A</t>
  </si>
  <si>
    <t xml:space="preserve">Apto</t>
  </si>
  <si>
    <t xml:space="preserve">Pasa</t>
  </si>
  <si>
    <t xml:space="preserve">C</t>
  </si>
  <si>
    <t xml:space="preserve">Hidrotratamiento (ej.)</t>
  </si>
  <si>
    <t xml:space="preserve">R-2101</t>
  </si>
  <si>
    <t xml:space="preserve">Reactor</t>
  </si>
  <si>
    <t xml:space="preserve">H2 + HC</t>
  </si>
  <si>
    <t xml:space="preserve">HTHA</t>
  </si>
  <si>
    <t xml:space="preserve">Media</t>
  </si>
  <si>
    <t xml:space="preserve">B</t>
  </si>
  <si>
    <t xml:space="preserve">E</t>
  </si>
  <si>
    <t xml:space="preserve">T-1101</t>
  </si>
  <si>
    <t xml:space="preserve">Torre</t>
  </si>
  <si>
    <t xml:space="preserve">Crudo + H2S</t>
  </si>
  <si>
    <t xml:space="preserve">Sulfidación</t>
  </si>
  <si>
    <t xml:space="preserve">No apto</t>
  </si>
  <si>
    <t xml:space="preserve">No pasa</t>
  </si>
  <si>
    <t xml:space="preserve">D</t>
  </si>
  <si>
    <t xml:space="preserve">Coquización (ej.)</t>
  </si>
  <si>
    <t xml:space="preserve">H-2201</t>
  </si>
  <si>
    <t xml:space="preserve">Horno (proxy)</t>
  </si>
  <si>
    <t xml:space="preserve">Residuo</t>
  </si>
  <si>
    <t xml:space="preserve">Apto con limitaciones</t>
  </si>
  <si>
    <t xml:space="preserve">Cracking FCC (ej.)</t>
  </si>
  <si>
    <t xml:space="preserve">D-3301</t>
  </si>
  <si>
    <t xml:space="preserve">Drum</t>
  </si>
  <si>
    <t xml:space="preserve">Agua ácida</t>
  </si>
  <si>
    <t xml:space="preserve">HIC/SOHIC</t>
  </si>
  <si>
    <t xml:space="preserve">Alta</t>
  </si>
  <si>
    <t xml:space="preserve">C-1102</t>
  </si>
  <si>
    <t xml:space="preserve">Residuo atmosférico (vacío)</t>
  </si>
  <si>
    <t xml:space="preserve">Corrosión nafténica</t>
  </si>
  <si>
    <t xml:space="preserve">E-2105</t>
  </si>
  <si>
    <t xml:space="preserve">HC aislado</t>
  </si>
  <si>
    <t xml:space="preserve">CUI</t>
  </si>
  <si>
    <t xml:space="preserve">AHORROS TOTALES (suma anual de equipos evaluados)</t>
  </si>
  <si>
    <t xml:space="preserve">Fila total: SIR y ROI agregados = totales/totales. 'SIR promedio' (panel superior) = promedio simple de los SIR por equipo. Inversión = inspección + FFS + reparación (si No apto) + implantación RBI. Ahorro por diferimiento = costo·(1/TBI − 1/RBI).</t>
  </si>
  <si>
    <t xml:space="preserve">MATRIZ RAM 5×5 (API 581, paper Fig. 5): nº de equipos por celda – ANTES (izq.) y DESPUÉS de RBI + FFS (der.). Filas = probabilidad 1–5; columnas = consecuencia A–E.</t>
  </si>
  <si>
    <t xml:space="preserve">ANTES (mitigación)</t>
  </si>
  <si>
    <t xml:space="preserve">DESPUÉS (RBI + FFS)</t>
  </si>
  <si>
    <t xml:space="preserve">Consecuencia →</t>
  </si>
  <si>
    <t xml:space="preserve">Colores: verde bajo · amarillo medio · naranja medio-alto · rojo alto. Objetivo del paper = riesgo medio (no se admite medio-alto ni alto).</t>
  </si>
  <si>
    <t xml:space="preserve">T1. GFF total (API 581 P.2 Tabla 3.1; verificar)</t>
  </si>
  <si>
    <t xml:space="preserve">T2. DF sugerido por Art (simplificado)</t>
  </si>
  <si>
    <t xml:space="preserve">T3. DF por susceptibilidad</t>
  </si>
  <si>
    <t xml:space="preserve">T4. Mecanismo → tipo (E=espesor/CR; F=fisuración)</t>
  </si>
  <si>
    <t xml:space="preserve">T5. Efectividad (paper Tabla 1)</t>
  </si>
  <si>
    <t xml:space="preserve">T6. Factor de DF por resultado FFS</t>
  </si>
  <si>
    <t xml:space="preserve">T7. Costo FFS por nivel (USD, supuesto)</t>
  </si>
  <si>
    <t xml:space="preserve">Art ≥</t>
  </si>
  <si>
    <t xml:space="preserve">DF</t>
  </si>
  <si>
    <t xml:space="preserve">Cat</t>
  </si>
  <si>
    <t xml:space="preserve">Confianza</t>
  </si>
  <si>
    <t xml:space="preserve">DF retenido</t>
  </si>
  <si>
    <t xml:space="preserve">Costo relativo [P Tabla 4]</t>
  </si>
  <si>
    <t xml:space="preserve">No requerido</t>
  </si>
  <si>
    <t xml:space="preserve">Nivel 0</t>
  </si>
  <si>
    <t xml:space="preserve">Corrosión externa</t>
  </si>
  <si>
    <t xml:space="preserve">APTO/PASA</t>
  </si>
  <si>
    <t xml:space="preserve">Nivel 1</t>
  </si>
  <si>
    <t xml:space="preserve">Baja</t>
  </si>
  <si>
    <t xml:space="preserve">APTO CON LIMITACIONES</t>
  </si>
  <si>
    <t xml:space="preserve">Nivel 2</t>
  </si>
  <si>
    <t xml:space="preserve">Ninguna</t>
  </si>
  <si>
    <t xml:space="preserve">REVISAR</t>
  </si>
  <si>
    <t xml:space="preserve">Nivel 3</t>
  </si>
  <si>
    <t xml:space="preserve">F</t>
  </si>
  <si>
    <t xml:space="preserve">n/d</t>
  </si>
  <si>
    <t xml:space="preserve">SCC</t>
  </si>
  <si>
    <t xml:space="preserve">T8. Umbrales y valores representativos RAM (API 581 Parte 1 Tablas 4.1/4.2; verificar edición)</t>
  </si>
  <si>
    <t xml:space="preserve">T9. Nivel de riesgo por celda (paper Fig. 5): 1 bajo,2 medio,3 medio-alto,4 alto</t>
  </si>
  <si>
    <t xml:space="preserve">Cat P</t>
  </si>
  <si>
    <t xml:space="preserve">DF límite sup.</t>
  </si>
  <si>
    <t xml:space="preserve">DF repres.</t>
  </si>
  <si>
    <t xml:space="preserve">Cat C</t>
  </si>
  <si>
    <t xml:space="preserve">FC límite sup. (USD)</t>
  </si>
  <si>
    <t xml:space="preserve">FC repres. (USD)</t>
  </si>
  <si>
    <t xml:space="preserve">&gt;</t>
  </si>
  <si>
    <t xml:space="preserve">CALCULADORA DE CONSECUENCIA (ej. E-101) – valores del paper §2.3 + supuestos del ejemplo</t>
  </si>
  <si>
    <t xml:space="preserve">Área de daño a componentes CA_cmd (m²)</t>
  </si>
  <si>
    <t xml:space="preserve">m²</t>
  </si>
  <si>
    <t xml:space="preserve">Supuesto del ejemplo (el paper no da CA)</t>
  </si>
  <si>
    <t xml:space="preserve">Área de lesiones CA_inj (m²)</t>
  </si>
  <si>
    <t xml:space="preserve">Supuesto; eq. (10)-(12) del paper: CA=max(CA_cmd,CA_inj)</t>
  </si>
  <si>
    <t xml:space="preserve">Costo de reposición (USD/m²)</t>
  </si>
  <si>
    <t xml:space="preserve">USD/m²</t>
  </si>
  <si>
    <t xml:space="preserve">Paper §2.3 (4.000 USD/m²)</t>
  </si>
  <si>
    <t xml:space="preserve">Densidad de personas (pers/m²)</t>
  </si>
  <si>
    <t xml:space="preserve">pers/m²</t>
  </si>
  <si>
    <t xml:space="preserve">Paper §2.3</t>
  </si>
  <si>
    <t xml:space="preserve">Valor de vida estadística VSL (USD/persona)</t>
  </si>
  <si>
    <t xml:space="preserve">USD</t>
  </si>
  <si>
    <t xml:space="preserve">Paper §2.3 (10.000 USD/persona); usar VSL local para sensibilidad</t>
  </si>
  <si>
    <t xml:space="preserve">Fracción FCaffa/FCcmd (unidades vecinas)</t>
  </si>
  <si>
    <t xml:space="preserve">-</t>
  </si>
  <si>
    <t xml:space="preserve">Supuesto</t>
  </si>
  <si>
    <t xml:space="preserve">Días de parada por falla</t>
  </si>
  <si>
    <t xml:space="preserve">días</t>
  </si>
  <si>
    <t xml:space="preserve">Supuesto; USD/día = celda E11</t>
  </si>
  <si>
    <t xml:space="preserve">FCenviron – limpieza ambiental (USD)</t>
  </si>
  <si>
    <t xml:space="preserve">Factor de mitigación f_mit (detección/aislamiento)</t>
  </si>
  <si>
    <t xml:space="preserve">Supuesto; paper §2.3: aislamiento operado desde sala de control + blowdown</t>
  </si>
  <si>
    <t xml:space="preserve">FCcmd = CA_cmd × costo reposición</t>
  </si>
  <si>
    <t xml:space="preserve">FCaffa = fracción × FCcmd</t>
  </si>
  <si>
    <t xml:space="preserve">FCprod = días × producción USD/día</t>
  </si>
  <si>
    <t xml:space="preserve">FCinj = CA_inj × densidad × VSL</t>
  </si>
  <si>
    <t xml:space="preserve">FCenviron</t>
  </si>
  <si>
    <t xml:space="preserve">FC bruto = Σ componentes (eq. 13 paper)</t>
  </si>
  <si>
    <t xml:space="preserve">DPN = FC bruto × (1 − f_mit)  → FC usado en fila E-101</t>
  </si>
  <si>
    <t xml:space="preserve">LSE (Life Safety Exposure, personas/año) = POF_ini(E-101) × CA_inj × ρ</t>
  </si>
  <si>
    <t xml:space="preserve">Riesgo de vida = LSE × VSL (USD/año); FCinj = costo económico de lesiones por evento</t>
  </si>
  <si>
    <t xml:space="preserve">Costo evitado anualizado CAA E-101 = RR + ahorros diferimiento (USD/año)</t>
  </si>
  <si>
    <t xml:space="preserve">REFERENCIA DE PRODUCCIÓN – REFINERÍA: pérdida diaria si falla/para un equipo (SUPUESTOS ilustrativos salvo la capacidad, dato del usuario)</t>
  </si>
  <si>
    <t xml:space="preserve">Capacidad refinería GRB (bpd): máx. 250.000 según prensa; 246.000 en 2024 [V]</t>
  </si>
  <si>
    <t xml:space="preserve">Precio del barril (USD/bbl) – SUPUESTO</t>
  </si>
  <si>
    <t xml:space="preserve">Margen bruto (% del precio) – SUPUESTO</t>
  </si>
  <si>
    <t xml:space="preserve">Margen (USD/bbl) = precio × margen %</t>
  </si>
  <si>
    <t xml:space="preserve">USD/día de toda la refinería = capacidad × margen</t>
  </si>
  <si>
    <t xml:space="preserve">% de la carga que depende del equipo (ej. topping ≈ 100 %, HDT ≈ 20 %) – SUPUESTO</t>
  </si>
  <si>
    <t xml:space="preserve">Pérdida de producción (USD/día) = fracción × USD/día refinería  → usar en FCprod y en 'Pérdida por parada' (× días)</t>
  </si>
  <si>
    <t xml:space="preserve">El paper usa 40.000 USD/día (planta petroquímica). Precio y margen se sensibilizan con los multiplicadores AE5–AE7 (Z3). Escalamiento: una fila por recipiente dentro del rango 16–45 (insertar filas antes de los totales). Las 7 filas son ilustrativas.</t>
  </si>
  <si>
    <t xml:space="preserve">SENSIBILIDAD A LA TASA DE DESCUENTO (WACC) – portafolio; misma tasa para todas las filas. ROI (sin descontar) no depende de la tasa.</t>
  </si>
  <si>
    <t xml:space="preserve">WACC</t>
  </si>
  <si>
    <t xml:space="preserve">FA (N años)</t>
  </si>
  <si>
    <t xml:space="preserve">VAN (USD)</t>
  </si>
  <si>
    <t xml:space="preserve">SENSIBILIDAD UNIDIRECCIONAL – portafolio, relativa al estado actual; tasa = promedio de r; N = horizonte. Precio, margen y downtime entran como producto (K_prod): mismo efecto matemático, se listan por separado para lectura.</t>
  </si>
  <si>
    <t xml:space="preserve">Variable</t>
  </si>
  <si>
    <t xml:space="preserve">Multiplicador</t>
  </si>
  <si>
    <t xml:space="preserve">Ahorro anual A (USD/año)</t>
  </si>
  <si>
    <t xml:space="preserve">Inversión I0 (USD)</t>
  </si>
  <si>
    <t xml:space="preserve">Precio del barril</t>
  </si>
  <si>
    <t xml:space="preserve">Margen</t>
  </si>
  <si>
    <t xml:space="preserve">Downtime</t>
  </si>
  <si>
    <t xml:space="preserve">Costo de inspección</t>
  </si>
  <si>
    <t xml:space="preserve">Costo de reparación</t>
  </si>
  <si>
    <t xml:space="preserve">SENSIBILIDAD DE LA EFECTIVIDAD NDE (todos los equipos con la misma efectividad; costo relativo de [P Tabla 4]; base CUANT; E no tiene costo en el paper)</t>
  </si>
  <si>
    <t xml:space="preserve">Efectividad</t>
  </si>
  <si>
    <t xml:space="preserve">Riesgo residual (USD/año)</t>
  </si>
  <si>
    <t xml:space="preserve">Reducción de riesgo (USD/año)</t>
  </si>
  <si>
    <t xml:space="preserve">SENSIBILIDAD DE RUL / VIDA EXTENDIDA [M, propuesta]: valor del reemplazo diferido = C_reemplazo·[1 − (1+r)^−ΔRUL], C_reemplazo = costos de reparación/reemplazo de la columna; se suma al VAN</t>
  </si>
  <si>
    <t xml:space="preserve">ΔRUL (años)</t>
  </si>
  <si>
    <t xml:space="preserve">Valor de reemplazo diferido (USD)</t>
  </si>
  <si>
    <t xml:space="preserve">VAN con extensión (USD)</t>
  </si>
  <si>
    <t xml:space="preserve">RUL mínimo con CR × factor (años)</t>
  </si>
  <si>
    <t xml:space="preserve">RUL mínimo: cambie el multiplicador de tasa de corrosión (AE4) para ver su efecto; la columna refleja el valor vigente.</t>
  </si>
  <si>
    <t xml:space="preserve">ESCENARIOS BAJO / BASE / ALTO – multiplicadores relativos al estado actual (SUPUESTOS FINANCIEROS [S], editables). Dependen del barril: precio, margen y downtime (ΔEMV producción y downtime evitado). No dependen: inspección, reparación, FFS, OPEX.</t>
  </si>
  <si>
    <t xml:space="preserve">Bajo</t>
  </si>
  <si>
    <t xml:space="preserve">Base</t>
  </si>
  <si>
    <t xml:space="preserve">Alto</t>
  </si>
  <si>
    <t xml:space="preserve">Margen neto</t>
  </si>
  <si>
    <t xml:space="preserve">Escenario</t>
  </si>
  <si>
    <t xml:space="preserve">A esperado (USD/año)</t>
  </si>
  <si>
    <t xml:space="preserve">A caja real (USD/año)</t>
  </si>
  <si>
    <t xml:space="preserve">SIR esperado</t>
  </si>
  <si>
    <t xml:space="preserve">VAN esperado (USD)</t>
  </si>
  <si>
    <t xml:space="preserve">VAN caja real (USD)</t>
  </si>
  <si>
    <t xml:space="preserve">Precio del barril: bajo</t>
  </si>
  <si>
    <t xml:space="preserve">Precio del barril: base</t>
  </si>
  <si>
    <t xml:space="preserve">Precio del barril: alto</t>
  </si>
  <si>
    <t xml:space="preserve">Margen neto: bajo</t>
  </si>
  <si>
    <t xml:space="preserve">Margen neto: base</t>
  </si>
  <si>
    <t xml:space="preserve">Margen neto: alto</t>
  </si>
  <si>
    <t xml:space="preserve">Downtime: bajo</t>
  </si>
  <si>
    <t xml:space="preserve">Downtime: base</t>
  </si>
  <si>
    <t xml:space="preserve">Downtime: alto</t>
  </si>
  <si>
    <t xml:space="preserve">Costo de inspección: bajo</t>
  </si>
  <si>
    <t xml:space="preserve">Costo de inspección: base</t>
  </si>
  <si>
    <t xml:space="preserve">Costo de inspección: alto</t>
  </si>
  <si>
    <t xml:space="preserve">Costo de reparación: bajo</t>
  </si>
  <si>
    <t xml:space="preserve">Costo de reparación: base</t>
  </si>
  <si>
    <t xml:space="preserve">Costo de reparación: alto</t>
  </si>
  <si>
    <t xml:space="preserve">COMBINADO – beneficio bajo (precio, margen, downtime bajos; inspección y reparación altas)</t>
  </si>
  <si>
    <t xml:space="preserve">COMBINADO – beneficio alto (precio, margen, downtime altos; inspección y reparación bajas)</t>
  </si>
  <si>
    <t xml:space="preserve">FLUJO DE CAJA INCREMENTAL CONSOLIDADO (RBI/FFS vs base): componentes separados, sin doble conteo. t=0: inversión; t=1..N: beneficios. Descuento con r promedio.</t>
  </si>
  <si>
    <t xml:space="preserve">Componente</t>
  </si>
  <si>
    <t xml:space="preserve">Naturaleza · ¿depende del barril?</t>
  </si>
  <si>
    <t xml:space="preserve">Factor de descuento 1/(1+r)^t</t>
  </si>
  <si>
    <t xml:space="preserve">Cálculo</t>
  </si>
  <si>
    <t xml:space="preserve">ΔEMV producción (reducción de riesgo)</t>
  </si>
  <si>
    <t xml:space="preserve">Esperado (probabilístico) · SÍ (margen, downtime)</t>
  </si>
  <si>
    <t xml:space="preserve">ΔEMV otras consecuencias (componente, terceros, lesiones, ambiente)</t>
  </si>
  <si>
    <t xml:space="preserve">Esperado · NO</t>
  </si>
  <si>
    <t xml:space="preserve">Downtime evitado por diferimiento de inspecciones</t>
  </si>
  <si>
    <t xml:space="preserve">Caja real · SÍ (margen)</t>
  </si>
  <si>
    <t xml:space="preserve">Ahorro por menor inspección (frecuencia TBI→RBI)</t>
  </si>
  <si>
    <t xml:space="preserve">Caja real · NO</t>
  </si>
  <si>
    <t xml:space="preserve">OPEX incremental del programa</t>
  </si>
  <si>
    <t xml:space="preserve">Inspección inicial</t>
  </si>
  <si>
    <t xml:space="preserve">FFS + implantación RBI</t>
  </si>
  <si>
    <t xml:space="preserve">Reparación / reemplazo / limitaciones</t>
  </si>
  <si>
    <t xml:space="preserve">Flujo neto esperado (incluye ΔEMV)</t>
  </si>
  <si>
    <t xml:space="preserve">Flujo neto de caja real (sin ΔEMV)</t>
  </si>
  <si>
    <t xml:space="preserve">Flujo esperado descontado</t>
  </si>
  <si>
    <t xml:space="preserve">Acumulado descontado esperado (USD)</t>
  </si>
  <si>
    <t xml:space="preserve">Flujo de caja real descontado</t>
  </si>
  <si>
    <t xml:space="preserve">Acumulado descontado de caja real (USD)</t>
  </si>
  <si>
    <t xml:space="preserve">Payback descontado (primer año con acumulado ≥ 0): esperado / caja real</t>
  </si>
  <si>
    <t xml:space="preserve">VAN a 1 año / 10 años (esperado) y chequeo con columnas por equipo (diferencia = 0 si todas las tasas son iguales)</t>
  </si>
  <si>
    <t xml:space="preserve">Tipos: TÉCNICO = POF/COF (API 581/paper); ESPERADO = ΔEMV probabilístico, no es caja; CAJA REAL = ahorros y costos efectivos. Pagar/ahorrar: cifras del paper = costos de inspección (Tablas 4–5, 7–10), 210 USD, 4.000 USD/m², 40.000 USD/día, 10.000 USD/persona, 0,1 pers/m². Supuestos de la refinería: precio, margen, downtime, OPEX, costos FFS/reparación, tasa.</t>
  </si>
  <si>
    <t xml:space="preserve">RESUMEN POR PLANTA / UNIDAD (escribir el nombre igual que en la columna Planta)</t>
  </si>
  <si>
    <t xml:space="preserve">Equipos</t>
  </si>
  <si>
    <t xml:space="preserve">Riesgo inicial</t>
  </si>
  <si>
    <t xml:space="preserve">Riesgo residual</t>
  </si>
  <si>
    <t xml:space="preserve">Reducción</t>
  </si>
  <si>
    <t xml:space="preserve">Ahorro total anual</t>
  </si>
  <si>
    <t xml:space="preserve">Inversión</t>
  </si>
  <si>
    <t xml:space="preserve">VP ahorros</t>
  </si>
  <si>
    <t xml:space="preserve">Servicios (ej.)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</si>
</sst>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"/>
    <numFmt numFmtId="166" formatCode="#,##0"/>
    <numFmt numFmtId="167" formatCode="0.00"/>
    <numFmt numFmtId="168" formatCode="0.000"/>
    <numFmt numFmtId="169" formatCode="0%"/>
    <numFmt numFmtId="170" formatCode="0.0%"/>
    <numFmt numFmtId="171" formatCode="0.0"/>
    <numFmt numFmtId="172" formatCode="#,##0;\(#,##0\);\-"/>
    <numFmt numFmtId="173" formatCode="&quot;Año &quot;0"/>
    <numFmt numFmtId="174" formatCode="#,##0.0"/>
    <numFmt numFmtId="175" formatCode="0.00E+00"/>
    <numFmt numFmtId="176" formatCode="0;;;"/>
    <numFmt numFmtId="177" formatCode="0.0000"/>
    <numFmt numFmtId="178" formatCode="General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8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7"/>
      <color rgb="FF595959"/>
      <name val="Arial"/>
      <family val="0"/>
      <charset val="1"/>
    </font>
    <font>
      <b val="true"/>
      <sz val="9"/>
      <color rgb="FF1F3A5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8"/>
      <name val="Arial"/>
      <family val="0"/>
      <charset val="1"/>
    </font>
    <font>
      <i val="true"/>
      <sz val="7"/>
      <color rgb="FF7F7F7F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FFF9DB"/>
        <bgColor rgb="FFFFFFFF"/>
      </patternFill>
    </fill>
    <fill>
      <patternFill patternType="solid">
        <fgColor rgb="FFE8F0F8"/>
        <bgColor rgb="FFFFFFFF"/>
      </patternFill>
    </fill>
    <fill>
      <patternFill patternType="solid">
        <fgColor rgb="FF2E5A88"/>
        <bgColor rgb="FF595959"/>
      </patternFill>
    </fill>
    <fill>
      <patternFill patternType="solid">
        <fgColor rgb="FF7B3F8C"/>
        <bgColor rgb="FF595959"/>
      </patternFill>
    </fill>
    <fill>
      <patternFill patternType="solid">
        <fgColor rgb="FF4A4A4A"/>
        <bgColor rgb="FF595959"/>
      </patternFill>
    </fill>
    <fill>
      <patternFill patternType="solid">
        <fgColor rgb="FF1E7B4F"/>
        <bgColor rgb="FF008080"/>
      </patternFill>
    </fill>
    <fill>
      <patternFill patternType="solid">
        <fgColor rgb="FFA0522D"/>
        <bgColor rgb="FFC0504D"/>
      </patternFill>
    </fill>
    <fill>
      <patternFill patternType="solid">
        <fgColor rgb="FF1F3A5F"/>
        <bgColor rgb="FF4A4A4A"/>
      </patternFill>
    </fill>
    <fill>
      <patternFill patternType="solid">
        <fgColor rgb="FFFFEB84"/>
        <bgColor rgb="FFFFCC99"/>
      </patternFill>
    </fill>
    <fill>
      <patternFill patternType="solid">
        <fgColor rgb="FFF8A34F"/>
        <bgColor rgb="FFFF8080"/>
      </patternFill>
    </fill>
    <fill>
      <patternFill patternType="solid">
        <fgColor rgb="FFE5533D"/>
        <bgColor rgb="FFC0504D"/>
      </patternFill>
    </fill>
    <fill>
      <patternFill patternType="solid">
        <fgColor rgb="FF63BE7B"/>
        <bgColor rgb="FF87878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14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3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3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6" fontId="18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18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18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18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1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4F"/>
      <rgbColor rgb="FFBFBFBF"/>
      <rgbColor rgb="FF7F7F7F"/>
      <rgbColor rgb="FF9999FF"/>
      <rgbColor rgb="FF7B3F8C"/>
      <rgbColor rgb="FFFFF9DB"/>
      <rgbColor rgb="FFE8F0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84"/>
      <rgbColor rgb="FF99CCFF"/>
      <rgbColor rgb="FFFF99CC"/>
      <rgbColor rgb="FFCC99FF"/>
      <rgbColor rgb="FFFFCC99"/>
      <rgbColor rgb="FF4A7EBB"/>
      <rgbColor rgb="FF63BE7B"/>
      <rgbColor rgb="FF99CC00"/>
      <rgbColor rgb="FFFFCC00"/>
      <rgbColor rgb="FFF8A34F"/>
      <rgbColor rgb="FFE5533D"/>
      <rgbColor rgb="FF595959"/>
      <rgbColor rgb="FF878787"/>
      <rgbColor rgb="FF1F3A5F"/>
      <rgbColor rgb="FF4F81BD"/>
      <rgbColor rgb="FF003300"/>
      <rgbColor rgb="FF333300"/>
      <rgbColor rgb="FFA0522D"/>
      <rgbColor rgb="FFC0504D"/>
      <rgbColor rgb="FF2E5A88"/>
      <rgbColor rgb="FF4A4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Flujo neto descontado acumulado – portafolio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RBI_GRB!$CM$15:$DB$15</c:f>
              <c:strCache>
                <c:ptCount val="16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  <c:pt idx="12">
                  <c:v>Año 12</c:v>
                </c:pt>
                <c:pt idx="13">
                  <c:v>Año 13</c:v>
                </c:pt>
                <c:pt idx="14">
                  <c:v>Año 14</c:v>
                </c:pt>
                <c:pt idx="15">
                  <c:v>Año 15</c:v>
                </c:pt>
              </c:strCache>
            </c:strRef>
          </c:cat>
          <c:val>
            <c:numRef>
              <c:f>RBI_GRB!$CM$46:$DB$46</c:f>
              <c:numCache>
                <c:formatCode>#,##0;\(#,##0\);\-</c:formatCode>
                <c:ptCount val="16"/>
                <c:pt idx="0">
                  <c:v>-463190</c:v>
                </c:pt>
                <c:pt idx="1">
                  <c:v>-288929.641245481</c:v>
                </c:pt>
                <c:pt idx="2">
                  <c:v>-130511.133286828</c:v>
                </c:pt>
                <c:pt idx="3">
                  <c:v>13505.6921301295</c:v>
                </c:pt>
                <c:pt idx="4">
                  <c:v>144430.078872818</c:v>
                </c:pt>
                <c:pt idx="5">
                  <c:v>263452.248638899</c:v>
                </c:pt>
                <c:pt idx="6">
                  <c:v>371654.221153518</c:v>
                </c:pt>
                <c:pt idx="7">
                  <c:v>470019.650712262</c:v>
                </c:pt>
                <c:pt idx="8">
                  <c:v>559442.768492939</c:v>
                </c:pt>
                <c:pt idx="9">
                  <c:v>640736.511929917</c:v>
                </c:pt>
                <c:pt idx="10">
                  <c:v>714639.915054443</c:v>
                </c:pt>
                <c:pt idx="11">
                  <c:v>714639.915054443</c:v>
                </c:pt>
                <c:pt idx="12">
                  <c:v>714639.915054443</c:v>
                </c:pt>
                <c:pt idx="13">
                  <c:v>714639.915054443</c:v>
                </c:pt>
                <c:pt idx="14">
                  <c:v>714639.915054443</c:v>
                </c:pt>
                <c:pt idx="15">
                  <c:v>714639.915054443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1682667"/>
        <c:axId val="8122034"/>
      </c:lineChart>
      <c:catAx>
        <c:axId val="616826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Año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Año &quot;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22034"/>
        <c:crosses val="autoZero"/>
        <c:auto val="1"/>
        <c:lblAlgn val="ctr"/>
        <c:lblOffset val="100"/>
        <c:noMultiLvlLbl val="0"/>
      </c:catAx>
      <c:valAx>
        <c:axId val="81220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6826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Riesgo inicial vs residual por equipo (USD/año)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RBI_GRB!BF15</c:f>
              <c:strCache>
                <c:ptCount val="1"/>
                <c:pt idx="0">
                  <c:v>EMV₀ usado (USD/año)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RBI_GRB!$C$16:$C$22</c:f>
              <c:strCache>
                <c:ptCount val="7"/>
                <c:pt idx="0">
                  <c:v>E-101</c:v>
                </c:pt>
                <c:pt idx="1">
                  <c:v>R-2101</c:v>
                </c:pt>
                <c:pt idx="2">
                  <c:v>T-1101</c:v>
                </c:pt>
                <c:pt idx="3">
                  <c:v>H-2201</c:v>
                </c:pt>
                <c:pt idx="4">
                  <c:v>D-3301</c:v>
                </c:pt>
                <c:pt idx="5">
                  <c:v>C-1102</c:v>
                </c:pt>
                <c:pt idx="6">
                  <c:v>E-2105</c:v>
                </c:pt>
              </c:strCache>
            </c:strRef>
          </c:cat>
          <c:val>
            <c:numRef>
              <c:f>RBI_GRB!$BF$16:$BF$22</c:f>
              <c:numCache>
                <c:formatCode>#,##0</c:formatCode>
                <c:ptCount val="7"/>
                <c:pt idx="0">
                  <c:v>1088.61408451296</c:v>
                </c:pt>
                <c:pt idx="1">
                  <c:v>11611.8835681383</c:v>
                </c:pt>
                <c:pt idx="2">
                  <c:v>3483.56507044149</c:v>
                </c:pt>
                <c:pt idx="3">
                  <c:v>2612.67380283112</c:v>
                </c:pt>
                <c:pt idx="4">
                  <c:v>14514.8544601729</c:v>
                </c:pt>
                <c:pt idx="5">
                  <c:v>1548.25114241844</c:v>
                </c:pt>
                <c:pt idx="6">
                  <c:v>174.178253522074</c:v>
                </c:pt>
              </c:numCache>
            </c:numRef>
          </c:val>
        </c:ser>
        <c:ser>
          <c:idx val="1"/>
          <c:order val="1"/>
          <c:tx>
            <c:strRef>
              <c:f>RBI_GRB!BG15</c:f>
              <c:strCache>
                <c:ptCount val="1"/>
                <c:pt idx="0">
                  <c:v>EMV₁ usado (USD/año)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RBI_GRB!$C$16:$C$22</c:f>
              <c:strCache>
                <c:ptCount val="7"/>
                <c:pt idx="0">
                  <c:v>E-101</c:v>
                </c:pt>
                <c:pt idx="1">
                  <c:v>R-2101</c:v>
                </c:pt>
                <c:pt idx="2">
                  <c:v>T-1101</c:v>
                </c:pt>
                <c:pt idx="3">
                  <c:v>H-2201</c:v>
                </c:pt>
                <c:pt idx="4">
                  <c:v>D-3301</c:v>
                </c:pt>
                <c:pt idx="5">
                  <c:v>C-1102</c:v>
                </c:pt>
                <c:pt idx="6">
                  <c:v>E-2105</c:v>
                </c:pt>
              </c:strCache>
            </c:strRef>
          </c:cat>
          <c:val>
            <c:numRef>
              <c:f>RBI_GRB!$BG$16:$BG$22</c:f>
              <c:numCache>
                <c:formatCode>#,##0</c:formatCode>
                <c:ptCount val="7"/>
                <c:pt idx="0">
                  <c:v>5.44307042256482</c:v>
                </c:pt>
                <c:pt idx="1">
                  <c:v>174.178253522074</c:v>
                </c:pt>
                <c:pt idx="2">
                  <c:v>58.0594178406914</c:v>
                </c:pt>
                <c:pt idx="3">
                  <c:v>391.901070424667</c:v>
                </c:pt>
                <c:pt idx="4">
                  <c:v>4354.45633805186</c:v>
                </c:pt>
                <c:pt idx="5">
                  <c:v>77.4125571209219</c:v>
                </c:pt>
                <c:pt idx="6">
                  <c:v>52.2534760566223</c:v>
                </c:pt>
              </c:numCache>
            </c:numRef>
          </c:val>
        </c:ser>
        <c:gapWidth val="150"/>
        <c:overlap val="0"/>
        <c:axId val="23166987"/>
        <c:axId val="73923863"/>
      </c:barChart>
      <c:catAx>
        <c:axId val="231669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923863"/>
        <c:crosses val="autoZero"/>
        <c:auto val="1"/>
        <c:lblAlgn val="ctr"/>
        <c:lblOffset val="100"/>
        <c:noMultiLvlLbl val="0"/>
      </c:catAx>
      <c:valAx>
        <c:axId val="739238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1669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47</xdr:row>
      <xdr:rowOff>160560</xdr:rowOff>
    </xdr:from>
    <xdr:to>
      <xdr:col>25</xdr:col>
      <xdr:colOff>518760</xdr:colOff>
      <xdr:row>62</xdr:row>
      <xdr:rowOff>2160</xdr:rowOff>
    </xdr:to>
    <xdr:graphicFrame>
      <xdr:nvGraphicFramePr>
        <xdr:cNvPr id="0" name="Chart 1"/>
        <xdr:cNvGraphicFramePr/>
      </xdr:nvGraphicFramePr>
      <xdr:xfrm>
        <a:off x="16357680" y="9734400"/>
        <a:ext cx="611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32</xdr:col>
      <xdr:colOff>0</xdr:colOff>
      <xdr:row>47</xdr:row>
      <xdr:rowOff>160560</xdr:rowOff>
    </xdr:from>
    <xdr:to>
      <xdr:col>38</xdr:col>
      <xdr:colOff>785160</xdr:colOff>
      <xdr:row>62</xdr:row>
      <xdr:rowOff>2160</xdr:rowOff>
    </xdr:to>
    <xdr:graphicFrame>
      <xdr:nvGraphicFramePr>
        <xdr:cNvPr id="1" name="Chart 2"/>
        <xdr:cNvGraphicFramePr/>
      </xdr:nvGraphicFramePr>
      <xdr:xfrm>
        <a:off x="27203400" y="9734400"/>
        <a:ext cx="611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22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15" topLeftCell="D16" activePane="bottomRight" state="frozen"/>
      <selection pane="topLeft" activeCell="A1" activeCellId="0" sqref="A1"/>
      <selection pane="topRight" activeCell="D1" activeCellId="0" sqref="D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3" min="3" style="1" width="11"/>
    <col collapsed="false" customWidth="true" hidden="false" outlineLevel="0" max="4" min="4" style="1" width="15"/>
    <col collapsed="false" customWidth="true" hidden="false" outlineLevel="0" max="5" min="5" style="1" width="13"/>
    <col collapsed="false" customWidth="true" hidden="false" outlineLevel="0" max="7" min="6" style="1" width="7"/>
    <col collapsed="false" customWidth="true" hidden="false" outlineLevel="0" max="11" min="8" style="1" width="9"/>
    <col collapsed="false" customWidth="true" hidden="false" outlineLevel="0" max="12" min="12" style="1" width="14"/>
    <col collapsed="false" customWidth="true" hidden="false" outlineLevel="0" max="14" min="13" style="1" width="10"/>
    <col collapsed="false" customWidth="true" hidden="false" outlineLevel="0" max="15" min="15" style="1" width="13"/>
    <col collapsed="false" customWidth="true" hidden="false" outlineLevel="0" max="16" min="16" style="1" width="9"/>
    <col collapsed="false" customWidth="true" hidden="false" outlineLevel="0" max="17" min="17" style="1" width="11"/>
    <col collapsed="false" customWidth="true" hidden="false" outlineLevel="0" max="18" min="18" style="1" width="8"/>
    <col collapsed="false" customWidth="true" hidden="false" outlineLevel="0" max="19" min="19" style="1" width="9"/>
    <col collapsed="false" customWidth="true" hidden="false" outlineLevel="0" max="20" min="20" style="1" width="7"/>
    <col collapsed="false" customWidth="true" hidden="false" outlineLevel="0" max="22" min="21" style="1" width="9"/>
    <col collapsed="false" customWidth="true" hidden="false" outlineLevel="0" max="23" min="23" style="1" width="13"/>
    <col collapsed="false" customWidth="true" hidden="false" outlineLevel="0" max="25" min="24" style="1" width="8"/>
    <col collapsed="false" customWidth="true" hidden="false" outlineLevel="0" max="27" min="26" style="1" width="12"/>
    <col collapsed="false" customWidth="true" hidden="false" outlineLevel="0" max="32" min="28" style="1" width="7"/>
    <col collapsed="false" customWidth="true" hidden="false" outlineLevel="0" max="33" min="33" style="1" width="10"/>
    <col collapsed="false" customWidth="true" hidden="false" outlineLevel="0" max="34" min="34" style="1" width="8"/>
    <col collapsed="false" customWidth="true" hidden="false" outlineLevel="0" max="36" min="35" style="1" width="9"/>
    <col collapsed="false" customWidth="true" hidden="false" outlineLevel="0" max="37" min="37" style="1" width="10"/>
    <col collapsed="false" customWidth="true" hidden="false" outlineLevel="0" max="38" min="38" style="1" width="14"/>
    <col collapsed="false" customWidth="true" hidden="false" outlineLevel="0" max="39" min="39" style="1" width="11"/>
    <col collapsed="false" customWidth="true" hidden="false" outlineLevel="0" max="40" min="40" style="1" width="12"/>
    <col collapsed="false" customWidth="true" hidden="false" outlineLevel="0" max="41" min="41" style="1" width="15"/>
    <col collapsed="false" customWidth="true" hidden="false" outlineLevel="0" max="42" min="42" style="1" width="11"/>
    <col collapsed="false" customWidth="true" hidden="false" outlineLevel="0" max="45" min="43" style="1" width="9"/>
    <col collapsed="false" customWidth="true" hidden="false" outlineLevel="0" max="46" min="46" style="1" width="11"/>
    <col collapsed="false" customWidth="true" hidden="false" outlineLevel="0" max="47" min="47" style="1" width="9"/>
    <col collapsed="false" customWidth="true" hidden="false" outlineLevel="0" max="48" min="48" style="1" width="11"/>
    <col collapsed="false" customWidth="true" hidden="false" outlineLevel="0" max="51" min="49" style="1" width="12"/>
    <col collapsed="false" customWidth="true" hidden="false" outlineLevel="0" max="53" min="52" style="1" width="8"/>
    <col collapsed="false" customWidth="true" hidden="false" outlineLevel="0" max="54" min="54" style="1" width="9"/>
    <col collapsed="false" customWidth="true" hidden="false" outlineLevel="0" max="56" min="55" style="1" width="7"/>
    <col collapsed="false" customWidth="true" hidden="false" outlineLevel="0" max="57" min="57" style="1" width="9"/>
    <col collapsed="false" customWidth="true" hidden="false" outlineLevel="0" max="59" min="58" style="1" width="12"/>
    <col collapsed="false" customWidth="true" hidden="false" outlineLevel="0" max="62" min="60" style="1" width="13"/>
    <col collapsed="false" customWidth="true" hidden="false" outlineLevel="0" max="63" min="63" style="1" width="12"/>
    <col collapsed="false" customWidth="true" hidden="false" outlineLevel="0" max="64" min="64" style="1" width="15"/>
    <col collapsed="false" customWidth="true" hidden="false" outlineLevel="0" max="66" min="65" style="1" width="11"/>
    <col collapsed="false" customWidth="true" hidden="false" outlineLevel="0" max="67" min="67" style="1" width="14"/>
    <col collapsed="false" customWidth="true" hidden="false" outlineLevel="0" max="68" min="68" style="1" width="13"/>
    <col collapsed="false" customWidth="true" hidden="false" outlineLevel="0" max="69" min="69" style="1" width="11"/>
    <col collapsed="false" customWidth="true" hidden="false" outlineLevel="0" max="72" min="70" style="1" width="10"/>
    <col collapsed="false" customWidth="true" hidden="false" outlineLevel="0" max="73" min="73" style="1" width="8"/>
    <col collapsed="false" customWidth="true" hidden="false" outlineLevel="0" max="74" min="74" style="1" width="12"/>
    <col collapsed="false" customWidth="true" hidden="false" outlineLevel="0" max="75" min="75" style="1" width="7"/>
    <col collapsed="false" customWidth="true" hidden="false" outlineLevel="0" max="78" min="76" style="1" width="11"/>
    <col collapsed="false" customWidth="true" hidden="false" outlineLevel="0" max="79" min="79" style="1" width="13"/>
    <col collapsed="false" customWidth="true" hidden="false" outlineLevel="0" max="80" min="80" style="1" width="8"/>
    <col collapsed="false" customWidth="true" hidden="false" outlineLevel="0" max="81" min="81" style="1" width="9"/>
    <col collapsed="false" customWidth="true" hidden="false" outlineLevel="0" max="82" min="82" style="1" width="8"/>
    <col collapsed="false" customWidth="true" hidden="false" outlineLevel="0" max="83" min="83" style="1" width="9"/>
    <col collapsed="false" customWidth="true" hidden="false" outlineLevel="0" max="84" min="84" style="1" width="10"/>
    <col collapsed="false" customWidth="true" hidden="false" outlineLevel="0" max="85" min="85" style="1" width="12"/>
    <col collapsed="false" customWidth="true" hidden="false" outlineLevel="0" max="86" min="86" style="1" width="13"/>
    <col collapsed="false" customWidth="true" hidden="false" outlineLevel="0" max="87" min="87" style="1" width="14"/>
    <col collapsed="false" customWidth="true" hidden="false" outlineLevel="0" max="88" min="88" style="1" width="16"/>
    <col collapsed="false" customWidth="true" hidden="false" outlineLevel="0" max="89" min="89" style="1" width="13"/>
    <col collapsed="false" customWidth="true" hidden="false" outlineLevel="0" max="90" min="90" style="1" width="24"/>
    <col collapsed="false" customWidth="true" hidden="false" outlineLevel="0" max="106" min="91" style="1" width="9"/>
  </cols>
  <sheetData>
    <row r="1" customFormat="false" ht="17.3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H3" s="4" t="s">
        <v>2</v>
      </c>
      <c r="Z3" s="4" t="s">
        <v>3</v>
      </c>
    </row>
    <row r="4" customFormat="false" ht="15" hidden="false" customHeight="false" outlineLevel="0" collapsed="false">
      <c r="B4" s="5" t="s">
        <v>4</v>
      </c>
      <c r="E4" s="6" t="n">
        <v>2026</v>
      </c>
      <c r="H4" s="7" t="s">
        <v>5</v>
      </c>
      <c r="L4" s="8" t="n">
        <f aca="false">BF46</f>
        <v>35034.0203820372</v>
      </c>
      <c r="N4" s="7" t="s">
        <v>6</v>
      </c>
      <c r="R4" s="8" t="n">
        <f aca="false">BH46</f>
        <v>29920.3161985978</v>
      </c>
      <c r="T4" s="7" t="s">
        <v>7</v>
      </c>
      <c r="X4" s="9" t="n">
        <f aca="false">IFERROR(AVERAGE(BW16:BW45),0)</f>
        <v>4.44392983681677</v>
      </c>
      <c r="Z4" s="7" t="s">
        <v>8</v>
      </c>
      <c r="AE4" s="10" t="n">
        <v>1</v>
      </c>
    </row>
    <row r="5" customFormat="false" ht="15" hidden="false" customHeight="false" outlineLevel="0" collapsed="false">
      <c r="B5" s="5" t="s">
        <v>9</v>
      </c>
      <c r="E5" s="6" t="n">
        <v>750</v>
      </c>
      <c r="H5" s="7" t="s">
        <v>10</v>
      </c>
      <c r="L5" s="8" t="n">
        <f aca="false">BG46</f>
        <v>5113.7041834394</v>
      </c>
      <c r="N5" s="7" t="s">
        <v>11</v>
      </c>
      <c r="R5" s="8" t="n">
        <f aca="false">BK46</f>
        <v>10076.5359477124</v>
      </c>
      <c r="T5" s="7" t="s">
        <v>12</v>
      </c>
      <c r="X5" s="9" t="n">
        <f aca="false">BW46</f>
        <v>2.5428655952297</v>
      </c>
      <c r="Z5" s="7" t="s">
        <v>13</v>
      </c>
      <c r="AE5" s="10" t="n">
        <v>1</v>
      </c>
    </row>
    <row r="6" customFormat="false" ht="15" hidden="false" customHeight="false" outlineLevel="0" collapsed="false">
      <c r="B6" s="5" t="s">
        <v>14</v>
      </c>
      <c r="E6" s="11" t="n">
        <f aca="false">10^(1-0.02*ScoreSGA/10)</f>
        <v>0.316227766016838</v>
      </c>
      <c r="H6" s="7" t="s">
        <v>15</v>
      </c>
      <c r="L6" s="8" t="n">
        <f aca="false">BH46</f>
        <v>29920.3161985978</v>
      </c>
      <c r="N6" s="7" t="s">
        <v>16</v>
      </c>
      <c r="R6" s="8" t="n">
        <f aca="false">BL46</f>
        <v>159189.54248366</v>
      </c>
      <c r="T6" s="7" t="s">
        <v>17</v>
      </c>
      <c r="X6" s="12" t="n">
        <f aca="false">CD46</f>
        <v>3.1383966542881</v>
      </c>
      <c r="Z6" s="7" t="s">
        <v>18</v>
      </c>
      <c r="AE6" s="10" t="n">
        <v>1</v>
      </c>
    </row>
    <row r="7" customFormat="false" ht="15" hidden="false" customHeight="false" outlineLevel="0" collapsed="false">
      <c r="B7" s="5" t="s">
        <v>19</v>
      </c>
      <c r="E7" s="6" t="n">
        <v>10</v>
      </c>
      <c r="H7" s="7" t="s">
        <v>20</v>
      </c>
      <c r="L7" s="13" t="n">
        <f aca="false">IFERROR(BH46/BF46,0)</f>
        <v>0.854036044745201</v>
      </c>
      <c r="N7" s="7" t="s">
        <v>21</v>
      </c>
      <c r="R7" s="8" t="n">
        <f aca="false">BQ46</f>
        <v>463190</v>
      </c>
      <c r="T7" s="7" t="s">
        <v>22</v>
      </c>
      <c r="X7" s="14" t="n">
        <f aca="false">CE46</f>
        <v>2.41639476236244</v>
      </c>
      <c r="Z7" s="7" t="s">
        <v>23</v>
      </c>
      <c r="AE7" s="10" t="n">
        <v>1</v>
      </c>
    </row>
    <row r="8" customFormat="false" ht="15" hidden="false" customHeight="false" outlineLevel="0" collapsed="false">
      <c r="B8" s="5" t="s">
        <v>24</v>
      </c>
      <c r="E8" s="15" t="s">
        <v>25</v>
      </c>
      <c r="H8" s="7" t="s">
        <v>26</v>
      </c>
      <c r="L8" s="16" t="n">
        <f aca="false">COUNTA(C16:C45)</f>
        <v>7</v>
      </c>
      <c r="N8" s="7" t="s">
        <v>27</v>
      </c>
      <c r="R8" s="17" t="n">
        <f aca="false">CG46</f>
        <v>116304.35517434</v>
      </c>
      <c r="T8" s="7" t="s">
        <v>28</v>
      </c>
      <c r="X8" s="14" t="n">
        <f aca="false">IFERROR(-LN(1-BQ46*AVERAGE(R16:R45)/BO46)/LN(1+AVERAGE(R16:R45)),"No recupera")</f>
        <v>2.90206546628289</v>
      </c>
      <c r="Z8" s="7" t="s">
        <v>29</v>
      </c>
      <c r="AE8" s="10" t="n">
        <v>1</v>
      </c>
    </row>
    <row r="9" customFormat="false" ht="15" hidden="false" customHeight="false" outlineLevel="0" collapsed="false">
      <c r="B9" s="5" t="s">
        <v>30</v>
      </c>
      <c r="E9" s="6" t="n">
        <v>2</v>
      </c>
      <c r="H9" s="7" t="s">
        <v>31</v>
      </c>
      <c r="L9" s="16" t="n">
        <f aca="false">COUNTIF(CK16:CK45,"ACEPTABLE")</f>
        <v>6</v>
      </c>
      <c r="N9" s="7" t="s">
        <v>32</v>
      </c>
      <c r="R9" s="17" t="n">
        <f aca="false">BX46</f>
        <v>714639.915054443</v>
      </c>
      <c r="T9" s="7" t="s">
        <v>33</v>
      </c>
      <c r="X9" s="16" t="n">
        <f aca="false">COUNTIF(BE16:BE45,"Excede")</f>
        <v>1</v>
      </c>
      <c r="Z9" s="7" t="s">
        <v>34</v>
      </c>
      <c r="AE9" s="10" t="n">
        <v>1</v>
      </c>
    </row>
    <row r="10" customFormat="false" ht="15" hidden="false" customHeight="false" outlineLevel="0" collapsed="false">
      <c r="B10" s="5" t="s">
        <v>35</v>
      </c>
      <c r="E10" s="18" t="n">
        <v>210</v>
      </c>
      <c r="H10" s="7" t="s">
        <v>36</v>
      </c>
      <c r="L10" s="8" t="n">
        <f aca="false">BM46</f>
        <v>435557.777777778</v>
      </c>
      <c r="N10" s="7" t="s">
        <v>37</v>
      </c>
      <c r="R10" s="17" t="n">
        <f aca="false">BZ46</f>
        <v>714639.915054443</v>
      </c>
      <c r="T10" s="7" t="s">
        <v>38</v>
      </c>
      <c r="X10" s="14" t="n">
        <f aca="false">IFERROR(MIN(AG16:AG45),"n/d")</f>
        <v>-19.9545454545454</v>
      </c>
      <c r="Z10" s="7" t="s">
        <v>39</v>
      </c>
      <c r="AE10" s="19" t="n">
        <f aca="false">FPrecio*FMargen*FDown</f>
        <v>1</v>
      </c>
    </row>
    <row r="11" customFormat="false" ht="15" hidden="false" customHeight="false" outlineLevel="0" collapsed="false">
      <c r="B11" s="5" t="s">
        <v>40</v>
      </c>
      <c r="E11" s="18" t="n">
        <v>40000</v>
      </c>
      <c r="H11" s="7" t="s">
        <v>41</v>
      </c>
      <c r="L11" s="8" t="n">
        <f aca="false">BN46</f>
        <v>266291.699346405</v>
      </c>
      <c r="N11" s="7" t="s">
        <v>42</v>
      </c>
      <c r="R11" s="8" t="n">
        <f aca="false">CH46</f>
        <v>2891582.88318722</v>
      </c>
      <c r="T11" s="7" t="s">
        <v>43</v>
      </c>
      <c r="X11" s="16" t="n">
        <f aca="false">COUNTIF(CL16:CL45,"RUL*")</f>
        <v>1</v>
      </c>
      <c r="Z11" s="7" t="s">
        <v>44</v>
      </c>
      <c r="AE11" s="20" t="n">
        <f aca="false">CA46</f>
        <v>530792.524348256</v>
      </c>
    </row>
    <row r="12" customFormat="false" ht="15" hidden="false" customHeight="false" outlineLevel="0" collapsed="false">
      <c r="H12" s="7" t="s">
        <v>45</v>
      </c>
      <c r="L12" s="8" t="n">
        <f aca="false">BM46-BN46</f>
        <v>169266.078431373</v>
      </c>
      <c r="N12" s="7" t="s">
        <v>46</v>
      </c>
      <c r="R12" s="8" t="n">
        <f aca="false">CI46</f>
        <v>2176942.96813278</v>
      </c>
      <c r="T12" s="7" t="s">
        <v>47</v>
      </c>
      <c r="X12" s="17" t="n">
        <f aca="false">CJ46</f>
        <v>-15032.6441190734</v>
      </c>
      <c r="Z12" s="7" t="s">
        <v>48</v>
      </c>
      <c r="AE12" s="21" t="n">
        <f aca="false">IFERROR(BP46*(1-(1+AVERAGE(R16:R45))^(-Horiz))/AVERAGE(R16:R45)/BQ46,0)</f>
        <v>2.14594987877168</v>
      </c>
    </row>
    <row r="13" customFormat="false" ht="15" hidden="false" customHeight="false" outlineLevel="0" collapsed="false">
      <c r="H13" s="7" t="s">
        <v>49</v>
      </c>
      <c r="L13" s="17" t="n">
        <f aca="false">BY46</f>
        <v>-288929.641245482</v>
      </c>
      <c r="N13" s="7" t="s">
        <v>50</v>
      </c>
      <c r="R13" s="9" t="n">
        <f aca="false">ROUND(CH46-CI46-BX46,2)</f>
        <v>0</v>
      </c>
      <c r="T13" s="7" t="s">
        <v>51</v>
      </c>
      <c r="X13" s="16" t="n">
        <f aca="false">COUNTIF(CJ16:CJ45,"&lt;0")</f>
        <v>3</v>
      </c>
      <c r="Z13" s="7" t="s">
        <v>52</v>
      </c>
      <c r="AE13" s="22" t="n">
        <f aca="false">IF(BP46&gt;0,BQ46/BP46,"No recupera")</f>
        <v>2.8633320686976</v>
      </c>
    </row>
    <row r="14" customFormat="false" ht="15" hidden="false" customHeight="false" outlineLevel="0" collapsed="false">
      <c r="A14" s="23" t="s">
        <v>53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B14" s="25" t="s">
        <v>54</v>
      </c>
      <c r="AC14" s="26"/>
      <c r="AD14" s="26"/>
      <c r="AE14" s="26"/>
      <c r="AF14" s="27" t="s">
        <v>55</v>
      </c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5" t="s">
        <v>56</v>
      </c>
      <c r="AY14" s="26"/>
      <c r="AZ14" s="26"/>
      <c r="BA14" s="26"/>
      <c r="BB14" s="26"/>
      <c r="BC14" s="26"/>
      <c r="BD14" s="26"/>
      <c r="BE14" s="26"/>
      <c r="BF14" s="29" t="s">
        <v>57</v>
      </c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1" t="s">
        <v>58</v>
      </c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32"/>
      <c r="CY14" s="32"/>
      <c r="CZ14" s="32"/>
      <c r="DA14" s="32"/>
      <c r="DB14" s="32"/>
    </row>
    <row r="15" customFormat="false" ht="61.5" hidden="false" customHeight="true" outlineLevel="0" collapsed="false">
      <c r="A15" s="33" t="s">
        <v>59</v>
      </c>
      <c r="B15" s="33" t="s">
        <v>60</v>
      </c>
      <c r="C15" s="33" t="s">
        <v>61</v>
      </c>
      <c r="D15" s="33" t="s">
        <v>62</v>
      </c>
      <c r="E15" s="33" t="s">
        <v>63</v>
      </c>
      <c r="F15" s="33" t="s">
        <v>64</v>
      </c>
      <c r="G15" s="33" t="s">
        <v>65</v>
      </c>
      <c r="H15" s="33" t="s">
        <v>66</v>
      </c>
      <c r="I15" s="33" t="s">
        <v>67</v>
      </c>
      <c r="J15" s="33" t="s">
        <v>68</v>
      </c>
      <c r="K15" s="33" t="s">
        <v>69</v>
      </c>
      <c r="L15" s="33" t="s">
        <v>70</v>
      </c>
      <c r="M15" s="33" t="s">
        <v>71</v>
      </c>
      <c r="N15" s="33" t="s">
        <v>72</v>
      </c>
      <c r="O15" s="33" t="s">
        <v>73</v>
      </c>
      <c r="P15" s="33" t="s">
        <v>74</v>
      </c>
      <c r="Q15" s="33" t="s">
        <v>75</v>
      </c>
      <c r="R15" s="33" t="s">
        <v>76</v>
      </c>
      <c r="S15" s="33" t="s">
        <v>77</v>
      </c>
      <c r="T15" s="33" t="s">
        <v>78</v>
      </c>
      <c r="U15" s="33" t="s">
        <v>79</v>
      </c>
      <c r="V15" s="33" t="s">
        <v>80</v>
      </c>
      <c r="W15" s="33" t="s">
        <v>81</v>
      </c>
      <c r="X15" s="33" t="s">
        <v>82</v>
      </c>
      <c r="Y15" s="33" t="s">
        <v>83</v>
      </c>
      <c r="Z15" s="33" t="s">
        <v>84</v>
      </c>
      <c r="AA15" s="33" t="s">
        <v>85</v>
      </c>
      <c r="AB15" s="34" t="s">
        <v>86</v>
      </c>
      <c r="AC15" s="34" t="s">
        <v>87</v>
      </c>
      <c r="AD15" s="34" t="s">
        <v>88</v>
      </c>
      <c r="AE15" s="34" t="s">
        <v>89</v>
      </c>
      <c r="AF15" s="35" t="s">
        <v>90</v>
      </c>
      <c r="AG15" s="35" t="s">
        <v>91</v>
      </c>
      <c r="AH15" s="35" t="s">
        <v>92</v>
      </c>
      <c r="AI15" s="35" t="s">
        <v>93</v>
      </c>
      <c r="AJ15" s="35" t="s">
        <v>94</v>
      </c>
      <c r="AK15" s="35" t="s">
        <v>95</v>
      </c>
      <c r="AL15" s="35" t="s">
        <v>96</v>
      </c>
      <c r="AM15" s="35" t="s">
        <v>97</v>
      </c>
      <c r="AN15" s="35" t="s">
        <v>98</v>
      </c>
      <c r="AO15" s="35" t="s">
        <v>99</v>
      </c>
      <c r="AP15" s="35" t="s">
        <v>100</v>
      </c>
      <c r="AQ15" s="35" t="s">
        <v>101</v>
      </c>
      <c r="AR15" s="35" t="s">
        <v>102</v>
      </c>
      <c r="AS15" s="35" t="s">
        <v>103</v>
      </c>
      <c r="AT15" s="35" t="s">
        <v>104</v>
      </c>
      <c r="AU15" s="35" t="s">
        <v>105</v>
      </c>
      <c r="AV15" s="35" t="s">
        <v>106</v>
      </c>
      <c r="AW15" s="35" t="s">
        <v>107</v>
      </c>
      <c r="AX15" s="34" t="s">
        <v>108</v>
      </c>
      <c r="AY15" s="34" t="s">
        <v>109</v>
      </c>
      <c r="AZ15" s="34" t="s">
        <v>110</v>
      </c>
      <c r="BA15" s="34" t="s">
        <v>111</v>
      </c>
      <c r="BB15" s="34" t="s">
        <v>112</v>
      </c>
      <c r="BC15" s="34" t="s">
        <v>113</v>
      </c>
      <c r="BD15" s="34" t="s">
        <v>114</v>
      </c>
      <c r="BE15" s="34" t="s">
        <v>115</v>
      </c>
      <c r="BF15" s="36" t="s">
        <v>116</v>
      </c>
      <c r="BG15" s="36" t="s">
        <v>117</v>
      </c>
      <c r="BH15" s="36" t="s">
        <v>118</v>
      </c>
      <c r="BI15" s="36" t="s">
        <v>119</v>
      </c>
      <c r="BJ15" s="36" t="s">
        <v>120</v>
      </c>
      <c r="BK15" s="36" t="s">
        <v>121</v>
      </c>
      <c r="BL15" s="36" t="s">
        <v>122</v>
      </c>
      <c r="BM15" s="36" t="s">
        <v>123</v>
      </c>
      <c r="BN15" s="36" t="s">
        <v>124</v>
      </c>
      <c r="BO15" s="36" t="s">
        <v>125</v>
      </c>
      <c r="BP15" s="36" t="s">
        <v>126</v>
      </c>
      <c r="BQ15" s="36" t="s">
        <v>127</v>
      </c>
      <c r="BR15" s="36" t="s">
        <v>128</v>
      </c>
      <c r="BS15" s="36" t="s">
        <v>129</v>
      </c>
      <c r="BT15" s="36" t="s">
        <v>130</v>
      </c>
      <c r="BU15" s="36" t="s">
        <v>131</v>
      </c>
      <c r="BV15" s="36" t="s">
        <v>132</v>
      </c>
      <c r="BW15" s="36" t="s">
        <v>133</v>
      </c>
      <c r="BX15" s="36" t="s">
        <v>134</v>
      </c>
      <c r="BY15" s="36" t="s">
        <v>49</v>
      </c>
      <c r="BZ15" s="36" t="s">
        <v>37</v>
      </c>
      <c r="CA15" s="36" t="s">
        <v>135</v>
      </c>
      <c r="CB15" s="36" t="s">
        <v>136</v>
      </c>
      <c r="CC15" s="36" t="s">
        <v>137</v>
      </c>
      <c r="CD15" s="36" t="s">
        <v>138</v>
      </c>
      <c r="CE15" s="36" t="s">
        <v>139</v>
      </c>
      <c r="CF15" s="36" t="s">
        <v>140</v>
      </c>
      <c r="CG15" s="36" t="s">
        <v>27</v>
      </c>
      <c r="CH15" s="36" t="s">
        <v>141</v>
      </c>
      <c r="CI15" s="36" t="s">
        <v>142</v>
      </c>
      <c r="CJ15" s="36" t="s">
        <v>143</v>
      </c>
      <c r="CK15" s="36" t="s">
        <v>144</v>
      </c>
      <c r="CL15" s="36" t="s">
        <v>145</v>
      </c>
      <c r="CM15" s="37" t="n">
        <v>0</v>
      </c>
      <c r="CN15" s="37" t="n">
        <v>1</v>
      </c>
      <c r="CO15" s="37" t="n">
        <v>2</v>
      </c>
      <c r="CP15" s="37" t="n">
        <v>3</v>
      </c>
      <c r="CQ15" s="37" t="n">
        <v>4</v>
      </c>
      <c r="CR15" s="37" t="n">
        <v>5</v>
      </c>
      <c r="CS15" s="37" t="n">
        <v>6</v>
      </c>
      <c r="CT15" s="37" t="n">
        <v>7</v>
      </c>
      <c r="CU15" s="37" t="n">
        <v>8</v>
      </c>
      <c r="CV15" s="37" t="n">
        <v>9</v>
      </c>
      <c r="CW15" s="37" t="n">
        <v>10</v>
      </c>
      <c r="CX15" s="37" t="n">
        <v>11</v>
      </c>
      <c r="CY15" s="37" t="n">
        <v>12</v>
      </c>
      <c r="CZ15" s="37" t="n">
        <v>13</v>
      </c>
      <c r="DA15" s="37" t="n">
        <v>14</v>
      </c>
      <c r="DB15" s="37" t="n">
        <v>15</v>
      </c>
    </row>
    <row r="16" customFormat="false" ht="15" hidden="false" customHeight="false" outlineLevel="0" collapsed="false">
      <c r="A16" s="38" t="n">
        <v>1</v>
      </c>
      <c r="B16" s="39" t="s">
        <v>146</v>
      </c>
      <c r="C16" s="40" t="s">
        <v>147</v>
      </c>
      <c r="D16" s="39" t="s">
        <v>148</v>
      </c>
      <c r="E16" s="39" t="s">
        <v>149</v>
      </c>
      <c r="F16" s="41" t="n">
        <v>114</v>
      </c>
      <c r="G16" s="41" t="n">
        <v>120</v>
      </c>
      <c r="H16" s="42" t="n">
        <v>8.3</v>
      </c>
      <c r="I16" s="43" t="n">
        <v>0.132</v>
      </c>
      <c r="J16" s="44" t="n">
        <v>8.03</v>
      </c>
      <c r="K16" s="41" t="n">
        <v>2004</v>
      </c>
      <c r="L16" s="39" t="s">
        <v>150</v>
      </c>
      <c r="M16" s="40"/>
      <c r="N16" s="45"/>
      <c r="O16" s="46" t="n">
        <f aca="false">FC_CALC</f>
        <v>450000</v>
      </c>
      <c r="P16" s="47" t="n">
        <v>0.27</v>
      </c>
      <c r="Q16" s="46" t="n">
        <v>720</v>
      </c>
      <c r="R16" s="48" t="n">
        <v>0.1</v>
      </c>
      <c r="S16" s="40" t="s">
        <v>151</v>
      </c>
      <c r="T16" s="41" t="n">
        <v>1</v>
      </c>
      <c r="U16" s="40" t="s">
        <v>152</v>
      </c>
      <c r="V16" s="40" t="s">
        <v>153</v>
      </c>
      <c r="W16" s="46"/>
      <c r="X16" s="41" t="n">
        <v>9</v>
      </c>
      <c r="Y16" s="41" t="n">
        <v>17</v>
      </c>
      <c r="Z16" s="46" t="n">
        <v>10000</v>
      </c>
      <c r="AA16" s="46"/>
      <c r="AB16" s="41" t="n">
        <v>4</v>
      </c>
      <c r="AC16" s="40" t="s">
        <v>154</v>
      </c>
      <c r="AD16" s="41" t="n">
        <v>1</v>
      </c>
      <c r="AE16" s="40" t="s">
        <v>154</v>
      </c>
      <c r="AF16" s="49" t="n">
        <f aca="false">IF($C16="","",AnioEval-K16)</f>
        <v>22</v>
      </c>
      <c r="AG16" s="50" t="n">
        <f aca="false">IF($C16="","",IF(AND(ISNUMBER(J16),I16&gt;0),(H16-J16)/(I16*SensCR)-AF16,"n/d"))</f>
        <v>-19.9545454545454</v>
      </c>
      <c r="AH16" s="51" t="n">
        <f aca="false">IF($C16="","",IFERROR(I16*SensCR*AF16/H16,0))</f>
        <v>0.349879518072289</v>
      </c>
      <c r="AI16" s="52" t="n">
        <f aca="false">IF($C16="","",IF(INDEX(MecTipo,MATCH(L16,MecList,0))="F",IFERROR(INDEX(SusDF,MATCH(M16,SusList,0)),1),LOOKUP(AH16,ArtLim,ArtDF)))</f>
        <v>250</v>
      </c>
      <c r="AJ16" s="52" t="n">
        <f aca="false">IF($C16="","",IF(ISNUMBER(N16),N16,AI16))</f>
        <v>250</v>
      </c>
      <c r="AK16" s="53" t="n">
        <f aca="false">IF($C16="","",INDEX(GFFval,MATCH(D16,GFFtipo,0)))</f>
        <v>3.06E-005</v>
      </c>
      <c r="AL16" s="54" t="n">
        <f aca="false">IF($C16="","",O16*((1-N(P16))+N(P16)*Kpd))</f>
        <v>450000</v>
      </c>
      <c r="AM16" s="53" t="n">
        <f aca="false">IF($C16="","",AK16*AJ16*FMS)</f>
        <v>0.00241914241002881</v>
      </c>
      <c r="AN16" s="54" t="n">
        <f aca="false">IF($C16="","",AM16*AL16)</f>
        <v>1088.61408451296</v>
      </c>
      <c r="AO16" s="55" t="str">
        <f aca="false">IF($C16="","",IF(N(T16)=0,"No requerido",IF(AND(U16="Apto",V16="Pasa"),"APTO/PASA",IF(AND(U16="Apto con limitaciones",V16="Pasa"),"APTO CON LIMITACIONES",IF(U16="No apto","NO APTO/REPARAR","REVISAR")))))</f>
        <v>APTO/PASA</v>
      </c>
      <c r="AP16" s="54" t="n">
        <f aca="false">IF($C16="","",AK16*FMS*IF(AO16="NO APTO/REPARAR",1,MAX(1,AJ16*INDEX(EffRet,1)*INDEX(FFSfac,MATCH(AO16,FFSlist,0))))*AL16)</f>
        <v>5.44307042256482</v>
      </c>
      <c r="AQ16" s="54" t="n">
        <f aca="false">IF($C16="","",AK16*FMS*IF(AO16="NO APTO/REPARAR",1,MAX(1,AJ16*INDEX(EffRet,2)*INDEX(FFSfac,MATCH(AO16,FFSlist,0))))*AL16)</f>
        <v>16.3292112676945</v>
      </c>
      <c r="AR16" s="54" t="n">
        <f aca="false">IF($C16="","",AK16*FMS*IF(AO16="NO APTO/REPARAR",1,MAX(1,AJ16*INDEX(EffRet,3)*INDEX(FFSfac,MATCH(AO16,FFSlist,0))))*AL16)</f>
        <v>27.2153521128241</v>
      </c>
      <c r="AS16" s="54" t="n">
        <f aca="false">IF($C16="","",AK16*FMS*IF(AO16="NO APTO/REPARAR",1,MAX(1,AJ16*INDEX(EffRet,4)*INDEX(FFSfac,MATCH(AO16,FFSlist,0))))*AL16)</f>
        <v>38.1014929579538</v>
      </c>
      <c r="AT16" s="54" t="n">
        <f aca="false">IF($C16="","",IFERROR(Q16*FInsp/INDEX(CostRel,MATCH(S16,EffList,0)),0))</f>
        <v>720</v>
      </c>
      <c r="AU16" s="52" t="n">
        <f aca="false">IF($C16="","",IF(AO16="NO APTO/REPARAR",1,MAX(1,AJ16*INDEX(EffRet,MATCH(S16,EffList,0))*INDEX(FFSfac,MATCH(AO16,FFSlist,0)))))</f>
        <v>1.25</v>
      </c>
      <c r="AV16" s="53" t="n">
        <f aca="false">IF($C16="","",AK16*AU16*FMS)</f>
        <v>1.2095712050144E-005</v>
      </c>
      <c r="AW16" s="54" t="n">
        <f aca="false">IF($C16="","",AV16*AL16)</f>
        <v>5.44307042256482</v>
      </c>
      <c r="AX16" s="54" t="n">
        <f aca="false">IF($C16="","",IFERROR(AK16*FMS*INDEX(DFrep,AB16)*INDEX(FCrep,MATCH(AC16,CatLet,0)),AN16))</f>
        <v>966.263537983348</v>
      </c>
      <c r="AY16" s="54" t="n">
        <f aca="false">IF($C16="","",IFERROR(AK16*FMS*INDEX(DFrep,AD16)*INDEX(FCrep,MATCH(AE16,CatLet,0)),AW16))</f>
        <v>3.05779600627642</v>
      </c>
      <c r="AZ16" s="56" t="str">
        <f aca="false">IF($C16="","",(1+SUMPRODUCT(--(AJ16&gt;PcutDF)))&amp;CHOOSE(1+SUMPRODUCT(--(AL16&gt;CcutFC)),"A","B","C","D","E"))</f>
        <v>4C</v>
      </c>
      <c r="BA16" s="56" t="str">
        <f aca="false">IF($C16="","",(1+SUMPRODUCT(--(AU16&gt;PcutDF)))&amp;CHOOSE(1+SUMPRODUCT(--(AL16&gt;CcutFC)),"A","B","C","D","E"))</f>
        <v>1C</v>
      </c>
      <c r="BB16" s="56" t="str">
        <f aca="false">IF($C16="","",IF(AND(AB16&amp;AC16=AZ16,AD16&amp;AE16=BA16),"OK","REVISAR"))</f>
        <v>OK</v>
      </c>
      <c r="BC16" s="49" t="n">
        <f aca="false">IF($C16="","",IFERROR(INDEX(RAMlev,AB16,MATCH(AC16,CatLet,0)),""))</f>
        <v>3</v>
      </c>
      <c r="BD16" s="49" t="n">
        <f aca="false">IF($C16="","",IFERROR(INDEX(RAMlev,AD16,MATCH(AE16,CatLet,0)),""))</f>
        <v>1</v>
      </c>
      <c r="BE16" s="56" t="str">
        <f aca="false">IF($C16="","",IF(BD16="","",IF(BD16&lt;=ObjNivel,"Cumple","Excede")))</f>
        <v>Cumple</v>
      </c>
      <c r="BF16" s="54" t="n">
        <f aca="false">IF($C16="","",IF(Base="RAM",AX16,AN16))</f>
        <v>1088.61408451296</v>
      </c>
      <c r="BG16" s="54" t="n">
        <f aca="false">IF($C16="","",IF(Base="RAM",AY16,AW16))</f>
        <v>5.44307042256482</v>
      </c>
      <c r="BH16" s="54" t="n">
        <f aca="false">IF($C16="","",BF16-BG16)</f>
        <v>1083.1710140904</v>
      </c>
      <c r="BI16" s="54" t="n">
        <f aca="false">IF($C16="","",BH16*N(P16)*Kpd/((1-N(P16))+N(P16)*Kpd))</f>
        <v>292.456173804408</v>
      </c>
      <c r="BJ16" s="54" t="n">
        <f aca="false">IF($C16="","",BH16-BI16)</f>
        <v>790.714840285992</v>
      </c>
      <c r="BK16" s="54" t="n">
        <f aca="false">IF($C16="","",IFERROR(Q16*FInsp*(1/X16-1/Y16),0))</f>
        <v>37.6470588235294</v>
      </c>
      <c r="BL16" s="54" t="n">
        <f aca="false">IF($C16="","",IFERROR(Z16*Kpd*(1/X16-1/Y16),0))</f>
        <v>522.875816993464</v>
      </c>
      <c r="BM16" s="54" t="n">
        <f aca="false">IF($C16="","",IFERROR((Q16*FInsp+Z16*Kpd)/X16,0))</f>
        <v>1191.11111111111</v>
      </c>
      <c r="BN16" s="54" t="n">
        <f aca="false">IF($C16="","",IFERROR((Q16*FInsp+Z16*Kpd)/Y16,0))</f>
        <v>630.588235294118</v>
      </c>
      <c r="BO16" s="54" t="n">
        <f aca="false">IF($C16="","",BH16+BK16+BL16-N(AA16))</f>
        <v>1643.69388990739</v>
      </c>
      <c r="BP16" s="57" t="n">
        <f aca="false">IF($C16="","",BK16+BL16-N(AA16))</f>
        <v>560.522875816993</v>
      </c>
      <c r="BQ16" s="54" t="n">
        <f aca="false">IF($C16="","",BR16+BS16+BT16)</f>
        <v>3930</v>
      </c>
      <c r="BR16" s="54" t="n">
        <f aca="false">IF($C16="","",Q16*FInsp)</f>
        <v>720</v>
      </c>
      <c r="BS16" s="54" t="n">
        <f aca="false">IF($C16="","",INDEX(FFScost,N(T16)+1)+RBIimpl)</f>
        <v>3210</v>
      </c>
      <c r="BT16" s="54" t="n">
        <f aca="false">IF($C16="","",IF(OR(AO16="NO APTO/REPARAR",AO16="APTO CON LIMITACIONES"),N(W16)*FRep,0))</f>
        <v>0</v>
      </c>
      <c r="BU16" s="51" t="n">
        <f aca="false">IF($C16="","",IF(R16=0,Horiz,(1-(1+R16)^(-Horiz))/R16))</f>
        <v>6.14456710570469</v>
      </c>
      <c r="BV16" s="54" t="n">
        <f aca="false">IF($C16="","",BO16*BU16)</f>
        <v>10099.7874077727</v>
      </c>
      <c r="BW16" s="58" t="n">
        <f aca="false">IF($C16="","",IFERROR(BV16/BQ16,0))</f>
        <v>2.56992045999306</v>
      </c>
      <c r="BX16" s="57" t="n">
        <f aca="false">IF($C16="","",BV16-BQ16)</f>
        <v>6169.78740777275</v>
      </c>
      <c r="BY16" s="57" t="n">
        <f aca="false">IF($C16="","",BO16*IF(R16=0,1,1/(1+R16))-BQ16)</f>
        <v>-2435.73282735692</v>
      </c>
      <c r="BZ16" s="57" t="n">
        <f aca="false">IF($C16="","",BO16*IF(R16=0,10,(1-(1+R16)^(-10))/R16)-BQ16)</f>
        <v>6169.78740777275</v>
      </c>
      <c r="CA16" s="57" t="n">
        <f aca="false">IF($C16="","",BP16*BU16-BQ16)</f>
        <v>-485.82957525991</v>
      </c>
      <c r="CB16" s="58" t="n">
        <f aca="false">IF($C16="","",IFERROR(BP16*BU16/BQ16,0))</f>
        <v>0.87637924293641</v>
      </c>
      <c r="CC16" s="50" t="n">
        <f aca="false">IF($C16="","",IF(BP16&gt;0,BQ16/BP16,"No recupera"))</f>
        <v>7.01131063432836</v>
      </c>
      <c r="CD16" s="59" t="n">
        <f aca="false">IF($C16="","",IFERROR((Horiz*BO16-BQ16)/BQ16,0))</f>
        <v>3.18242720078217</v>
      </c>
      <c r="CE16" s="50" t="n">
        <f aca="false">IF($C16="","",IF(BO16&gt;0,BQ16/BO16,"No recupera"))</f>
        <v>2.39095614100106</v>
      </c>
      <c r="CF16" s="50" t="n">
        <f aca="false">IF($C16="","",IF(BO16&lt;=0,"No recupera",IF(R16=0,BQ16/BO16,IFERROR(-LN(1-BQ16*R16/BO16)/LN(1+R16),"No recupera"))))</f>
        <v>2.86692955864995</v>
      </c>
      <c r="CG16" s="57" t="n">
        <f aca="false">IF($C16="","",BO16-BQ16/BU16)</f>
        <v>1004.10448801912</v>
      </c>
      <c r="CH16" s="54" t="n">
        <f aca="false">IF($C16="","",(BM16+BF16)*BU16)</f>
        <v>14007.9244470779</v>
      </c>
      <c r="CI16" s="54" t="n">
        <f aca="false">IF($C16="","",(BN16+BG16+N(AA16))*BU16+BQ16)</f>
        <v>7838.13703930513</v>
      </c>
      <c r="CJ16" s="57" t="n">
        <f aca="false">IF($C16="","",IF(OR(N(T16)=0,AO16="NO APTO/REPARAR",AO16="REVISAR"),"n/a",(AK16*FMS*MAX(1,AJ16*INDEX(EffRet,MATCH(S16,EffList,0)))*AL16-AW16)*BU16-INDEX(FFScost,N(T16)+1)-BT16))</f>
        <v>-2364.53908202201</v>
      </c>
      <c r="CK16" s="55" t="str">
        <f aca="false">IF($C16="","",IF(BW16&gt;1,"ACEPTABLE","NO ACEPTABLE"))</f>
        <v>ACEPTABLE</v>
      </c>
      <c r="CL16" s="60" t="str">
        <f aca="false">IF($C16="","",IF(ISNUMBER(AG16),IF(AG16&lt;0,IF(LEFT(AO16,4)="APTO","RUL&lt;0 con FFS apto: verificar","RUL&lt;0"),""),""))</f>
        <v>RUL&lt;0 con FFS apto: verificar</v>
      </c>
      <c r="CM16" s="57" t="n">
        <f aca="false">IF($C16="","",-$BQ16+IF($R16=0,$BO16*MIN(CM$15,Horiz),$BO16*(1-(1+$R16)^(-MIN(CM$15,Horiz)))/$R16))</f>
        <v>-3930</v>
      </c>
      <c r="CN16" s="57" t="n">
        <f aca="false">IF($C16="","",-$BQ16+IF($R16=0,$BO16*MIN(CN$15,Horiz),$BO16*(1-(1+$R16)^(-MIN(CN$15,Horiz)))/$R16))</f>
        <v>-2435.73282735692</v>
      </c>
      <c r="CO16" s="57" t="n">
        <f aca="false">IF($C16="","",-$BQ16+IF($R16=0,$BO16*MIN(CO$15,Horiz),$BO16*(1-(1+$R16)^(-MIN(CO$15,Horiz)))/$R16))</f>
        <v>-1077.30812495411</v>
      </c>
      <c r="CP16" s="57" t="n">
        <f aca="false">IF($C16="","",-$BQ16+IF($R16=0,$BO16*MIN(CP$15,Horiz),$BO16*(1-(1+$R16)^(-MIN(CP$15,Horiz)))/$R16))</f>
        <v>157.623422684805</v>
      </c>
      <c r="CQ16" s="57" t="n">
        <f aca="false">IF($C16="","",-$BQ16+IF($R16=0,$BO16*MIN(CQ$15,Horiz),$BO16*(1-(1+$R16)^(-MIN(CQ$15,Horiz)))/$R16))</f>
        <v>1280.28846599291</v>
      </c>
      <c r="CR16" s="57" t="n">
        <f aca="false">IF($C16="","",-$BQ16+IF($R16=0,$BO16*MIN(CR$15,Horiz),$BO16*(1-(1+$R16)^(-MIN(CR$15,Horiz)))/$R16))</f>
        <v>2300.89305081846</v>
      </c>
      <c r="CS16" s="57" t="n">
        <f aca="false">IF($C16="","",-$BQ16+IF($R16=0,$BO16*MIN(CS$15,Horiz),$BO16*(1-(1+$R16)^(-MIN(CS$15,Horiz)))/$R16))</f>
        <v>3228.71540065986</v>
      </c>
      <c r="CT16" s="57" t="n">
        <f aca="false">IF($C16="","",-$BQ16+IF($R16=0,$BO16*MIN(CT$15,Horiz),$BO16*(1-(1+$R16)^(-MIN(CT$15,Horiz)))/$R16))</f>
        <v>4072.19026415205</v>
      </c>
      <c r="CU16" s="57" t="n">
        <f aca="false">IF($C16="","",-$BQ16+IF($R16=0,$BO16*MIN(CU$15,Horiz),$BO16*(1-(1+$R16)^(-MIN(CU$15,Horiz)))/$R16))</f>
        <v>4838.9855945995</v>
      </c>
      <c r="CV16" s="57" t="n">
        <f aca="false">IF($C16="","",-$BQ16+IF($R16=0,$BO16*MIN(CV$15,Horiz),$BO16*(1-(1+$R16)^(-MIN(CV$15,Horiz)))/$R16))</f>
        <v>5536.07225864263</v>
      </c>
      <c r="CW16" s="57" t="n">
        <f aca="false">IF($C16="","",-$BQ16+IF($R16=0,$BO16*MIN(CW$15,Horiz),$BO16*(1-(1+$R16)^(-MIN(CW$15,Horiz)))/$R16))</f>
        <v>6169.78740777275</v>
      </c>
      <c r="CX16" s="57" t="n">
        <f aca="false">IF($C16="","",-$BQ16+IF($R16=0,$BO16*MIN(CX$15,Horiz),$BO16*(1-(1+$R16)^(-MIN(CX$15,Horiz)))/$R16))</f>
        <v>6169.78740777275</v>
      </c>
      <c r="CY16" s="57" t="n">
        <f aca="false">IF($C16="","",-$BQ16+IF($R16=0,$BO16*MIN(CY$15,Horiz),$BO16*(1-(1+$R16)^(-MIN(CY$15,Horiz)))/$R16))</f>
        <v>6169.78740777275</v>
      </c>
      <c r="CZ16" s="57" t="n">
        <f aca="false">IF($C16="","",-$BQ16+IF($R16=0,$BO16*MIN(CZ$15,Horiz),$BO16*(1-(1+$R16)^(-MIN(CZ$15,Horiz)))/$R16))</f>
        <v>6169.78740777275</v>
      </c>
      <c r="DA16" s="57" t="n">
        <f aca="false">IF($C16="","",-$BQ16+IF($R16=0,$BO16*MIN(DA$15,Horiz),$BO16*(1-(1+$R16)^(-MIN(DA$15,Horiz)))/$R16))</f>
        <v>6169.78740777275</v>
      </c>
      <c r="DB16" s="57" t="n">
        <f aca="false">IF($C16="","",-$BQ16+IF($R16=0,$BO16*MIN(DB$15,Horiz),$BO16*(1-(1+$R16)^(-MIN(DB$15,Horiz)))/$R16))</f>
        <v>6169.78740777275</v>
      </c>
    </row>
    <row r="17" customFormat="false" ht="15" hidden="false" customHeight="false" outlineLevel="0" collapsed="false">
      <c r="A17" s="38" t="n">
        <v>2</v>
      </c>
      <c r="B17" s="39" t="s">
        <v>155</v>
      </c>
      <c r="C17" s="40" t="s">
        <v>156</v>
      </c>
      <c r="D17" s="39" t="s">
        <v>157</v>
      </c>
      <c r="E17" s="39" t="s">
        <v>158</v>
      </c>
      <c r="F17" s="41" t="n">
        <v>65</v>
      </c>
      <c r="G17" s="41" t="n">
        <v>380</v>
      </c>
      <c r="H17" s="42" t="n">
        <v>62</v>
      </c>
      <c r="I17" s="43" t="n">
        <v>0.08</v>
      </c>
      <c r="J17" s="44" t="n">
        <v>50</v>
      </c>
      <c r="K17" s="41" t="n">
        <v>2019</v>
      </c>
      <c r="L17" s="39" t="s">
        <v>159</v>
      </c>
      <c r="M17" s="40" t="s">
        <v>160</v>
      </c>
      <c r="N17" s="45"/>
      <c r="O17" s="46" t="n">
        <v>12000000</v>
      </c>
      <c r="P17" s="47" t="n">
        <v>0.6</v>
      </c>
      <c r="Q17" s="46" t="n">
        <v>45000</v>
      </c>
      <c r="R17" s="48" t="n">
        <v>0.1</v>
      </c>
      <c r="S17" s="40" t="s">
        <v>161</v>
      </c>
      <c r="T17" s="41" t="n">
        <v>2</v>
      </c>
      <c r="U17" s="40" t="s">
        <v>152</v>
      </c>
      <c r="V17" s="40" t="s">
        <v>153</v>
      </c>
      <c r="W17" s="46"/>
      <c r="X17" s="41" t="n">
        <v>6</v>
      </c>
      <c r="Y17" s="41" t="n">
        <v>12</v>
      </c>
      <c r="Z17" s="46" t="n">
        <v>800000</v>
      </c>
      <c r="AA17" s="46" t="n">
        <v>3000</v>
      </c>
      <c r="AB17" s="41" t="n">
        <v>3</v>
      </c>
      <c r="AC17" s="40" t="s">
        <v>162</v>
      </c>
      <c r="AD17" s="41" t="n">
        <v>1</v>
      </c>
      <c r="AE17" s="40" t="s">
        <v>162</v>
      </c>
      <c r="AF17" s="49" t="n">
        <f aca="false">IF($C17="","",AnioEval-K17)</f>
        <v>7</v>
      </c>
      <c r="AG17" s="50" t="n">
        <f aca="false">IF($C17="","",IF(AND(ISNUMBER(J17),I17&gt;0),(H17-J17)/(I17*SensCR)-AF17,"n/d"))</f>
        <v>143</v>
      </c>
      <c r="AH17" s="51" t="n">
        <f aca="false">IF($C17="","",IFERROR(I17*SensCR*AF17/H17,0))</f>
        <v>0.00903225806451613</v>
      </c>
      <c r="AI17" s="52" t="n">
        <f aca="false">IF($C17="","",IF(INDEX(MecTipo,MATCH(L17,MecList,0))="F",IFERROR(INDEX(SusDF,MATCH(M17,SusList,0)),1),LOOKUP(AH17,ArtLim,ArtDF)))</f>
        <v>100</v>
      </c>
      <c r="AJ17" s="52" t="n">
        <f aca="false">IF($C17="","",IF(ISNUMBER(N17),N17,AI17))</f>
        <v>100</v>
      </c>
      <c r="AK17" s="53" t="n">
        <f aca="false">IF($C17="","",INDEX(GFFval,MATCH(D17,GFFtipo,0)))</f>
        <v>3.06E-005</v>
      </c>
      <c r="AL17" s="54" t="n">
        <f aca="false">IF($C17="","",O17*((1-N(P17))+N(P17)*Kpd))</f>
        <v>12000000</v>
      </c>
      <c r="AM17" s="53" t="n">
        <f aca="false">IF($C17="","",AK17*AJ17*FMS)</f>
        <v>0.000967656964011524</v>
      </c>
      <c r="AN17" s="54" t="n">
        <f aca="false">IF($C17="","",AM17*AL17)</f>
        <v>11611.8835681383</v>
      </c>
      <c r="AO17" s="55" t="str">
        <f aca="false">IF($C17="","",IF(N(T17)=0,"No requerido",IF(AND(U17="Apto",V17="Pasa"),"APTO/PASA",IF(AND(U17="Apto con limitaciones",V17="Pasa"),"APTO CON LIMITACIONES",IF(U17="No apto","NO APTO/REPARAR","REVISAR")))))</f>
        <v>APTO/PASA</v>
      </c>
      <c r="AP17" s="54" t="n">
        <f aca="false">IF($C17="","",AK17*FMS*IF(AO17="NO APTO/REPARAR",1,MAX(1,AJ17*INDEX(EffRet,1)*INDEX(FFSfac,MATCH(AO17,FFSlist,0))))*AL17)</f>
        <v>116.118835681383</v>
      </c>
      <c r="AQ17" s="54" t="n">
        <f aca="false">IF($C17="","",AK17*FMS*IF(AO17="NO APTO/REPARAR",1,MAX(1,AJ17*INDEX(EffRet,2)*INDEX(FFSfac,MATCH(AO17,FFSlist,0))))*AL17)</f>
        <v>174.178253522074</v>
      </c>
      <c r="AR17" s="54" t="n">
        <f aca="false">IF($C17="","",AK17*FMS*IF(AO17="NO APTO/REPARAR",1,MAX(1,AJ17*INDEX(EffRet,3)*INDEX(FFSfac,MATCH(AO17,FFSlist,0))))*AL17)</f>
        <v>290.297089203457</v>
      </c>
      <c r="AS17" s="54" t="n">
        <f aca="false">IF($C17="","",AK17*FMS*IF(AO17="NO APTO/REPARAR",1,MAX(1,AJ17*INDEX(EffRet,4)*INDEX(FFSfac,MATCH(AO17,FFSlist,0))))*AL17)</f>
        <v>406.41592488484</v>
      </c>
      <c r="AT17" s="54" t="n">
        <f aca="false">IF($C17="","",IFERROR(Q17*FInsp/INDEX(CostRel,MATCH(S17,EffList,0)),0))</f>
        <v>54000</v>
      </c>
      <c r="AU17" s="52" t="n">
        <f aca="false">IF($C17="","",IF(AO17="NO APTO/REPARAR",1,MAX(1,AJ17*INDEX(EffRet,MATCH(S17,EffList,0))*INDEX(FFSfac,MATCH(AO17,FFSlist,0)))))</f>
        <v>1.5</v>
      </c>
      <c r="AV17" s="53" t="n">
        <f aca="false">IF($C17="","",AK17*AU17*FMS)</f>
        <v>1.45148544601729E-005</v>
      </c>
      <c r="AW17" s="54" t="n">
        <f aca="false">IF($C17="","",AV17*AL17)</f>
        <v>174.178253522074</v>
      </c>
      <c r="AX17" s="54" t="n">
        <f aca="false">IF($C17="","",IFERROR(AK17*FMS*INDEX(DFrep,AB17)*INDEX(FCrep,MATCH(AC17,CatLet,0)),AN17))</f>
        <v>13760.0820282439</v>
      </c>
      <c r="AY17" s="54" t="n">
        <f aca="false">IF($C17="","",IFERROR(AK17*FMS*INDEX(DFrep,AD17)*INDEX(FCrep,MATCH(AE17,CatLet,0)),AW17))</f>
        <v>305.779600627642</v>
      </c>
      <c r="AZ17" s="56" t="str">
        <f aca="false">IF($C17="","",(1+SUMPRODUCT(--(AJ17&gt;PcutDF)))&amp;CHOOSE(1+SUMPRODUCT(--(AL17&gt;CcutFC)),"A","B","C","D","E"))</f>
        <v>3E</v>
      </c>
      <c r="BA17" s="56" t="str">
        <f aca="false">IF($C17="","",(1+SUMPRODUCT(--(AU17&gt;PcutDF)))&amp;CHOOSE(1+SUMPRODUCT(--(AL17&gt;CcutFC)),"A","B","C","D","E"))</f>
        <v>1E</v>
      </c>
      <c r="BB17" s="56" t="str">
        <f aca="false">IF($C17="","",IF(AND(AB17&amp;AC17=AZ17,AD17&amp;AE17=BA17),"OK","REVISAR"))</f>
        <v>OK</v>
      </c>
      <c r="BC17" s="49" t="n">
        <f aca="false">IF($C17="","",IFERROR(INDEX(RAMlev,AB17,MATCH(AC17,CatLet,0)),""))</f>
        <v>3</v>
      </c>
      <c r="BD17" s="49" t="n">
        <f aca="false">IF($C17="","",IFERROR(INDEX(RAMlev,AD17,MATCH(AE17,CatLet,0)),""))</f>
        <v>2</v>
      </c>
      <c r="BE17" s="56" t="str">
        <f aca="false">IF($C17="","",IF(BD17="","",IF(BD17&lt;=ObjNivel,"Cumple","Excede")))</f>
        <v>Cumple</v>
      </c>
      <c r="BF17" s="54" t="n">
        <f aca="false">IF($C17="","",IF(Base="RAM",AX17,AN17))</f>
        <v>11611.8835681383</v>
      </c>
      <c r="BG17" s="54" t="n">
        <f aca="false">IF($C17="","",IF(Base="RAM",AY17,AW17))</f>
        <v>174.178253522074</v>
      </c>
      <c r="BH17" s="54" t="n">
        <f aca="false">IF($C17="","",BF17-BG17)</f>
        <v>11437.7053146162</v>
      </c>
      <c r="BI17" s="54" t="n">
        <f aca="false">IF($C17="","",BH17*N(P17)*Kpd/((1-N(P17))+N(P17)*Kpd))</f>
        <v>6862.62318876973</v>
      </c>
      <c r="BJ17" s="54" t="n">
        <f aca="false">IF($C17="","",BH17-BI17)</f>
        <v>4575.08212584649</v>
      </c>
      <c r="BK17" s="54" t="n">
        <f aca="false">IF($C17="","",IFERROR(Q17*FInsp*(1/X17-1/Y17),0))</f>
        <v>3750</v>
      </c>
      <c r="BL17" s="54" t="n">
        <f aca="false">IF($C17="","",IFERROR(Z17*Kpd*(1/X17-1/Y17),0))</f>
        <v>66666.6666666667</v>
      </c>
      <c r="BM17" s="54" t="n">
        <f aca="false">IF($C17="","",IFERROR((Q17*FInsp+Z17*Kpd)/X17,0))</f>
        <v>140833.333333333</v>
      </c>
      <c r="BN17" s="54" t="n">
        <f aca="false">IF($C17="","",IFERROR((Q17*FInsp+Z17*Kpd)/Y17,0))</f>
        <v>70416.6666666667</v>
      </c>
      <c r="BO17" s="54" t="n">
        <f aca="false">IF($C17="","",BH17+BK17+BL17-N(AA17))</f>
        <v>78854.3719812829</v>
      </c>
      <c r="BP17" s="57" t="n">
        <f aca="false">IF($C17="","",BK17+BL17-N(AA17))</f>
        <v>67416.6666666667</v>
      </c>
      <c r="BQ17" s="54" t="n">
        <f aca="false">IF($C17="","",BR17+BS17+BT17)</f>
        <v>60210</v>
      </c>
      <c r="BR17" s="54" t="n">
        <f aca="false">IF($C17="","",Q17*FInsp)</f>
        <v>45000</v>
      </c>
      <c r="BS17" s="54" t="n">
        <f aca="false">IF($C17="","",INDEX(FFScost,N(T17)+1)+RBIimpl)</f>
        <v>15210</v>
      </c>
      <c r="BT17" s="54" t="n">
        <f aca="false">IF($C17="","",IF(OR(AO17="NO APTO/REPARAR",AO17="APTO CON LIMITACIONES"),N(W17)*FRep,0))</f>
        <v>0</v>
      </c>
      <c r="BU17" s="51" t="n">
        <f aca="false">IF($C17="","",IF(R17=0,Horiz,(1-(1+R17)^(-Horiz))/R17))</f>
        <v>6.14456710570469</v>
      </c>
      <c r="BV17" s="54" t="n">
        <f aca="false">IF($C17="","",BO17*BU17)</f>
        <v>484525.980217192</v>
      </c>
      <c r="BW17" s="58" t="n">
        <f aca="false">IF($C17="","",IFERROR(BV17/BQ17,0))</f>
        <v>8.04726756713489</v>
      </c>
      <c r="BX17" s="57" t="n">
        <f aca="false">IF($C17="","",BV17-BQ17)</f>
        <v>424315.980217192</v>
      </c>
      <c r="BY17" s="57" t="n">
        <f aca="false">IF($C17="","",BO17*IF(R17=0,1,1/(1+R17))-BQ17)</f>
        <v>11475.7927102571</v>
      </c>
      <c r="BZ17" s="57" t="n">
        <f aca="false">IF($C17="","",BO17*IF(R17=0,10,(1-(1+R17)^(-10))/R17)-BQ17)</f>
        <v>424315.980217192</v>
      </c>
      <c r="CA17" s="57" t="n">
        <f aca="false">IF($C17="","",BP17*BU17-BQ17)</f>
        <v>354036.232376258</v>
      </c>
      <c r="CB17" s="58" t="n">
        <f aca="false">IF($C17="","",IFERROR(BP17*BU17/BQ17,0))</f>
        <v>6.88002378967377</v>
      </c>
      <c r="CC17" s="50" t="n">
        <f aca="false">IF($C17="","",IF(BP17&gt;0,BQ17/BP17,"No recupera"))</f>
        <v>0.893102595797281</v>
      </c>
      <c r="CD17" s="59" t="n">
        <f aca="false">IF($C17="","",IFERROR((Horiz*BO17-BQ17)/BQ17,0))</f>
        <v>12.096557379386</v>
      </c>
      <c r="CE17" s="50" t="n">
        <f aca="false">IF($C17="","",IF(BO17&gt;0,BQ17/BO17,"No recupera"))</f>
        <v>0.763559438584986</v>
      </c>
      <c r="CF17" s="50" t="n">
        <f aca="false">IF($C17="","",IF(BO17&lt;=0,"No recupera",IF(R17=0,BQ17/BO17,IFERROR(-LN(1-BQ17*R17/BO17)/LN(1+R17),"No recupera"))))</f>
        <v>0.833368506345586</v>
      </c>
      <c r="CG17" s="57" t="n">
        <f aca="false">IF($C17="","",BO17-BQ17/BU17)</f>
        <v>69055.4717554069</v>
      </c>
      <c r="CH17" s="54" t="n">
        <f aca="false">IF($C17="","",(BM17+BF17)*BU17)</f>
        <v>936709.865194799</v>
      </c>
      <c r="CI17" s="54" t="n">
        <f aca="false">IF($C17="","",(BN17+BG17+N(AA17))*BU17+BQ17)</f>
        <v>512393.884977607</v>
      </c>
      <c r="CJ17" s="57" t="n">
        <f aca="false">IF($C17="","",IF(OR(N(T17)=0,AO17="NO APTO/REPARAR",AO17="REVISAR"),"n/a",(AK17*FMS*MAX(1,AJ17*INDEX(EffRet,MATCH(S17,EffList,0)))*AL17-AW17)*BU17-INDEX(FFScost,N(T17)+1)-BT17))</f>
        <v>5334.74937529576</v>
      </c>
      <c r="CK17" s="55" t="str">
        <f aca="false">IF($C17="","",IF(BW17&gt;1,"ACEPTABLE","NO ACEPTABLE"))</f>
        <v>ACEPTABLE</v>
      </c>
      <c r="CL17" s="60" t="str">
        <f aca="false">IF($C17="","",IF(ISNUMBER(AG17),IF(AG17&lt;0,IF(LEFT(AO17,4)="APTO","RUL&lt;0 con FFS apto: verificar","RUL&lt;0"),""),""))</f>
        <v/>
      </c>
      <c r="CM17" s="57" t="n">
        <f aca="false">IF($C17="","",-$BQ17+IF($R17=0,$BO17*MIN(CM$15,Horiz),$BO17*(1-(1+$R17)^(-MIN(CM$15,Horiz)))/$R17))</f>
        <v>-60210</v>
      </c>
      <c r="CN17" s="57" t="n">
        <f aca="false">IF($C17="","",-$BQ17+IF($R17=0,$BO17*MIN(CN$15,Horiz),$BO17*(1-(1+$R17)^(-MIN(CN$15,Horiz)))/$R17))</f>
        <v>11475.7927102572</v>
      </c>
      <c r="CO17" s="57" t="n">
        <f aca="false">IF($C17="","",-$BQ17+IF($R17=0,$BO17*MIN(CO$15,Horiz),$BO17*(1-(1+$R17)^(-MIN(CO$15,Horiz)))/$R17))</f>
        <v>76644.6951741274</v>
      </c>
      <c r="CP17" s="57" t="n">
        <f aca="false">IF($C17="","",-$BQ17+IF($R17=0,$BO17*MIN(CP$15,Horiz),$BO17*(1-(1+$R17)^(-MIN(CP$15,Horiz)))/$R17))</f>
        <v>135889.151959464</v>
      </c>
      <c r="CQ17" s="57" t="n">
        <f aca="false">IF($C17="","",-$BQ17+IF($R17=0,$BO17*MIN(CQ$15,Horiz),$BO17*(1-(1+$R17)^(-MIN(CQ$15,Horiz)))/$R17))</f>
        <v>189747.749037043</v>
      </c>
      <c r="CR17" s="57" t="n">
        <f aca="false">IF($C17="","",-$BQ17+IF($R17=0,$BO17*MIN(CR$15,Horiz),$BO17*(1-(1+$R17)^(-MIN(CR$15,Horiz)))/$R17))</f>
        <v>238710.110016659</v>
      </c>
      <c r="CS17" s="57" t="n">
        <f aca="false">IF($C17="","",-$BQ17+IF($R17=0,$BO17*MIN(CS$15,Horiz),$BO17*(1-(1+$R17)^(-MIN(CS$15,Horiz)))/$R17))</f>
        <v>283221.347270857</v>
      </c>
      <c r="CT17" s="57" t="n">
        <f aca="false">IF($C17="","",-$BQ17+IF($R17=0,$BO17*MIN(CT$15,Horiz),$BO17*(1-(1+$R17)^(-MIN(CT$15,Horiz)))/$R17))</f>
        <v>323686.108411036</v>
      </c>
      <c r="CU17" s="57" t="n">
        <f aca="false">IF($C17="","",-$BQ17+IF($R17=0,$BO17*MIN(CU$15,Horiz),$BO17*(1-(1+$R17)^(-MIN(CU$15,Horiz)))/$R17))</f>
        <v>360472.254902108</v>
      </c>
      <c r="CV17" s="57" t="n">
        <f aca="false">IF($C17="","",-$BQ17+IF($R17=0,$BO17*MIN(CV$15,Horiz),$BO17*(1-(1+$R17)^(-MIN(CV$15,Horiz)))/$R17))</f>
        <v>393914.206257628</v>
      </c>
      <c r="CW17" s="57" t="n">
        <f aca="false">IF($C17="","",-$BQ17+IF($R17=0,$BO17*MIN(CW$15,Horiz),$BO17*(1-(1+$R17)^(-MIN(CW$15,Horiz)))/$R17))</f>
        <v>424315.980217192</v>
      </c>
      <c r="CX17" s="57" t="n">
        <f aca="false">IF($C17="","",-$BQ17+IF($R17=0,$BO17*MIN(CX$15,Horiz),$BO17*(1-(1+$R17)^(-MIN(CX$15,Horiz)))/$R17))</f>
        <v>424315.980217192</v>
      </c>
      <c r="CY17" s="57" t="n">
        <f aca="false">IF($C17="","",-$BQ17+IF($R17=0,$BO17*MIN(CY$15,Horiz),$BO17*(1-(1+$R17)^(-MIN(CY$15,Horiz)))/$R17))</f>
        <v>424315.980217192</v>
      </c>
      <c r="CZ17" s="57" t="n">
        <f aca="false">IF($C17="","",-$BQ17+IF($R17=0,$BO17*MIN(CZ$15,Horiz),$BO17*(1-(1+$R17)^(-MIN(CZ$15,Horiz)))/$R17))</f>
        <v>424315.980217192</v>
      </c>
      <c r="DA17" s="57" t="n">
        <f aca="false">IF($C17="","",-$BQ17+IF($R17=0,$BO17*MIN(DA$15,Horiz),$BO17*(1-(1+$R17)^(-MIN(DA$15,Horiz)))/$R17))</f>
        <v>424315.980217192</v>
      </c>
      <c r="DB17" s="57" t="n">
        <f aca="false">IF($C17="","",-$BQ17+IF($R17=0,$BO17*MIN(DB$15,Horiz),$BO17*(1-(1+$R17)^(-MIN(DB$15,Horiz)))/$R17))</f>
        <v>424315.980217192</v>
      </c>
    </row>
    <row r="18" customFormat="false" ht="15" hidden="false" customHeight="false" outlineLevel="0" collapsed="false">
      <c r="A18" s="38" t="n">
        <v>3</v>
      </c>
      <c r="B18" s="39" t="s">
        <v>146</v>
      </c>
      <c r="C18" s="40" t="s">
        <v>163</v>
      </c>
      <c r="D18" s="39" t="s">
        <v>164</v>
      </c>
      <c r="E18" s="39" t="s">
        <v>165</v>
      </c>
      <c r="F18" s="41" t="n">
        <v>2.5</v>
      </c>
      <c r="G18" s="41" t="n">
        <v>340</v>
      </c>
      <c r="H18" s="42" t="n">
        <v>18</v>
      </c>
      <c r="I18" s="43" t="n">
        <v>0.5</v>
      </c>
      <c r="J18" s="44" t="n">
        <v>12</v>
      </c>
      <c r="K18" s="41" t="n">
        <v>2017</v>
      </c>
      <c r="L18" s="39" t="s">
        <v>166</v>
      </c>
      <c r="M18" s="40"/>
      <c r="N18" s="45"/>
      <c r="O18" s="46" t="n">
        <v>6000000</v>
      </c>
      <c r="P18" s="47" t="n">
        <v>0.5</v>
      </c>
      <c r="Q18" s="46" t="n">
        <v>30000</v>
      </c>
      <c r="R18" s="48" t="n">
        <v>0.1</v>
      </c>
      <c r="S18" s="40" t="s">
        <v>161</v>
      </c>
      <c r="T18" s="41" t="n">
        <v>1</v>
      </c>
      <c r="U18" s="40" t="s">
        <v>167</v>
      </c>
      <c r="V18" s="40" t="s">
        <v>168</v>
      </c>
      <c r="W18" s="46" t="n">
        <v>250000</v>
      </c>
      <c r="X18" s="41" t="n">
        <v>6</v>
      </c>
      <c r="Y18" s="41" t="n">
        <v>8</v>
      </c>
      <c r="Z18" s="46" t="n">
        <v>400000</v>
      </c>
      <c r="AA18" s="46" t="n">
        <v>2000</v>
      </c>
      <c r="AB18" s="41" t="n">
        <v>3</v>
      </c>
      <c r="AC18" s="40" t="s">
        <v>169</v>
      </c>
      <c r="AD18" s="41" t="n">
        <v>1</v>
      </c>
      <c r="AE18" s="40" t="s">
        <v>169</v>
      </c>
      <c r="AF18" s="49" t="n">
        <f aca="false">IF($C18="","",AnioEval-K18)</f>
        <v>9</v>
      </c>
      <c r="AG18" s="50" t="n">
        <f aca="false">IF($C18="","",IF(AND(ISNUMBER(J18),I18&gt;0),(H18-J18)/(I18*SensCR)-AF18,"n/d"))</f>
        <v>3</v>
      </c>
      <c r="AH18" s="51" t="n">
        <f aca="false">IF($C18="","",IFERROR(I18*SensCR*AF18/H18,0))</f>
        <v>0.25</v>
      </c>
      <c r="AI18" s="52" t="n">
        <f aca="false">IF($C18="","",IF(INDEX(MecTipo,MATCH(L18,MecList,0))="F",IFERROR(INDEX(SusDF,MATCH(M18,SusList,0)),1),LOOKUP(AH18,ArtLim,ArtDF)))</f>
        <v>60</v>
      </c>
      <c r="AJ18" s="52" t="n">
        <f aca="false">IF($C18="","",IF(ISNUMBER(N18),N18,AI18))</f>
        <v>60</v>
      </c>
      <c r="AK18" s="53" t="n">
        <f aca="false">IF($C18="","",INDEX(GFFval,MATCH(D18,GFFtipo,0)))</f>
        <v>3.06E-005</v>
      </c>
      <c r="AL18" s="54" t="n">
        <f aca="false">IF($C18="","",O18*((1-N(P18))+N(P18)*Kpd))</f>
        <v>6000000</v>
      </c>
      <c r="AM18" s="53" t="n">
        <f aca="false">IF($C18="","",AK18*AJ18*FMS)</f>
        <v>0.000580594178406915</v>
      </c>
      <c r="AN18" s="54" t="n">
        <f aca="false">IF($C18="","",AM18*AL18)</f>
        <v>3483.56507044149</v>
      </c>
      <c r="AO18" s="55" t="str">
        <f aca="false">IF($C18="","",IF(N(T18)=0,"No requerido",IF(AND(U18="Apto",V18="Pasa"),"APTO/PASA",IF(AND(U18="Apto con limitaciones",V18="Pasa"),"APTO CON LIMITACIONES",IF(U18="No apto","NO APTO/REPARAR","REVISAR")))))</f>
        <v>NO APTO/REPARAR</v>
      </c>
      <c r="AP18" s="54" t="n">
        <f aca="false">IF($C18="","",AK18*FMS*IF(AO18="NO APTO/REPARAR",1,MAX(1,AJ18*INDEX(EffRet,1)*INDEX(FFSfac,MATCH(AO18,FFSlist,0))))*AL18)</f>
        <v>58.0594178406914</v>
      </c>
      <c r="AQ18" s="54" t="n">
        <f aca="false">IF($C18="","",AK18*FMS*IF(AO18="NO APTO/REPARAR",1,MAX(1,AJ18*INDEX(EffRet,2)*INDEX(FFSfac,MATCH(AO18,FFSlist,0))))*AL18)</f>
        <v>58.0594178406914</v>
      </c>
      <c r="AR18" s="54" t="n">
        <f aca="false">IF($C18="","",AK18*FMS*IF(AO18="NO APTO/REPARAR",1,MAX(1,AJ18*INDEX(EffRet,3)*INDEX(FFSfac,MATCH(AO18,FFSlist,0))))*AL18)</f>
        <v>58.0594178406914</v>
      </c>
      <c r="AS18" s="54" t="n">
        <f aca="false">IF($C18="","",AK18*FMS*IF(AO18="NO APTO/REPARAR",1,MAX(1,AJ18*INDEX(EffRet,4)*INDEX(FFSfac,MATCH(AO18,FFSlist,0))))*AL18)</f>
        <v>58.0594178406914</v>
      </c>
      <c r="AT18" s="54" t="n">
        <f aca="false">IF($C18="","",IFERROR(Q18*FInsp/INDEX(CostRel,MATCH(S18,EffList,0)),0))</f>
        <v>36000</v>
      </c>
      <c r="AU18" s="52" t="n">
        <f aca="false">IF($C18="","",IF(AO18="NO APTO/REPARAR",1,MAX(1,AJ18*INDEX(EffRet,MATCH(S18,EffList,0))*INDEX(FFSfac,MATCH(AO18,FFSlist,0)))))</f>
        <v>1</v>
      </c>
      <c r="AV18" s="53" t="n">
        <f aca="false">IF($C18="","",AK18*AU18*FMS)</f>
        <v>9.67656964011524E-006</v>
      </c>
      <c r="AW18" s="54" t="n">
        <f aca="false">IF($C18="","",AV18*AL18)</f>
        <v>58.0594178406914</v>
      </c>
      <c r="AX18" s="54" t="n">
        <f aca="false">IF($C18="","",IFERROR(AK18*FMS*INDEX(DFrep,AB18)*INDEX(FCrep,MATCH(AC18,CatLet,0)),AN18))</f>
        <v>1376.00820282439</v>
      </c>
      <c r="AY18" s="54" t="n">
        <f aca="false">IF($C18="","",IFERROR(AK18*FMS*INDEX(DFrep,AD18)*INDEX(FCrep,MATCH(AE18,CatLet,0)),AW18))</f>
        <v>30.5779600627642</v>
      </c>
      <c r="AZ18" s="56" t="str">
        <f aca="false">IF($C18="","",(1+SUMPRODUCT(--(AJ18&gt;PcutDF)))&amp;CHOOSE(1+SUMPRODUCT(--(AL18&gt;CcutFC)),"A","B","C","D","E"))</f>
        <v>3D</v>
      </c>
      <c r="BA18" s="56" t="str">
        <f aca="false">IF($C18="","",(1+SUMPRODUCT(--(AU18&gt;PcutDF)))&amp;CHOOSE(1+SUMPRODUCT(--(AL18&gt;CcutFC)),"A","B","C","D","E"))</f>
        <v>1D</v>
      </c>
      <c r="BB18" s="56" t="str">
        <f aca="false">IF($C18="","",IF(AND(AB18&amp;AC18=AZ18,AD18&amp;AE18=BA18),"OK","REVISAR"))</f>
        <v>OK</v>
      </c>
      <c r="BC18" s="49" t="n">
        <f aca="false">IF($C18="","",IFERROR(INDEX(RAMlev,AB18,MATCH(AC18,CatLet,0)),""))</f>
        <v>3</v>
      </c>
      <c r="BD18" s="49" t="n">
        <f aca="false">IF($C18="","",IFERROR(INDEX(RAMlev,AD18,MATCH(AE18,CatLet,0)),""))</f>
        <v>2</v>
      </c>
      <c r="BE18" s="56" t="str">
        <f aca="false">IF($C18="","",IF(BD18="","",IF(BD18&lt;=ObjNivel,"Cumple","Excede")))</f>
        <v>Cumple</v>
      </c>
      <c r="BF18" s="54" t="n">
        <f aca="false">IF($C18="","",IF(Base="RAM",AX18,AN18))</f>
        <v>3483.56507044149</v>
      </c>
      <c r="BG18" s="54" t="n">
        <f aca="false">IF($C18="","",IF(Base="RAM",AY18,AW18))</f>
        <v>58.0594178406914</v>
      </c>
      <c r="BH18" s="54" t="n">
        <f aca="false">IF($C18="","",BF18-BG18)</f>
        <v>3425.5056526008</v>
      </c>
      <c r="BI18" s="54" t="n">
        <f aca="false">IF($C18="","",BH18*N(P18)*Kpd/((1-N(P18))+N(P18)*Kpd))</f>
        <v>1712.7528263004</v>
      </c>
      <c r="BJ18" s="54" t="n">
        <f aca="false">IF($C18="","",BH18-BI18)</f>
        <v>1712.7528263004</v>
      </c>
      <c r="BK18" s="54" t="n">
        <f aca="false">IF($C18="","",IFERROR(Q18*FInsp*(1/X18-1/Y18),0))</f>
        <v>1250</v>
      </c>
      <c r="BL18" s="54" t="n">
        <f aca="false">IF($C18="","",IFERROR(Z18*Kpd*(1/X18-1/Y18),0))</f>
        <v>16666.6666666667</v>
      </c>
      <c r="BM18" s="54" t="n">
        <f aca="false">IF($C18="","",IFERROR((Q18*FInsp+Z18*Kpd)/X18,0))</f>
        <v>71666.6666666667</v>
      </c>
      <c r="BN18" s="54" t="n">
        <f aca="false">IF($C18="","",IFERROR((Q18*FInsp+Z18*Kpd)/Y18,0))</f>
        <v>53750</v>
      </c>
      <c r="BO18" s="54" t="n">
        <f aca="false">IF($C18="","",BH18+BK18+BL18-N(AA18))</f>
        <v>19342.1723192675</v>
      </c>
      <c r="BP18" s="57" t="n">
        <f aca="false">IF($C18="","",BK18+BL18-N(AA18))</f>
        <v>15916.6666666667</v>
      </c>
      <c r="BQ18" s="54" t="n">
        <f aca="false">IF($C18="","",BR18+BS18+BT18)</f>
        <v>283210</v>
      </c>
      <c r="BR18" s="54" t="n">
        <f aca="false">IF($C18="","",Q18*FInsp)</f>
        <v>30000</v>
      </c>
      <c r="BS18" s="54" t="n">
        <f aca="false">IF($C18="","",INDEX(FFScost,N(T18)+1)+RBIimpl)</f>
        <v>3210</v>
      </c>
      <c r="BT18" s="54" t="n">
        <f aca="false">IF($C18="","",IF(OR(AO18="NO APTO/REPARAR",AO18="APTO CON LIMITACIONES"),N(W18)*FRep,0))</f>
        <v>250000</v>
      </c>
      <c r="BU18" s="51" t="n">
        <f aca="false">IF($C18="","",IF(R18=0,Horiz,(1-(1+R18)^(-Horiz))/R18))</f>
        <v>6.14456710570469</v>
      </c>
      <c r="BV18" s="54" t="n">
        <f aca="false">IF($C18="","",BO18*BU18)</f>
        <v>118849.275785843</v>
      </c>
      <c r="BW18" s="58" t="n">
        <f aca="false">IF($C18="","",IFERROR(BV18/BQ18,0))</f>
        <v>0.4196507036681</v>
      </c>
      <c r="BX18" s="57" t="n">
        <f aca="false">IF($C18="","",BV18-BQ18)</f>
        <v>-164360.724214157</v>
      </c>
      <c r="BY18" s="57" t="n">
        <f aca="false">IF($C18="","",BO18*IF(R18=0,1,1/(1+R18))-BQ18)</f>
        <v>-265626.206982484</v>
      </c>
      <c r="BZ18" s="57" t="n">
        <f aca="false">IF($C18="","",BO18*IF(R18=0,10,(1-(1+R18)^(-10))/R18)-BQ18)</f>
        <v>-164360.724214157</v>
      </c>
      <c r="CA18" s="57" t="n">
        <f aca="false">IF($C18="","",BP18*BU18-BQ18)</f>
        <v>-185408.973567534</v>
      </c>
      <c r="CB18" s="58" t="n">
        <f aca="false">IF($C18="","",IFERROR(BP18*BU18/BQ18,0))</f>
        <v>0.345330413588737</v>
      </c>
      <c r="CC18" s="50" t="n">
        <f aca="false">IF($C18="","",IF(BP18&gt;0,BQ18/BP18,"No recupera"))</f>
        <v>17.7932984293194</v>
      </c>
      <c r="CD18" s="59" t="n">
        <f aca="false">IF($C18="","",IFERROR((Horiz*BO18-BQ18)/BQ18,0))</f>
        <v>-0.317037805188113</v>
      </c>
      <c r="CE18" s="50" t="n">
        <f aca="false">IF($C18="","",IF(BO18&gt;0,BQ18/BO18,"No recupera"))</f>
        <v>14.6420988979549</v>
      </c>
      <c r="CF18" s="50" t="str">
        <f aca="false">IF($C18="","",IF(BO18&lt;=0,"No recupera",IF(R18=0,BQ18/BO18,IFERROR(-LN(1-BQ18*R18/BO18)/LN(1+R18),"No recupera"))))</f>
        <v>No recupera</v>
      </c>
      <c r="CG18" s="57" t="n">
        <f aca="false">IF($C18="","",BO18-BQ18/BU18)</f>
        <v>-26748.9509654086</v>
      </c>
      <c r="CH18" s="54" t="n">
        <f aca="false">IF($C18="","",(BM18+BF18)*BU18)</f>
        <v>461765.641917919</v>
      </c>
      <c r="CI18" s="54" t="n">
        <f aca="false">IF($C18="","",(BN18+BG18+N(AA18))*BU18+BQ18)</f>
        <v>626126.366132077</v>
      </c>
      <c r="CJ18" s="57" t="str">
        <f aca="false">IF($C18="","",IF(OR(N(T18)=0,AO18="NO APTO/REPARAR",AO18="REVISAR"),"n/a",(AK18*FMS*MAX(1,AJ18*INDEX(EffRet,MATCH(S18,EffList,0)))*AL18-AW18)*BU18-INDEX(FFScost,N(T18)+1)-BT18))</f>
        <v>n/a</v>
      </c>
      <c r="CK18" s="55" t="str">
        <f aca="false">IF($C18="","",IF(BW18&gt;1,"ACEPTABLE","NO ACEPTABLE"))</f>
        <v>NO ACEPTABLE</v>
      </c>
      <c r="CL18" s="60" t="str">
        <f aca="false">IF($C18="","",IF(ISNUMBER(AG18),IF(AG18&lt;0,IF(LEFT(AO18,4)="APTO","RUL&lt;0 con FFS apto: verificar","RUL&lt;0"),""),""))</f>
        <v/>
      </c>
      <c r="CM18" s="57" t="n">
        <f aca="false">IF($C18="","",-$BQ18+IF($R18=0,$BO18*MIN(CM$15,Horiz),$BO18*(1-(1+$R18)^(-MIN(CM$15,Horiz)))/$R18))</f>
        <v>-283210</v>
      </c>
      <c r="CN18" s="57" t="n">
        <f aca="false">IF($C18="","",-$BQ18+IF($R18=0,$BO18*MIN(CN$15,Horiz),$BO18*(1-(1+$R18)^(-MIN(CN$15,Horiz)))/$R18))</f>
        <v>-265626.206982484</v>
      </c>
      <c r="CO18" s="57" t="n">
        <f aca="false">IF($C18="","",-$BQ18+IF($R18=0,$BO18*MIN(CO$15,Horiz),$BO18*(1-(1+$R18)^(-MIN(CO$15,Horiz)))/$R18))</f>
        <v>-249640.940602924</v>
      </c>
      <c r="CP18" s="57" t="n">
        <f aca="false">IF($C18="","",-$BQ18+IF($R18=0,$BO18*MIN(CP$15,Horiz),$BO18*(1-(1+$R18)^(-MIN(CP$15,Horiz)))/$R18))</f>
        <v>-235108.88025787</v>
      </c>
      <c r="CQ18" s="57" t="n">
        <f aca="false">IF($C18="","",-$BQ18+IF($R18=0,$BO18*MIN(CQ$15,Horiz),$BO18*(1-(1+$R18)^(-MIN(CQ$15,Horiz)))/$R18))</f>
        <v>-221897.91630782</v>
      </c>
      <c r="CR18" s="57" t="n">
        <f aca="false">IF($C18="","",-$BQ18+IF($R18=0,$BO18*MIN(CR$15,Horiz),$BO18*(1-(1+$R18)^(-MIN(CR$15,Horiz)))/$R18))</f>
        <v>-209887.949080503</v>
      </c>
      <c r="CS18" s="57" t="n">
        <f aca="false">IF($C18="","",-$BQ18+IF($R18=0,$BO18*MIN(CS$15,Horiz),$BO18*(1-(1+$R18)^(-MIN(CS$15,Horiz)))/$R18))</f>
        <v>-198969.797055668</v>
      </c>
      <c r="CT18" s="57" t="n">
        <f aca="false">IF($C18="","",-$BQ18+IF($R18=0,$BO18*MIN(CT$15,Horiz),$BO18*(1-(1+$R18)^(-MIN(CT$15,Horiz)))/$R18))</f>
        <v>-189044.204305819</v>
      </c>
      <c r="CU18" s="57" t="n">
        <f aca="false">IF($C18="","",-$BQ18+IF($R18=0,$BO18*MIN(CU$15,Horiz),$BO18*(1-(1+$R18)^(-MIN(CU$15,Horiz)))/$R18))</f>
        <v>-180020.938169592</v>
      </c>
      <c r="CV18" s="57" t="n">
        <f aca="false">IF($C18="","",-$BQ18+IF($R18=0,$BO18*MIN(CV$15,Horiz),$BO18*(1-(1+$R18)^(-MIN(CV$15,Horiz)))/$R18))</f>
        <v>-171817.968954841</v>
      </c>
      <c r="CW18" s="57" t="n">
        <f aca="false">IF($C18="","",-$BQ18+IF($R18=0,$BO18*MIN(CW$15,Horiz),$BO18*(1-(1+$R18)^(-MIN(CW$15,Horiz)))/$R18))</f>
        <v>-164360.724214157</v>
      </c>
      <c r="CX18" s="57" t="n">
        <f aca="false">IF($C18="","",-$BQ18+IF($R18=0,$BO18*MIN(CX$15,Horiz),$BO18*(1-(1+$R18)^(-MIN(CX$15,Horiz)))/$R18))</f>
        <v>-164360.724214157</v>
      </c>
      <c r="CY18" s="57" t="n">
        <f aca="false">IF($C18="","",-$BQ18+IF($R18=0,$BO18*MIN(CY$15,Horiz),$BO18*(1-(1+$R18)^(-MIN(CY$15,Horiz)))/$R18))</f>
        <v>-164360.724214157</v>
      </c>
      <c r="CZ18" s="57" t="n">
        <f aca="false">IF($C18="","",-$BQ18+IF($R18=0,$BO18*MIN(CZ$15,Horiz),$BO18*(1-(1+$R18)^(-MIN(CZ$15,Horiz)))/$R18))</f>
        <v>-164360.724214157</v>
      </c>
      <c r="DA18" s="57" t="n">
        <f aca="false">IF($C18="","",-$BQ18+IF($R18=0,$BO18*MIN(DA$15,Horiz),$BO18*(1-(1+$R18)^(-MIN(DA$15,Horiz)))/$R18))</f>
        <v>-164360.724214157</v>
      </c>
      <c r="DB18" s="57" t="n">
        <f aca="false">IF($C18="","",-$BQ18+IF($R18=0,$BO18*MIN(DB$15,Horiz),$BO18*(1-(1+$R18)^(-MIN(DB$15,Horiz)))/$R18))</f>
        <v>-164360.724214157</v>
      </c>
    </row>
    <row r="19" customFormat="false" ht="15" hidden="false" customHeight="false" outlineLevel="0" collapsed="false">
      <c r="A19" s="38" t="n">
        <v>4</v>
      </c>
      <c r="B19" s="39" t="s">
        <v>170</v>
      </c>
      <c r="C19" s="40" t="s">
        <v>171</v>
      </c>
      <c r="D19" s="39" t="s">
        <v>172</v>
      </c>
      <c r="E19" s="39" t="s">
        <v>173</v>
      </c>
      <c r="F19" s="41" t="n">
        <v>30</v>
      </c>
      <c r="G19" s="41" t="n">
        <v>480</v>
      </c>
      <c r="H19" s="42" t="n">
        <v>7.1</v>
      </c>
      <c r="I19" s="43" t="n">
        <v>0.3</v>
      </c>
      <c r="J19" s="44" t="n">
        <v>5</v>
      </c>
      <c r="K19" s="41" t="n">
        <v>2020</v>
      </c>
      <c r="L19" s="39" t="s">
        <v>166</v>
      </c>
      <c r="M19" s="40"/>
      <c r="N19" s="45"/>
      <c r="O19" s="46" t="n">
        <v>4500000</v>
      </c>
      <c r="P19" s="47" t="n">
        <v>0.55</v>
      </c>
      <c r="Q19" s="46" t="n">
        <v>18000</v>
      </c>
      <c r="R19" s="48" t="n">
        <v>0.1</v>
      </c>
      <c r="S19" s="40" t="s">
        <v>154</v>
      </c>
      <c r="T19" s="41" t="n">
        <v>1</v>
      </c>
      <c r="U19" s="40" t="s">
        <v>174</v>
      </c>
      <c r="V19" s="40" t="s">
        <v>153</v>
      </c>
      <c r="W19" s="46" t="n">
        <v>20000</v>
      </c>
      <c r="X19" s="41" t="n">
        <v>4</v>
      </c>
      <c r="Y19" s="41" t="n">
        <v>6</v>
      </c>
      <c r="Z19" s="46" t="n">
        <v>250000</v>
      </c>
      <c r="AA19" s="46"/>
      <c r="AB19" s="41" t="n">
        <v>3</v>
      </c>
      <c r="AC19" s="40" t="s">
        <v>169</v>
      </c>
      <c r="AD19" s="41" t="n">
        <v>2</v>
      </c>
      <c r="AE19" s="40" t="s">
        <v>169</v>
      </c>
      <c r="AF19" s="49" t="n">
        <f aca="false">IF($C19="","",AnioEval-K19)</f>
        <v>6</v>
      </c>
      <c r="AG19" s="50" t="n">
        <f aca="false">IF($C19="","",IF(AND(ISNUMBER(J19),I19&gt;0),(H19-J19)/(I19*SensCR)-AF19,"n/d"))</f>
        <v>0.999999999999999</v>
      </c>
      <c r="AH19" s="51" t="n">
        <f aca="false">IF($C19="","",IFERROR(I19*SensCR*AF19/H19,0))</f>
        <v>0.253521126760563</v>
      </c>
      <c r="AI19" s="52" t="n">
        <f aca="false">IF($C19="","",IF(INDEX(MecTipo,MATCH(L19,MecList,0))="F",IFERROR(INDEX(SusDF,MATCH(M19,SusList,0)),1),LOOKUP(AH19,ArtLim,ArtDF)))</f>
        <v>60</v>
      </c>
      <c r="AJ19" s="52" t="n">
        <f aca="false">IF($C19="","",IF(ISNUMBER(N19),N19,AI19))</f>
        <v>60</v>
      </c>
      <c r="AK19" s="53" t="n">
        <f aca="false">IF($C19="","",INDEX(GFFval,MATCH(D19,GFFtipo,0)))</f>
        <v>3.06E-005</v>
      </c>
      <c r="AL19" s="54" t="n">
        <f aca="false">IF($C19="","",O19*((1-N(P19))+N(P19)*Kpd))</f>
        <v>4500000</v>
      </c>
      <c r="AM19" s="53" t="n">
        <f aca="false">IF($C19="","",AK19*AJ19*FMS)</f>
        <v>0.000580594178406915</v>
      </c>
      <c r="AN19" s="54" t="n">
        <f aca="false">IF($C19="","",AM19*AL19)</f>
        <v>2612.67380283112</v>
      </c>
      <c r="AO19" s="55" t="str">
        <f aca="false">IF($C19="","",IF(N(T19)=0,"No requerido",IF(AND(U19="Apto",V19="Pasa"),"APTO/PASA",IF(AND(U19="Apto con limitaciones",V19="Pasa"),"APTO CON LIMITACIONES",IF(U19="No apto","NO APTO/REPARAR","REVISAR")))))</f>
        <v>APTO CON LIMITACIONES</v>
      </c>
      <c r="AP19" s="54" t="n">
        <f aca="false">IF($C19="","",AK19*FMS*IF(AO19="NO APTO/REPARAR",1,MAX(1,AJ19*INDEX(EffRet,1)*INDEX(FFSfac,MATCH(AO19,FFSlist,0))))*AL19)</f>
        <v>78.3802140849334</v>
      </c>
      <c r="AQ19" s="54" t="n">
        <f aca="false">IF($C19="","",AK19*FMS*IF(AO19="NO APTO/REPARAR",1,MAX(1,AJ19*INDEX(EffRet,2)*INDEX(FFSfac,MATCH(AO19,FFSlist,0))))*AL19)</f>
        <v>235.1406422548</v>
      </c>
      <c r="AR19" s="54" t="n">
        <f aca="false">IF($C19="","",AK19*FMS*IF(AO19="NO APTO/REPARAR",1,MAX(1,AJ19*INDEX(EffRet,3)*INDEX(FFSfac,MATCH(AO19,FFSlist,0))))*AL19)</f>
        <v>391.901070424667</v>
      </c>
      <c r="AS19" s="54" t="n">
        <f aca="false">IF($C19="","",AK19*FMS*IF(AO19="NO APTO/REPARAR",1,MAX(1,AJ19*INDEX(EffRet,4)*INDEX(FFSfac,MATCH(AO19,FFSlist,0))))*AL19)</f>
        <v>548.661498594534</v>
      </c>
      <c r="AT19" s="54" t="n">
        <f aca="false">IF($C19="","",IFERROR(Q19*FInsp/INDEX(CostRel,MATCH(S19,EffList,0)),0))</f>
        <v>27000</v>
      </c>
      <c r="AU19" s="52" t="n">
        <f aca="false">IF($C19="","",IF(AO19="NO APTO/REPARAR",1,MAX(1,AJ19*INDEX(EffRet,MATCH(S19,EffList,0))*INDEX(FFSfac,MATCH(AO19,FFSlist,0)))))</f>
        <v>9</v>
      </c>
      <c r="AV19" s="53" t="n">
        <f aca="false">IF($C19="","",AK19*AU19*FMS)</f>
        <v>8.70891267610372E-005</v>
      </c>
      <c r="AW19" s="54" t="n">
        <f aca="false">IF($C19="","",AV19*AL19)</f>
        <v>391.901070424667</v>
      </c>
      <c r="AX19" s="54" t="n">
        <f aca="false">IF($C19="","",IFERROR(AK19*FMS*INDEX(DFrep,AB19)*INDEX(FCrep,MATCH(AC19,CatLet,0)),AN19))</f>
        <v>1376.00820282439</v>
      </c>
      <c r="AY19" s="54" t="n">
        <f aca="false">IF($C19="","",IFERROR(AK19*FMS*INDEX(DFrep,AD19)*INDEX(FCrep,MATCH(AE19,CatLet,0)),AW19))</f>
        <v>183.467760376585</v>
      </c>
      <c r="AZ19" s="56" t="str">
        <f aca="false">IF($C19="","",(1+SUMPRODUCT(--(AJ19&gt;PcutDF)))&amp;CHOOSE(1+SUMPRODUCT(--(AL19&gt;CcutFC)),"A","B","C","D","E"))</f>
        <v>3D</v>
      </c>
      <c r="BA19" s="56" t="str">
        <f aca="false">IF($C19="","",(1+SUMPRODUCT(--(AU19&gt;PcutDF)))&amp;CHOOSE(1+SUMPRODUCT(--(AL19&gt;CcutFC)),"A","B","C","D","E"))</f>
        <v>2D</v>
      </c>
      <c r="BB19" s="56" t="str">
        <f aca="false">IF($C19="","",IF(AND(AB19&amp;AC19=AZ19,AD19&amp;AE19=BA19),"OK","REVISAR"))</f>
        <v>OK</v>
      </c>
      <c r="BC19" s="49" t="n">
        <f aca="false">IF($C19="","",IFERROR(INDEX(RAMlev,AB19,MATCH(AC19,CatLet,0)),""))</f>
        <v>3</v>
      </c>
      <c r="BD19" s="49" t="n">
        <f aca="false">IF($C19="","",IFERROR(INDEX(RAMlev,AD19,MATCH(AE19,CatLet,0)),""))</f>
        <v>2</v>
      </c>
      <c r="BE19" s="56" t="str">
        <f aca="false">IF($C19="","",IF(BD19="","",IF(BD19&lt;=ObjNivel,"Cumple","Excede")))</f>
        <v>Cumple</v>
      </c>
      <c r="BF19" s="54" t="n">
        <f aca="false">IF($C19="","",IF(Base="RAM",AX19,AN19))</f>
        <v>2612.67380283112</v>
      </c>
      <c r="BG19" s="54" t="n">
        <f aca="false">IF($C19="","",IF(Base="RAM",AY19,AW19))</f>
        <v>391.901070424667</v>
      </c>
      <c r="BH19" s="54" t="n">
        <f aca="false">IF($C19="","",BF19-BG19)</f>
        <v>2220.77273240645</v>
      </c>
      <c r="BI19" s="54" t="n">
        <f aca="false">IF($C19="","",BH19*N(P19)*Kpd/((1-N(P19))+N(P19)*Kpd))</f>
        <v>1221.42500282355</v>
      </c>
      <c r="BJ19" s="54" t="n">
        <f aca="false">IF($C19="","",BH19-BI19)</f>
        <v>999.347729582902</v>
      </c>
      <c r="BK19" s="54" t="n">
        <f aca="false">IF($C19="","",IFERROR(Q19*FInsp*(1/X19-1/Y19),0))</f>
        <v>1500</v>
      </c>
      <c r="BL19" s="54" t="n">
        <f aca="false">IF($C19="","",IFERROR(Z19*Kpd*(1/X19-1/Y19),0))</f>
        <v>20833.3333333333</v>
      </c>
      <c r="BM19" s="54" t="n">
        <f aca="false">IF($C19="","",IFERROR((Q19*FInsp+Z19*Kpd)/X19,0))</f>
        <v>67000</v>
      </c>
      <c r="BN19" s="54" t="n">
        <f aca="false">IF($C19="","",IFERROR((Q19*FInsp+Z19*Kpd)/Y19,0))</f>
        <v>44666.6666666667</v>
      </c>
      <c r="BO19" s="54" t="n">
        <f aca="false">IF($C19="","",BH19+BK19+BL19-N(AA19))</f>
        <v>24554.1060657398</v>
      </c>
      <c r="BP19" s="57" t="n">
        <f aca="false">IF($C19="","",BK19+BL19-N(AA19))</f>
        <v>22333.3333333333</v>
      </c>
      <c r="BQ19" s="54" t="n">
        <f aca="false">IF($C19="","",BR19+BS19+BT19)</f>
        <v>41210</v>
      </c>
      <c r="BR19" s="54" t="n">
        <f aca="false">IF($C19="","",Q19*FInsp)</f>
        <v>18000</v>
      </c>
      <c r="BS19" s="54" t="n">
        <f aca="false">IF($C19="","",INDEX(FFScost,N(T19)+1)+RBIimpl)</f>
        <v>3210</v>
      </c>
      <c r="BT19" s="54" t="n">
        <f aca="false">IF($C19="","",IF(OR(AO19="NO APTO/REPARAR",AO19="APTO CON LIMITACIONES"),N(W19)*FRep,0))</f>
        <v>20000</v>
      </c>
      <c r="BU19" s="51" t="n">
        <f aca="false">IF($C19="","",IF(R19=0,Horiz,(1-(1+R19)^(-Horiz))/R19))</f>
        <v>6.14456710570469</v>
      </c>
      <c r="BV19" s="54" t="n">
        <f aca="false">IF($C19="","",BO19*BU19)</f>
        <v>150874.352441529</v>
      </c>
      <c r="BW19" s="58" t="n">
        <f aca="false">IF($C19="","",IFERROR(BV19/BQ19,0))</f>
        <v>3.66111022668111</v>
      </c>
      <c r="BX19" s="57" t="n">
        <f aca="false">IF($C19="","",BV19-BQ19)</f>
        <v>109664.352441529</v>
      </c>
      <c r="BY19" s="57" t="n">
        <f aca="false">IF($C19="","",BO19*IF(R19=0,1,1/(1+R19))-BQ19)</f>
        <v>-18888.085394782</v>
      </c>
      <c r="BZ19" s="57" t="n">
        <f aca="false">IF($C19="","",BO19*IF(R19=0,10,(1-(1+R19)^(-10))/R19)-BQ19)</f>
        <v>109664.352441529</v>
      </c>
      <c r="CA19" s="57" t="n">
        <f aca="false">IF($C19="","",BP19*BU19-BQ19)</f>
        <v>96018.665360738</v>
      </c>
      <c r="CB19" s="58" t="n">
        <f aca="false">IF($C19="","",IFERROR(BP19*BU19/BQ19,0))</f>
        <v>3.32998459987231</v>
      </c>
      <c r="CC19" s="50" t="n">
        <f aca="false">IF($C19="","",IF(BP19&gt;0,BQ19/BP19,"No recupera"))</f>
        <v>1.84522388059701</v>
      </c>
      <c r="CD19" s="59" t="n">
        <f aca="false">IF($C19="","",IFERROR((Horiz*BO19-BQ19)/BQ19,0))</f>
        <v>4.95828829549619</v>
      </c>
      <c r="CE19" s="50" t="n">
        <f aca="false">IF($C19="","",IF(BO19&gt;0,BQ19/BO19,"No recupera"))</f>
        <v>1.67833436451185</v>
      </c>
      <c r="CF19" s="50" t="n">
        <f aca="false">IF($C19="","",IF(BO19&lt;=0,"No recupera",IF(R19=0,BQ19/BO19,IFERROR(-LN(1-BQ19*R19/BO19)/LN(1+R19),"No recupera"))))</f>
        <v>1.92762894794326</v>
      </c>
      <c r="CG19" s="57" t="n">
        <f aca="false">IF($C19="","",BO19-BQ19/BU19)</f>
        <v>17847.3683426315</v>
      </c>
      <c r="CH19" s="54" t="n">
        <f aca="false">IF($C19="","",(BM19+BF19)*BU19)</f>
        <v>427739.745589026</v>
      </c>
      <c r="CI19" s="54" t="n">
        <f aca="false">IF($C19="","",(BN19+BG19+N(AA19))*BU19+BQ19)</f>
        <v>318075.393147498</v>
      </c>
      <c r="CJ19" s="57" t="n">
        <f aca="false">IF($C19="","",IF(OR(N(T19)=0,AO19="NO APTO/REPARAR",AO19="REVISAR"),"n/a",(AK19*FMS*MAX(1,AJ19*INDEX(EffRet,MATCH(S19,EffList,0)))*AL19-AW19)*BU19-INDEX(FFScost,N(T19)+1)-BT19))</f>
        <v>-17381.1876726156</v>
      </c>
      <c r="CK19" s="55" t="str">
        <f aca="false">IF($C19="","",IF(BW19&gt;1,"ACEPTABLE","NO ACEPTABLE"))</f>
        <v>ACEPTABLE</v>
      </c>
      <c r="CL19" s="60" t="str">
        <f aca="false">IF($C19="","",IF(ISNUMBER(AG19),IF(AG19&lt;0,IF(LEFT(AO19,4)="APTO","RUL&lt;0 con FFS apto: verificar","RUL&lt;0"),""),""))</f>
        <v/>
      </c>
      <c r="CM19" s="57" t="n">
        <f aca="false">IF($C19="","",-$BQ19+IF($R19=0,$BO19*MIN(CM$15,Horiz),$BO19*(1-(1+$R19)^(-MIN(CM$15,Horiz)))/$R19))</f>
        <v>-41210</v>
      </c>
      <c r="CN19" s="57" t="n">
        <f aca="false">IF($C19="","",-$BQ19+IF($R19=0,$BO19*MIN(CN$15,Horiz),$BO19*(1-(1+$R19)^(-MIN(CN$15,Horiz)))/$R19))</f>
        <v>-18888.085394782</v>
      </c>
      <c r="CO19" s="57" t="n">
        <f aca="false">IF($C19="","",-$BQ19+IF($R19=0,$BO19*MIN(CO$15,Horiz),$BO19*(1-(1+$R19)^(-MIN(CO$15,Horiz)))/$R19))</f>
        <v>1404.56424632526</v>
      </c>
      <c r="CP19" s="57" t="n">
        <f aca="false">IF($C19="","",-$BQ19+IF($R19=0,$BO19*MIN(CP$15,Horiz),$BO19*(1-(1+$R19)^(-MIN(CP$15,Horiz)))/$R19))</f>
        <v>19852.4275564228</v>
      </c>
      <c r="CQ19" s="57" t="n">
        <f aca="false">IF($C19="","",-$BQ19+IF($R19=0,$BO19*MIN(CQ$15,Horiz),$BO19*(1-(1+$R19)^(-MIN(CQ$15,Horiz)))/$R19))</f>
        <v>36623.2123837842</v>
      </c>
      <c r="CR19" s="57" t="n">
        <f aca="false">IF($C19="","",-$BQ19+IF($R19=0,$BO19*MIN(CR$15,Horiz),$BO19*(1-(1+$R19)^(-MIN(CR$15,Horiz)))/$R19))</f>
        <v>51869.3804086582</v>
      </c>
      <c r="CS19" s="57" t="n">
        <f aca="false">IF($C19="","",-$BQ19+IF($R19=0,$BO19*MIN(CS$15,Horiz),$BO19*(1-(1+$R19)^(-MIN(CS$15,Horiz)))/$R19))</f>
        <v>65729.5331585436</v>
      </c>
      <c r="CT19" s="57" t="n">
        <f aca="false">IF($C19="","",-$BQ19+IF($R19=0,$BO19*MIN(CT$15,Horiz),$BO19*(1-(1+$R19)^(-MIN(CT$15,Horiz)))/$R19))</f>
        <v>78329.6720220758</v>
      </c>
      <c r="CU19" s="57" t="n">
        <f aca="false">IF($C19="","",-$BQ19+IF($R19=0,$BO19*MIN(CU$15,Horiz),$BO19*(1-(1+$R19)^(-MIN(CU$15,Horiz)))/$R19))</f>
        <v>89784.343716196</v>
      </c>
      <c r="CV19" s="57" t="n">
        <f aca="false">IF($C19="","",-$BQ19+IF($R19=0,$BO19*MIN(CV$15,Horiz),$BO19*(1-(1+$R19)^(-MIN(CV$15,Horiz)))/$R19))</f>
        <v>100197.681619942</v>
      </c>
      <c r="CW19" s="57" t="n">
        <f aca="false">IF($C19="","",-$BQ19+IF($R19=0,$BO19*MIN(CW$15,Horiz),$BO19*(1-(1+$R19)^(-MIN(CW$15,Horiz)))/$R19))</f>
        <v>109664.352441529</v>
      </c>
      <c r="CX19" s="57" t="n">
        <f aca="false">IF($C19="","",-$BQ19+IF($R19=0,$BO19*MIN(CX$15,Horiz),$BO19*(1-(1+$R19)^(-MIN(CX$15,Horiz)))/$R19))</f>
        <v>109664.352441529</v>
      </c>
      <c r="CY19" s="57" t="n">
        <f aca="false">IF($C19="","",-$BQ19+IF($R19=0,$BO19*MIN(CY$15,Horiz),$BO19*(1-(1+$R19)^(-MIN(CY$15,Horiz)))/$R19))</f>
        <v>109664.352441529</v>
      </c>
      <c r="CZ19" s="57" t="n">
        <f aca="false">IF($C19="","",-$BQ19+IF($R19=0,$BO19*MIN(CZ$15,Horiz),$BO19*(1-(1+$R19)^(-MIN(CZ$15,Horiz)))/$R19))</f>
        <v>109664.352441529</v>
      </c>
      <c r="DA19" s="57" t="n">
        <f aca="false">IF($C19="","",-$BQ19+IF($R19=0,$BO19*MIN(DA$15,Horiz),$BO19*(1-(1+$R19)^(-MIN(DA$15,Horiz)))/$R19))</f>
        <v>109664.352441529</v>
      </c>
      <c r="DB19" s="57" t="n">
        <f aca="false">IF($C19="","",-$BQ19+IF($R19=0,$BO19*MIN(DB$15,Horiz),$BO19*(1-(1+$R19)^(-MIN(DB$15,Horiz)))/$R19))</f>
        <v>109664.352441529</v>
      </c>
    </row>
    <row r="20" customFormat="false" ht="15" hidden="false" customHeight="false" outlineLevel="0" collapsed="false">
      <c r="A20" s="38" t="n">
        <v>5</v>
      </c>
      <c r="B20" s="39" t="s">
        <v>175</v>
      </c>
      <c r="C20" s="40" t="s">
        <v>176</v>
      </c>
      <c r="D20" s="39" t="s">
        <v>177</v>
      </c>
      <c r="E20" s="39" t="s">
        <v>178</v>
      </c>
      <c r="F20" s="41" t="n">
        <v>8</v>
      </c>
      <c r="G20" s="41" t="n">
        <v>60</v>
      </c>
      <c r="H20" s="42" t="n">
        <v>14</v>
      </c>
      <c r="I20" s="43" t="n">
        <v>0.05</v>
      </c>
      <c r="J20" s="44" t="n">
        <v>10</v>
      </c>
      <c r="K20" s="41" t="n">
        <v>2016</v>
      </c>
      <c r="L20" s="39" t="s">
        <v>179</v>
      </c>
      <c r="M20" s="40" t="s">
        <v>180</v>
      </c>
      <c r="N20" s="45"/>
      <c r="O20" s="46" t="n">
        <v>3000000</v>
      </c>
      <c r="P20" s="47" t="n">
        <v>0.4</v>
      </c>
      <c r="Q20" s="46" t="n">
        <v>22000</v>
      </c>
      <c r="R20" s="48" t="n">
        <v>0.1</v>
      </c>
      <c r="S20" s="40" t="s">
        <v>161</v>
      </c>
      <c r="T20" s="41" t="n">
        <v>2</v>
      </c>
      <c r="U20" s="40" t="s">
        <v>152</v>
      </c>
      <c r="V20" s="40" t="s">
        <v>168</v>
      </c>
      <c r="W20" s="46"/>
      <c r="X20" s="41" t="n">
        <v>6</v>
      </c>
      <c r="Y20" s="41" t="n">
        <v>9</v>
      </c>
      <c r="Z20" s="46" t="n">
        <v>300000</v>
      </c>
      <c r="AA20" s="46" t="n">
        <v>1000</v>
      </c>
      <c r="AB20" s="41" t="n">
        <v>4</v>
      </c>
      <c r="AC20" s="40" t="s">
        <v>169</v>
      </c>
      <c r="AD20" s="41" t="n">
        <v>4</v>
      </c>
      <c r="AE20" s="40" t="s">
        <v>169</v>
      </c>
      <c r="AF20" s="49" t="n">
        <f aca="false">IF($C20="","",AnioEval-K20)</f>
        <v>10</v>
      </c>
      <c r="AG20" s="50" t="n">
        <f aca="false">IF($C20="","",IF(AND(ISNUMBER(J20),I20&gt;0),(H20-J20)/(I20*SensCR)-AF20,"n/d"))</f>
        <v>70</v>
      </c>
      <c r="AH20" s="51" t="n">
        <f aca="false">IF($C20="","",IFERROR(I20*SensCR*AF20/H20,0))</f>
        <v>0.0357142857142857</v>
      </c>
      <c r="AI20" s="52" t="n">
        <f aca="false">IF($C20="","",IF(INDEX(MecTipo,MATCH(L20,MecList,0))="F",IFERROR(INDEX(SusDF,MATCH(M20,SusList,0)),1),LOOKUP(AH20,ArtLim,ArtDF)))</f>
        <v>500</v>
      </c>
      <c r="AJ20" s="52" t="n">
        <f aca="false">IF($C20="","",IF(ISNUMBER(N20),N20,AI20))</f>
        <v>500</v>
      </c>
      <c r="AK20" s="53" t="n">
        <f aca="false">IF($C20="","",INDEX(GFFval,MATCH(D20,GFFtipo,0)))</f>
        <v>3.06E-005</v>
      </c>
      <c r="AL20" s="54" t="n">
        <f aca="false">IF($C20="","",O20*((1-N(P20))+N(P20)*Kpd))</f>
        <v>3000000</v>
      </c>
      <c r="AM20" s="53" t="n">
        <f aca="false">IF($C20="","",AK20*AJ20*FMS)</f>
        <v>0.00483828482005762</v>
      </c>
      <c r="AN20" s="54" t="n">
        <f aca="false">IF($C20="","",AM20*AL20)</f>
        <v>14514.8544601729</v>
      </c>
      <c r="AO20" s="55" t="str">
        <f aca="false">IF($C20="","",IF(N(T20)=0,"No requerido",IF(AND(U20="Apto",V20="Pasa"),"APTO/PASA",IF(AND(U20="Apto con limitaciones",V20="Pasa"),"APTO CON LIMITACIONES",IF(U20="No apto","NO APTO/REPARAR","REVISAR")))))</f>
        <v>REVISAR</v>
      </c>
      <c r="AP20" s="54" t="n">
        <f aca="false">IF($C20="","",AK20*FMS*IF(AO20="NO APTO/REPARAR",1,MAX(1,AJ20*INDEX(EffRet,1)*INDEX(FFSfac,MATCH(AO20,FFSlist,0))))*AL20)</f>
        <v>1451.48544601729</v>
      </c>
      <c r="AQ20" s="54" t="n">
        <f aca="false">IF($C20="","",AK20*FMS*IF(AO20="NO APTO/REPARAR",1,MAX(1,AJ20*INDEX(EffRet,2)*INDEX(FFSfac,MATCH(AO20,FFSlist,0))))*AL20)</f>
        <v>4354.45633805186</v>
      </c>
      <c r="AR20" s="54" t="n">
        <f aca="false">IF($C20="","",AK20*FMS*IF(AO20="NO APTO/REPARAR",1,MAX(1,AJ20*INDEX(EffRet,3)*INDEX(FFSfac,MATCH(AO20,FFSlist,0))))*AL20)</f>
        <v>7257.42723008643</v>
      </c>
      <c r="AS20" s="54" t="n">
        <f aca="false">IF($C20="","",AK20*FMS*IF(AO20="NO APTO/REPARAR",1,MAX(1,AJ20*INDEX(EffRet,4)*INDEX(FFSfac,MATCH(AO20,FFSlist,0))))*AL20)</f>
        <v>10160.398122121</v>
      </c>
      <c r="AT20" s="54" t="n">
        <f aca="false">IF($C20="","",IFERROR(Q20*FInsp/INDEX(CostRel,MATCH(S20,EffList,0)),0))</f>
        <v>26400</v>
      </c>
      <c r="AU20" s="52" t="n">
        <f aca="false">IF($C20="","",IF(AO20="NO APTO/REPARAR",1,MAX(1,AJ20*INDEX(EffRet,MATCH(S20,EffList,0))*INDEX(FFSfac,MATCH(AO20,FFSlist,0)))))</f>
        <v>150</v>
      </c>
      <c r="AV20" s="53" t="n">
        <f aca="false">IF($C20="","",AK20*AU20*FMS)</f>
        <v>0.00145148544601729</v>
      </c>
      <c r="AW20" s="54" t="n">
        <f aca="false">IF($C20="","",AV20*AL20)</f>
        <v>4354.45633805186</v>
      </c>
      <c r="AX20" s="54" t="n">
        <f aca="false">IF($C20="","",IFERROR(AK20*FMS*INDEX(DFrep,AB20)*INDEX(FCrep,MATCH(AC20,CatLet,0)),AN20))</f>
        <v>9662.63537983348</v>
      </c>
      <c r="AY20" s="54" t="n">
        <f aca="false">IF($C20="","",IFERROR(AK20*FMS*INDEX(DFrep,AD20)*INDEX(FCrep,MATCH(AE20,CatLet,0)),AW20))</f>
        <v>9662.63537983348</v>
      </c>
      <c r="AZ20" s="56" t="str">
        <f aca="false">IF($C20="","",(1+SUMPRODUCT(--(AJ20&gt;PcutDF)))&amp;CHOOSE(1+SUMPRODUCT(--(AL20&gt;CcutFC)),"A","B","C","D","E"))</f>
        <v>4D</v>
      </c>
      <c r="BA20" s="56" t="str">
        <f aca="false">IF($C20="","",(1+SUMPRODUCT(--(AU20&gt;PcutDF)))&amp;CHOOSE(1+SUMPRODUCT(--(AL20&gt;CcutFC)),"A","B","C","D","E"))</f>
        <v>4D</v>
      </c>
      <c r="BB20" s="56" t="str">
        <f aca="false">IF($C20="","",IF(AND(AB20&amp;AC20=AZ20,AD20&amp;AE20=BA20),"OK","REVISAR"))</f>
        <v>OK</v>
      </c>
      <c r="BC20" s="49" t="n">
        <f aca="false">IF($C20="","",IFERROR(INDEX(RAMlev,AB20,MATCH(AC20,CatLet,0)),""))</f>
        <v>3</v>
      </c>
      <c r="BD20" s="49" t="n">
        <f aca="false">IF($C20="","",IFERROR(INDEX(RAMlev,AD20,MATCH(AE20,CatLet,0)),""))</f>
        <v>3</v>
      </c>
      <c r="BE20" s="56" t="str">
        <f aca="false">IF($C20="","",IF(BD20="","",IF(BD20&lt;=ObjNivel,"Cumple","Excede")))</f>
        <v>Excede</v>
      </c>
      <c r="BF20" s="54" t="n">
        <f aca="false">IF($C20="","",IF(Base="RAM",AX20,AN20))</f>
        <v>14514.8544601729</v>
      </c>
      <c r="BG20" s="54" t="n">
        <f aca="false">IF($C20="","",IF(Base="RAM",AY20,AW20))</f>
        <v>4354.45633805186</v>
      </c>
      <c r="BH20" s="54" t="n">
        <f aca="false">IF($C20="","",BF20-BG20)</f>
        <v>10160.398122121</v>
      </c>
      <c r="BI20" s="54" t="n">
        <f aca="false">IF($C20="","",BH20*N(P20)*Kpd/((1-N(P20))+N(P20)*Kpd))</f>
        <v>4064.1592488484</v>
      </c>
      <c r="BJ20" s="54" t="n">
        <f aca="false">IF($C20="","",BH20-BI20)</f>
        <v>6096.2388732726</v>
      </c>
      <c r="BK20" s="54" t="n">
        <f aca="false">IF($C20="","",IFERROR(Q20*FInsp*(1/X20-1/Y20),0))</f>
        <v>1222.22222222222</v>
      </c>
      <c r="BL20" s="54" t="n">
        <f aca="false">IF($C20="","",IFERROR(Z20*Kpd*(1/X20-1/Y20),0))</f>
        <v>16666.6666666667</v>
      </c>
      <c r="BM20" s="54" t="n">
        <f aca="false">IF($C20="","",IFERROR((Q20*FInsp+Z20*Kpd)/X20,0))</f>
        <v>53666.6666666667</v>
      </c>
      <c r="BN20" s="54" t="n">
        <f aca="false">IF($C20="","",IFERROR((Q20*FInsp+Z20*Kpd)/Y20,0))</f>
        <v>35777.7777777778</v>
      </c>
      <c r="BO20" s="54" t="n">
        <f aca="false">IF($C20="","",BH20+BK20+BL20-N(AA20))</f>
        <v>27049.2870110099</v>
      </c>
      <c r="BP20" s="57" t="n">
        <f aca="false">IF($C20="","",BK20+BL20-N(AA20))</f>
        <v>16888.8888888889</v>
      </c>
      <c r="BQ20" s="54" t="n">
        <f aca="false">IF($C20="","",BR20+BS20+BT20)</f>
        <v>37210</v>
      </c>
      <c r="BR20" s="54" t="n">
        <f aca="false">IF($C20="","",Q20*FInsp)</f>
        <v>22000</v>
      </c>
      <c r="BS20" s="54" t="n">
        <f aca="false">IF($C20="","",INDEX(FFScost,N(T20)+1)+RBIimpl)</f>
        <v>15210</v>
      </c>
      <c r="BT20" s="54" t="n">
        <f aca="false">IF($C20="","",IF(OR(AO20="NO APTO/REPARAR",AO20="APTO CON LIMITACIONES"),N(W20)*FRep,0))</f>
        <v>0</v>
      </c>
      <c r="BU20" s="51" t="n">
        <f aca="false">IF($C20="","",IF(R20=0,Horiz,(1-(1+R20)^(-Horiz))/R20))</f>
        <v>6.14456710570469</v>
      </c>
      <c r="BV20" s="54" t="n">
        <f aca="false">IF($C20="","",BO20*BU20)</f>
        <v>166206.159200616</v>
      </c>
      <c r="BW20" s="58" t="n">
        <f aca="false">IF($C20="","",IFERROR(BV20/BQ20,0))</f>
        <v>4.46670677776448</v>
      </c>
      <c r="BX20" s="57" t="n">
        <f aca="false">IF($C20="","",BV20-BQ20)</f>
        <v>128996.159200616</v>
      </c>
      <c r="BY20" s="57" t="n">
        <f aca="false">IF($C20="","",BO20*IF(R20=0,1,1/(1+R20))-BQ20)</f>
        <v>-12619.7390809001</v>
      </c>
      <c r="BZ20" s="57" t="n">
        <f aca="false">IF($C20="","",BO20*IF(R20=0,10,(1-(1+R20)^(-10))/R20)-BQ20)</f>
        <v>128996.159200616</v>
      </c>
      <c r="CA20" s="57" t="n">
        <f aca="false">IF($C20="","",BP20*BU20-BQ20)</f>
        <v>66564.911118568</v>
      </c>
      <c r="CB20" s="58" t="n">
        <f aca="false">IF($C20="","",IFERROR(BP20*BU20/BQ20,0))</f>
        <v>2.78889844446568</v>
      </c>
      <c r="CC20" s="50" t="n">
        <f aca="false">IF($C20="","",IF(BP20&gt;0,BQ20/BP20,"No recupera"))</f>
        <v>2.20322368421053</v>
      </c>
      <c r="CD20" s="59" t="n">
        <f aca="false">IF($C20="","",IFERROR((Horiz*BO20-BQ20)/BQ20,0))</f>
        <v>6.26935958371671</v>
      </c>
      <c r="CE20" s="50" t="n">
        <f aca="false">IF($C20="","",IF(BO20&gt;0,BQ20/BO20,"No recupera"))</f>
        <v>1.3756369986704</v>
      </c>
      <c r="CF20" s="50" t="n">
        <f aca="false">IF($C20="","",IF(BO20&lt;=0,"No recupera",IF(R20=0,BQ20/BO20,IFERROR(-LN(1-BQ20*R20/BO20)/LN(1+R20),"No recupera"))))</f>
        <v>1.55276160454398</v>
      </c>
      <c r="CG20" s="57" t="n">
        <f aca="false">IF($C20="","",BO20-BQ20/BU20)</f>
        <v>20993.5308674316</v>
      </c>
      <c r="CH20" s="54" t="n">
        <f aca="false">IF($C20="","",(BM20+BF20)*BU20)</f>
        <v>418945.931932887</v>
      </c>
      <c r="CI20" s="54" t="n">
        <f aca="false">IF($C20="","",(BN20+BG20+N(AA20))*BU20+BQ20)</f>
        <v>289949.772732271</v>
      </c>
      <c r="CJ20" s="57" t="str">
        <f aca="false">IF($C20="","",IF(OR(N(T20)=0,AO20="NO APTO/REPARAR",AO20="REVISAR"),"n/a",(AK20*FMS*MAX(1,AJ20*INDEX(EffRet,MATCH(S20,EffList,0)))*AL20-AW20)*BU20-INDEX(FFScost,N(T20)+1)-BT20))</f>
        <v>n/a</v>
      </c>
      <c r="CK20" s="55" t="str">
        <f aca="false">IF($C20="","",IF(BW20&gt;1,"ACEPTABLE","NO ACEPTABLE"))</f>
        <v>ACEPTABLE</v>
      </c>
      <c r="CL20" s="60" t="str">
        <f aca="false">IF($C20="","",IF(ISNUMBER(AG20),IF(AG20&lt;0,IF(LEFT(AO20,4)="APTO","RUL&lt;0 con FFS apto: verificar","RUL&lt;0"),""),""))</f>
        <v/>
      </c>
      <c r="CM20" s="57" t="n">
        <f aca="false">IF($C20="","",-$BQ20+IF($R20=0,$BO20*MIN(CM$15,Horiz),$BO20*(1-(1+$R20)^(-MIN(CM$15,Horiz)))/$R20))</f>
        <v>-37210</v>
      </c>
      <c r="CN20" s="57" t="n">
        <f aca="false">IF($C20="","",-$BQ20+IF($R20=0,$BO20*MIN(CN$15,Horiz),$BO20*(1-(1+$R20)^(-MIN(CN$15,Horiz)))/$R20))</f>
        <v>-12619.7390809001</v>
      </c>
      <c r="CO20" s="57" t="n">
        <f aca="false">IF($C20="","",-$BQ20+IF($R20=0,$BO20*MIN(CO$15,Horiz),$BO20*(1-(1+$R20)^(-MIN(CO$15,Horiz)))/$R20))</f>
        <v>9735.0435728271</v>
      </c>
      <c r="CP20" s="57" t="n">
        <f aca="false">IF($C20="","",-$BQ20+IF($R20=0,$BO20*MIN(CP$15,Horiz),$BO20*(1-(1+$R20)^(-MIN(CP$15,Horiz)))/$R20))</f>
        <v>30057.5732580337</v>
      </c>
      <c r="CQ20" s="57" t="n">
        <f aca="false">IF($C20="","",-$BQ20+IF($R20=0,$BO20*MIN(CQ$15,Horiz),$BO20*(1-(1+$R20)^(-MIN(CQ$15,Horiz)))/$R20))</f>
        <v>48532.600244585</v>
      </c>
      <c r="CR20" s="57" t="n">
        <f aca="false">IF($C20="","",-$BQ20+IF($R20=0,$BO20*MIN(CR$15,Horiz),$BO20*(1-(1+$R20)^(-MIN(CR$15,Horiz)))/$R20))</f>
        <v>65328.0793232681</v>
      </c>
      <c r="CS20" s="57" t="n">
        <f aca="false">IF($C20="","",-$BQ20+IF($R20=0,$BO20*MIN(CS$15,Horiz),$BO20*(1-(1+$R20)^(-MIN(CS$15,Horiz)))/$R20))</f>
        <v>80596.6966675255</v>
      </c>
      <c r="CT20" s="57" t="n">
        <f aca="false">IF($C20="","",-$BQ20+IF($R20=0,$BO20*MIN(CT$15,Horiz),$BO20*(1-(1+$R20)^(-MIN(CT$15,Horiz)))/$R20))</f>
        <v>94477.2578895776</v>
      </c>
      <c r="CU20" s="57" t="n">
        <f aca="false">IF($C20="","",-$BQ20+IF($R20=0,$BO20*MIN(CU$15,Horiz),$BO20*(1-(1+$R20)^(-MIN(CU$15,Horiz)))/$R20))</f>
        <v>107095.949909625</v>
      </c>
      <c r="CV20" s="57" t="n">
        <f aca="false">IF($C20="","",-$BQ20+IF($R20=0,$BO20*MIN(CV$15,Horiz),$BO20*(1-(1+$R20)^(-MIN(CV$15,Horiz)))/$R20))</f>
        <v>118567.488109668</v>
      </c>
      <c r="CW20" s="57" t="n">
        <f aca="false">IF($C20="","",-$BQ20+IF($R20=0,$BO20*MIN(CW$15,Horiz),$BO20*(1-(1+$R20)^(-MIN(CW$15,Horiz)))/$R20))</f>
        <v>128996.159200616</v>
      </c>
      <c r="CX20" s="57" t="n">
        <f aca="false">IF($C20="","",-$BQ20+IF($R20=0,$BO20*MIN(CX$15,Horiz),$BO20*(1-(1+$R20)^(-MIN(CX$15,Horiz)))/$R20))</f>
        <v>128996.159200616</v>
      </c>
      <c r="CY20" s="57" t="n">
        <f aca="false">IF($C20="","",-$BQ20+IF($R20=0,$BO20*MIN(CY$15,Horiz),$BO20*(1-(1+$R20)^(-MIN(CY$15,Horiz)))/$R20))</f>
        <v>128996.159200616</v>
      </c>
      <c r="CZ20" s="57" t="n">
        <f aca="false">IF($C20="","",-$BQ20+IF($R20=0,$BO20*MIN(CZ$15,Horiz),$BO20*(1-(1+$R20)^(-MIN(CZ$15,Horiz)))/$R20))</f>
        <v>128996.159200616</v>
      </c>
      <c r="DA20" s="57" t="n">
        <f aca="false">IF($C20="","",-$BQ20+IF($R20=0,$BO20*MIN(DA$15,Horiz),$BO20*(1-(1+$R20)^(-MIN(DA$15,Horiz)))/$R20))</f>
        <v>128996.159200616</v>
      </c>
      <c r="DB20" s="57" t="n">
        <f aca="false">IF($C20="","",-$BQ20+IF($R20=0,$BO20*MIN(DB$15,Horiz),$BO20*(1-(1+$R20)^(-MIN(DB$15,Horiz)))/$R20))</f>
        <v>128996.159200616</v>
      </c>
    </row>
    <row r="21" customFormat="false" ht="15" hidden="false" customHeight="false" outlineLevel="0" collapsed="false">
      <c r="A21" s="38" t="n">
        <v>6</v>
      </c>
      <c r="B21" s="39" t="s">
        <v>146</v>
      </c>
      <c r="C21" s="40" t="s">
        <v>181</v>
      </c>
      <c r="D21" s="39" t="s">
        <v>164</v>
      </c>
      <c r="E21" s="39" t="s">
        <v>182</v>
      </c>
      <c r="F21" s="41" t="n">
        <v>0.1</v>
      </c>
      <c r="G21" s="41" t="n">
        <v>360</v>
      </c>
      <c r="H21" s="42" t="n">
        <v>20</v>
      </c>
      <c r="I21" s="43" t="n">
        <v>0.4</v>
      </c>
      <c r="J21" s="44" t="n">
        <v>15</v>
      </c>
      <c r="K21" s="41" t="n">
        <v>2018</v>
      </c>
      <c r="L21" s="39" t="s">
        <v>183</v>
      </c>
      <c r="M21" s="40"/>
      <c r="N21" s="45"/>
      <c r="O21" s="46" t="n">
        <v>8000000</v>
      </c>
      <c r="P21" s="47" t="n">
        <v>0.55</v>
      </c>
      <c r="Q21" s="46" t="n">
        <v>28000</v>
      </c>
      <c r="R21" s="48" t="n">
        <v>0.1</v>
      </c>
      <c r="S21" s="40" t="s">
        <v>161</v>
      </c>
      <c r="T21" s="41" t="n">
        <v>1</v>
      </c>
      <c r="U21" s="40" t="s">
        <v>152</v>
      </c>
      <c r="V21" s="40" t="s">
        <v>153</v>
      </c>
      <c r="W21" s="46"/>
      <c r="X21" s="41" t="n">
        <v>6</v>
      </c>
      <c r="Y21" s="41" t="n">
        <v>10</v>
      </c>
      <c r="Z21" s="46" t="n">
        <v>500000</v>
      </c>
      <c r="AA21" s="46" t="n">
        <v>1500</v>
      </c>
      <c r="AB21" s="41" t="n">
        <v>2</v>
      </c>
      <c r="AC21" s="40" t="s">
        <v>169</v>
      </c>
      <c r="AD21" s="41" t="n">
        <v>1</v>
      </c>
      <c r="AE21" s="40" t="s">
        <v>169</v>
      </c>
      <c r="AF21" s="49" t="n">
        <f aca="false">IF($C21="","",AnioEval-K21)</f>
        <v>8</v>
      </c>
      <c r="AG21" s="50" t="n">
        <f aca="false">IF($C21="","",IF(AND(ISNUMBER(J21),I21&gt;0),(H21-J21)/(I21*SensCR)-AF21,"n/d"))</f>
        <v>4.5</v>
      </c>
      <c r="AH21" s="51" t="n">
        <f aca="false">IF($C21="","",IFERROR(I21*SensCR*AF21/H21,0))</f>
        <v>0.16</v>
      </c>
      <c r="AI21" s="52" t="n">
        <f aca="false">IF($C21="","",IF(INDEX(MecTipo,MATCH(L21,MecList,0))="F",IFERROR(INDEX(SusDF,MATCH(M21,SusList,0)),1),LOOKUP(AH21,ArtLim,ArtDF)))</f>
        <v>20</v>
      </c>
      <c r="AJ21" s="52" t="n">
        <f aca="false">IF($C21="","",IF(ISNUMBER(N21),N21,AI21))</f>
        <v>20</v>
      </c>
      <c r="AK21" s="53" t="n">
        <f aca="false">IF($C21="","",INDEX(GFFval,MATCH(D21,GFFtipo,0)))</f>
        <v>3.06E-005</v>
      </c>
      <c r="AL21" s="54" t="n">
        <f aca="false">IF($C21="","",O21*((1-N(P21))+N(P21)*Kpd))</f>
        <v>8000000</v>
      </c>
      <c r="AM21" s="53" t="n">
        <f aca="false">IF($C21="","",AK21*AJ21*FMS)</f>
        <v>0.000193531392802305</v>
      </c>
      <c r="AN21" s="54" t="n">
        <f aca="false">IF($C21="","",AM21*AL21)</f>
        <v>1548.25114241844</v>
      </c>
      <c r="AO21" s="55" t="str">
        <f aca="false">IF($C21="","",IF(N(T21)=0,"No requerido",IF(AND(U21="Apto",V21="Pasa"),"APTO/PASA",IF(AND(U21="Apto con limitaciones",V21="Pasa"),"APTO CON LIMITACIONES",IF(U21="No apto","NO APTO/REPARAR","REVISAR")))))</f>
        <v>APTO/PASA</v>
      </c>
      <c r="AP21" s="54" t="n">
        <f aca="false">IF($C21="","",AK21*FMS*IF(AO21="NO APTO/REPARAR",1,MAX(1,AJ21*INDEX(EffRet,1)*INDEX(FFSfac,MATCH(AO21,FFSlist,0))))*AL21)</f>
        <v>77.4125571209219</v>
      </c>
      <c r="AQ21" s="54" t="n">
        <f aca="false">IF($C21="","",AK21*FMS*IF(AO21="NO APTO/REPARAR",1,MAX(1,AJ21*INDEX(EffRet,2)*INDEX(FFSfac,MATCH(AO21,FFSlist,0))))*AL21)</f>
        <v>77.4125571209219</v>
      </c>
      <c r="AR21" s="54" t="n">
        <f aca="false">IF($C21="","",AK21*FMS*IF(AO21="NO APTO/REPARAR",1,MAX(1,AJ21*INDEX(EffRet,3)*INDEX(FFSfac,MATCH(AO21,FFSlist,0))))*AL21)</f>
        <v>77.4125571209219</v>
      </c>
      <c r="AS21" s="54" t="n">
        <f aca="false">IF($C21="","",AK21*FMS*IF(AO21="NO APTO/REPARAR",1,MAX(1,AJ21*INDEX(EffRet,4)*INDEX(FFSfac,MATCH(AO21,FFSlist,0))))*AL21)</f>
        <v>77.4125571209219</v>
      </c>
      <c r="AT21" s="54" t="n">
        <f aca="false">IF($C21="","",IFERROR(Q21*FInsp/INDEX(CostRel,MATCH(S21,EffList,0)),0))</f>
        <v>33600</v>
      </c>
      <c r="AU21" s="52" t="n">
        <f aca="false">IF($C21="","",IF(AO21="NO APTO/REPARAR",1,MAX(1,AJ21*INDEX(EffRet,MATCH(S21,EffList,0))*INDEX(FFSfac,MATCH(AO21,FFSlist,0)))))</f>
        <v>1</v>
      </c>
      <c r="AV21" s="53" t="n">
        <f aca="false">IF($C21="","",AK21*AU21*FMS)</f>
        <v>9.67656964011524E-006</v>
      </c>
      <c r="AW21" s="54" t="n">
        <f aca="false">IF($C21="","",AV21*AL21)</f>
        <v>77.4125571209219</v>
      </c>
      <c r="AX21" s="54" t="n">
        <f aca="false">IF($C21="","",IFERROR(AK21*FMS*INDEX(DFrep,AB21)*INDEX(FCrep,MATCH(AC21,CatLet,0)),AN21))</f>
        <v>183.467760376585</v>
      </c>
      <c r="AY21" s="54" t="n">
        <f aca="false">IF($C21="","",IFERROR(AK21*FMS*INDEX(DFrep,AD21)*INDEX(FCrep,MATCH(AE21,CatLet,0)),AW21))</f>
        <v>30.5779600627642</v>
      </c>
      <c r="AZ21" s="56" t="str">
        <f aca="false">IF($C21="","",(1+SUMPRODUCT(--(AJ21&gt;PcutDF)))&amp;CHOOSE(1+SUMPRODUCT(--(AL21&gt;CcutFC)),"A","B","C","D","E"))</f>
        <v>2D</v>
      </c>
      <c r="BA21" s="56" t="str">
        <f aca="false">IF($C21="","",(1+SUMPRODUCT(--(AU21&gt;PcutDF)))&amp;CHOOSE(1+SUMPRODUCT(--(AL21&gt;CcutFC)),"A","B","C","D","E"))</f>
        <v>1D</v>
      </c>
      <c r="BB21" s="56" t="str">
        <f aca="false">IF($C21="","",IF(AND(AB21&amp;AC21=AZ21,AD21&amp;AE21=BA21),"OK","REVISAR"))</f>
        <v>OK</v>
      </c>
      <c r="BC21" s="49" t="n">
        <f aca="false">IF($C21="","",IFERROR(INDEX(RAMlev,AB21,MATCH(AC21,CatLet,0)),""))</f>
        <v>2</v>
      </c>
      <c r="BD21" s="49" t="n">
        <f aca="false">IF($C21="","",IFERROR(INDEX(RAMlev,AD21,MATCH(AE21,CatLet,0)),""))</f>
        <v>2</v>
      </c>
      <c r="BE21" s="56" t="str">
        <f aca="false">IF($C21="","",IF(BD21="","",IF(BD21&lt;=ObjNivel,"Cumple","Excede")))</f>
        <v>Cumple</v>
      </c>
      <c r="BF21" s="54" t="n">
        <f aca="false">IF($C21="","",IF(Base="RAM",AX21,AN21))</f>
        <v>1548.25114241844</v>
      </c>
      <c r="BG21" s="54" t="n">
        <f aca="false">IF($C21="","",IF(Base="RAM",AY21,AW21))</f>
        <v>77.4125571209219</v>
      </c>
      <c r="BH21" s="54" t="n">
        <f aca="false">IF($C21="","",BF21-BG21)</f>
        <v>1470.83858529752</v>
      </c>
      <c r="BI21" s="54" t="n">
        <f aca="false">IF($C21="","",BH21*N(P21)*Kpd/((1-N(P21))+N(P21)*Kpd))</f>
        <v>808.961221913634</v>
      </c>
      <c r="BJ21" s="54" t="n">
        <f aca="false">IF($C21="","",BH21-BI21)</f>
        <v>661.877363383882</v>
      </c>
      <c r="BK21" s="54" t="n">
        <f aca="false">IF($C21="","",IFERROR(Q21*FInsp*(1/X21-1/Y21),0))</f>
        <v>1866.66666666667</v>
      </c>
      <c r="BL21" s="54" t="n">
        <f aca="false">IF($C21="","",IFERROR(Z21*Kpd*(1/X21-1/Y21),0))</f>
        <v>33333.3333333333</v>
      </c>
      <c r="BM21" s="54" t="n">
        <f aca="false">IF($C21="","",IFERROR((Q21*FInsp+Z21*Kpd)/X21,0))</f>
        <v>88000</v>
      </c>
      <c r="BN21" s="54" t="n">
        <f aca="false">IF($C21="","",IFERROR((Q21*FInsp+Z21*Kpd)/Y21,0))</f>
        <v>52800</v>
      </c>
      <c r="BO21" s="54" t="n">
        <f aca="false">IF($C21="","",BH21+BK21+BL21-N(AA21))</f>
        <v>35170.8385852975</v>
      </c>
      <c r="BP21" s="57" t="n">
        <f aca="false">IF($C21="","",BK21+BL21-N(AA21))</f>
        <v>33700</v>
      </c>
      <c r="BQ21" s="54" t="n">
        <f aca="false">IF($C21="","",BR21+BS21+BT21)</f>
        <v>31210</v>
      </c>
      <c r="BR21" s="54" t="n">
        <f aca="false">IF($C21="","",Q21*FInsp)</f>
        <v>28000</v>
      </c>
      <c r="BS21" s="54" t="n">
        <f aca="false">IF($C21="","",INDEX(FFScost,N(T21)+1)+RBIimpl)</f>
        <v>3210</v>
      </c>
      <c r="BT21" s="54" t="n">
        <f aca="false">IF($C21="","",IF(OR(AO21="NO APTO/REPARAR",AO21="APTO CON LIMITACIONES"),N(W21)*FRep,0))</f>
        <v>0</v>
      </c>
      <c r="BU21" s="51" t="n">
        <f aca="false">IF($C21="","",IF(R21=0,Horiz,(1-(1+R21)^(-Horiz))/R21))</f>
        <v>6.14456710570469</v>
      </c>
      <c r="BV21" s="54" t="n">
        <f aca="false">IF($C21="","",BO21*BU21)</f>
        <v>216109.577851268</v>
      </c>
      <c r="BW21" s="58" t="n">
        <f aca="false">IF($C21="","",IFERROR(BV21/BQ21,0))</f>
        <v>6.92436968443666</v>
      </c>
      <c r="BX21" s="57" t="n">
        <f aca="false">IF($C21="","",BV21-BQ21)</f>
        <v>184899.577851268</v>
      </c>
      <c r="BY21" s="57" t="n">
        <f aca="false">IF($C21="","",BO21*IF(R21=0,1,1/(1+R21))-BQ21)</f>
        <v>763.489622997739</v>
      </c>
      <c r="BZ21" s="57" t="n">
        <f aca="false">IF($C21="","",BO21*IF(R21=0,10,(1-(1+R21)^(-10))/R21)-BQ21)</f>
        <v>184899.577851268</v>
      </c>
      <c r="CA21" s="57" t="n">
        <f aca="false">IF($C21="","",BP21*BU21-BQ21)</f>
        <v>175861.911462248</v>
      </c>
      <c r="CB21" s="58" t="n">
        <f aca="false">IF($C21="","",IFERROR(BP21*BU21/BQ21,0))</f>
        <v>6.63479370273143</v>
      </c>
      <c r="CC21" s="50" t="n">
        <f aca="false">IF($C21="","",IF(BP21&gt;0,BQ21/BP21,"No recupera"))</f>
        <v>0.926112759643917</v>
      </c>
      <c r="CD21" s="59" t="n">
        <f aca="false">IF($C21="","",IFERROR((Horiz*BO21-BQ21)/BQ21,0))</f>
        <v>10.2690927860614</v>
      </c>
      <c r="CE21" s="50" t="n">
        <f aca="false">IF($C21="","",IF(BO21&gt;0,BQ21/BO21,"No recupera"))</f>
        <v>0.887382878981076</v>
      </c>
      <c r="CF21" s="50" t="n">
        <f aca="false">IF($C21="","",IF(BO21&lt;=0,"No recupera",IF(R21=0,BQ21/BO21,IFERROR(-LN(1-BQ21*R21/BO21)/LN(1+R21),"No recupera"))))</f>
        <v>0.97497605340721</v>
      </c>
      <c r="CG21" s="57" t="n">
        <f aca="false">IF($C21="","",BO21-BQ21/BU21)</f>
        <v>30091.5548110143</v>
      </c>
      <c r="CH21" s="54" t="n">
        <f aca="false">IF($C21="","",(BM21+BF21)*BU21)</f>
        <v>550235.238343086</v>
      </c>
      <c r="CI21" s="54" t="n">
        <f aca="false">IF($C21="","",(BN21+BG21+N(AA21))*BU21+BQ21)</f>
        <v>365335.660491818</v>
      </c>
      <c r="CJ21" s="57" t="n">
        <f aca="false">IF($C21="","",IF(OR(N(T21)=0,AO21="NO APTO/REPARAR",AO21="REVISAR"),"n/a",(AK21*FMS*MAX(1,AJ21*INDEX(EffRet,MATCH(S21,EffList,0)))*AL21-AW21)*BU21-INDEX(FFScost,N(T21)+1)-BT21))</f>
        <v>-621.66673973149</v>
      </c>
      <c r="CK21" s="55" t="str">
        <f aca="false">IF($C21="","",IF(BW21&gt;1,"ACEPTABLE","NO ACEPTABLE"))</f>
        <v>ACEPTABLE</v>
      </c>
      <c r="CL21" s="60" t="str">
        <f aca="false">IF($C21="","",IF(ISNUMBER(AG21),IF(AG21&lt;0,IF(LEFT(AO21,4)="APTO","RUL&lt;0 con FFS apto: verificar","RUL&lt;0"),""),""))</f>
        <v/>
      </c>
      <c r="CM21" s="57" t="n">
        <f aca="false">IF($C21="","",-$BQ21+IF($R21=0,$BO21*MIN(CM$15,Horiz),$BO21*(1-(1+$R21)^(-MIN(CM$15,Horiz)))/$R21))</f>
        <v>-31210</v>
      </c>
      <c r="CN21" s="57" t="n">
        <f aca="false">IF($C21="","",-$BQ21+IF($R21=0,$BO21*MIN(CN$15,Horiz),$BO21*(1-(1+$R21)^(-MIN(CN$15,Horiz)))/$R21))</f>
        <v>763.489622997749</v>
      </c>
      <c r="CO21" s="57" t="n">
        <f aca="false">IF($C21="","",-$BQ21+IF($R21=0,$BO21*MIN(CO$15,Horiz),$BO21*(1-(1+$R21)^(-MIN(CO$15,Horiz)))/$R21))</f>
        <v>29830.2983711775</v>
      </c>
      <c r="CP21" s="57" t="n">
        <f aca="false">IF($C21="","",-$BQ21+IF($R21=0,$BO21*MIN(CP$15,Horiz),$BO21*(1-(1+$R21)^(-MIN(CP$15,Horiz)))/$R21))</f>
        <v>56254.6699604319</v>
      </c>
      <c r="CQ21" s="57" t="n">
        <f aca="false">IF($C21="","",-$BQ21+IF($R21=0,$BO21*MIN(CQ$15,Horiz),$BO21*(1-(1+$R21)^(-MIN(CQ$15,Horiz)))/$R21))</f>
        <v>80276.8259506631</v>
      </c>
      <c r="CR21" s="57" t="n">
        <f aca="false">IF($C21="","",-$BQ21+IF($R21=0,$BO21*MIN(CR$15,Horiz),$BO21*(1-(1+$R21)^(-MIN(CR$15,Horiz)))/$R21))</f>
        <v>102115.149578146</v>
      </c>
      <c r="CS21" s="57" t="n">
        <f aca="false">IF($C21="","",-$BQ21+IF($R21=0,$BO21*MIN(CS$15,Horiz),$BO21*(1-(1+$R21)^(-MIN(CS$15,Horiz)))/$R21))</f>
        <v>121968.171057676</v>
      </c>
      <c r="CT21" s="57" t="n">
        <f aca="false">IF($C21="","",-$BQ21+IF($R21=0,$BO21*MIN(CT$15,Horiz),$BO21*(1-(1+$R21)^(-MIN(CT$15,Horiz)))/$R21))</f>
        <v>140016.372402703</v>
      </c>
      <c r="CU21" s="57" t="n">
        <f aca="false">IF($C21="","",-$BQ21+IF($R21=0,$BO21*MIN(CU$15,Horiz),$BO21*(1-(1+$R21)^(-MIN(CU$15,Horiz)))/$R21))</f>
        <v>156423.82817091</v>
      </c>
      <c r="CV21" s="57" t="n">
        <f aca="false">IF($C21="","",-$BQ21+IF($R21=0,$BO21*MIN(CV$15,Horiz),$BO21*(1-(1+$R21)^(-MIN(CV$15,Horiz)))/$R21))</f>
        <v>171339.697051098</v>
      </c>
      <c r="CW21" s="57" t="n">
        <f aca="false">IF($C21="","",-$BQ21+IF($R21=0,$BO21*MIN(CW$15,Horiz),$BO21*(1-(1+$R21)^(-MIN(CW$15,Horiz)))/$R21))</f>
        <v>184899.577851268</v>
      </c>
      <c r="CX21" s="57" t="n">
        <f aca="false">IF($C21="","",-$BQ21+IF($R21=0,$BO21*MIN(CX$15,Horiz),$BO21*(1-(1+$R21)^(-MIN(CX$15,Horiz)))/$R21))</f>
        <v>184899.577851268</v>
      </c>
      <c r="CY21" s="57" t="n">
        <f aca="false">IF($C21="","",-$BQ21+IF($R21=0,$BO21*MIN(CY$15,Horiz),$BO21*(1-(1+$R21)^(-MIN(CY$15,Horiz)))/$R21))</f>
        <v>184899.577851268</v>
      </c>
      <c r="CZ21" s="57" t="n">
        <f aca="false">IF($C21="","",-$BQ21+IF($R21=0,$BO21*MIN(CZ$15,Horiz),$BO21*(1-(1+$R21)^(-MIN(CZ$15,Horiz)))/$R21))</f>
        <v>184899.577851268</v>
      </c>
      <c r="DA21" s="57" t="n">
        <f aca="false">IF($C21="","",-$BQ21+IF($R21=0,$BO21*MIN(DA$15,Horiz),$BO21*(1-(1+$R21)^(-MIN(DA$15,Horiz)))/$R21))</f>
        <v>184899.577851268</v>
      </c>
      <c r="DB21" s="57" t="n">
        <f aca="false">IF($C21="","",-$BQ21+IF($R21=0,$BO21*MIN(DB$15,Horiz),$BO21*(1-(1+$R21)^(-MIN(DB$15,Horiz)))/$R21))</f>
        <v>184899.577851268</v>
      </c>
    </row>
    <row r="22" customFormat="false" ht="15" hidden="false" customHeight="false" outlineLevel="0" collapsed="false">
      <c r="A22" s="38" t="n">
        <v>7</v>
      </c>
      <c r="B22" s="39" t="s">
        <v>155</v>
      </c>
      <c r="C22" s="40" t="s">
        <v>184</v>
      </c>
      <c r="D22" s="39" t="s">
        <v>148</v>
      </c>
      <c r="E22" s="39" t="s">
        <v>185</v>
      </c>
      <c r="F22" s="41" t="n">
        <v>20</v>
      </c>
      <c r="G22" s="41" t="n">
        <v>150</v>
      </c>
      <c r="H22" s="42" t="n">
        <v>9</v>
      </c>
      <c r="I22" s="43" t="n">
        <v>0.127</v>
      </c>
      <c r="J22" s="44" t="n">
        <v>6</v>
      </c>
      <c r="K22" s="41" t="n">
        <v>2015</v>
      </c>
      <c r="L22" s="39" t="s">
        <v>186</v>
      </c>
      <c r="M22" s="40"/>
      <c r="N22" s="45"/>
      <c r="O22" s="46" t="n">
        <v>900000</v>
      </c>
      <c r="P22" s="47" t="n">
        <v>0.3</v>
      </c>
      <c r="Q22" s="46" t="n">
        <v>6000</v>
      </c>
      <c r="R22" s="48" t="n">
        <v>0.1</v>
      </c>
      <c r="S22" s="40" t="s">
        <v>161</v>
      </c>
      <c r="T22" s="41" t="n">
        <v>0</v>
      </c>
      <c r="U22" s="40"/>
      <c r="V22" s="40"/>
      <c r="W22" s="46"/>
      <c r="X22" s="41" t="n">
        <v>5</v>
      </c>
      <c r="Y22" s="41" t="n">
        <v>8</v>
      </c>
      <c r="Z22" s="46" t="n">
        <v>60000</v>
      </c>
      <c r="AA22" s="46"/>
      <c r="AB22" s="41" t="n">
        <v>2</v>
      </c>
      <c r="AC22" s="40" t="s">
        <v>154</v>
      </c>
      <c r="AD22" s="41" t="n">
        <v>2</v>
      </c>
      <c r="AE22" s="40" t="s">
        <v>154</v>
      </c>
      <c r="AF22" s="49" t="n">
        <f aca="false">IF($C22="","",AnioEval-K22)</f>
        <v>11</v>
      </c>
      <c r="AG22" s="50" t="n">
        <f aca="false">IF($C22="","",IF(AND(ISNUMBER(J22),I22&gt;0),(H22-J22)/(I22*SensCR)-AF22,"n/d"))</f>
        <v>12.6220472440945</v>
      </c>
      <c r="AH22" s="51" t="n">
        <f aca="false">IF($C22="","",IFERROR(I22*SensCR*AF22/H22,0))</f>
        <v>0.155222222222222</v>
      </c>
      <c r="AI22" s="52" t="n">
        <f aca="false">IF($C22="","",IF(INDEX(MecTipo,MATCH(L22,MecList,0))="F",IFERROR(INDEX(SusDF,MATCH(M22,SusList,0)),1),LOOKUP(AH22,ArtLim,ArtDF)))</f>
        <v>20</v>
      </c>
      <c r="AJ22" s="52" t="n">
        <f aca="false">IF($C22="","",IF(ISNUMBER(N22),N22,AI22))</f>
        <v>20</v>
      </c>
      <c r="AK22" s="53" t="n">
        <f aca="false">IF($C22="","",INDEX(GFFval,MATCH(D22,GFFtipo,0)))</f>
        <v>3.06E-005</v>
      </c>
      <c r="AL22" s="54" t="n">
        <f aca="false">IF($C22="","",O22*((1-N(P22))+N(P22)*Kpd))</f>
        <v>900000</v>
      </c>
      <c r="AM22" s="53" t="n">
        <f aca="false">IF($C22="","",AK22*AJ22*FMS)</f>
        <v>0.000193531392802305</v>
      </c>
      <c r="AN22" s="54" t="n">
        <f aca="false">IF($C22="","",AM22*AL22)</f>
        <v>174.178253522074</v>
      </c>
      <c r="AO22" s="55" t="str">
        <f aca="false">IF($C22="","",IF(N(T22)=0,"No requerido",IF(AND(U22="Apto",V22="Pasa"),"APTO/PASA",IF(AND(U22="Apto con limitaciones",V22="Pasa"),"APTO CON LIMITACIONES",IF(U22="No apto","NO APTO/REPARAR","REVISAR")))))</f>
        <v>No requerido</v>
      </c>
      <c r="AP22" s="54" t="n">
        <f aca="false">IF($C22="","",AK22*FMS*IF(AO22="NO APTO/REPARAR",1,MAX(1,AJ22*INDEX(EffRet,1)*INDEX(FFSfac,MATCH(AO22,FFSlist,0))))*AL22)</f>
        <v>17.4178253522074</v>
      </c>
      <c r="AQ22" s="54" t="n">
        <f aca="false">IF($C22="","",AK22*FMS*IF(AO22="NO APTO/REPARAR",1,MAX(1,AJ22*INDEX(EffRet,2)*INDEX(FFSfac,MATCH(AO22,FFSlist,0))))*AL22)</f>
        <v>52.2534760566223</v>
      </c>
      <c r="AR22" s="54" t="n">
        <f aca="false">IF($C22="","",AK22*FMS*IF(AO22="NO APTO/REPARAR",1,MAX(1,AJ22*INDEX(EffRet,3)*INDEX(FFSfac,MATCH(AO22,FFSlist,0))))*AL22)</f>
        <v>87.0891267610372</v>
      </c>
      <c r="AS22" s="54" t="n">
        <f aca="false">IF($C22="","",AK22*FMS*IF(AO22="NO APTO/REPARAR",1,MAX(1,AJ22*INDEX(EffRet,4)*INDEX(FFSfac,MATCH(AO22,FFSlist,0))))*AL22)</f>
        <v>121.924777465452</v>
      </c>
      <c r="AT22" s="54" t="n">
        <f aca="false">IF($C22="","",IFERROR(Q22*FInsp/INDEX(CostRel,MATCH(S22,EffList,0)),0))</f>
        <v>7200</v>
      </c>
      <c r="AU22" s="52" t="n">
        <f aca="false">IF($C22="","",IF(AO22="NO APTO/REPARAR",1,MAX(1,AJ22*INDEX(EffRet,MATCH(S22,EffList,0))*INDEX(FFSfac,MATCH(AO22,FFSlist,0)))))</f>
        <v>6</v>
      </c>
      <c r="AV22" s="53" t="n">
        <f aca="false">IF($C22="","",AK22*AU22*FMS)</f>
        <v>5.80594178406915E-005</v>
      </c>
      <c r="AW22" s="54" t="n">
        <f aca="false">IF($C22="","",AV22*AL22)</f>
        <v>52.2534760566223</v>
      </c>
      <c r="AX22" s="54" t="n">
        <f aca="false">IF($C22="","",IFERROR(AK22*FMS*INDEX(DFrep,AB22)*INDEX(FCrep,MATCH(AC22,CatLet,0)),AN22))</f>
        <v>18.3467760376585</v>
      </c>
      <c r="AY22" s="54" t="n">
        <f aca="false">IF($C22="","",IFERROR(AK22*FMS*INDEX(DFrep,AD22)*INDEX(FCrep,MATCH(AE22,CatLet,0)),AW22))</f>
        <v>18.3467760376585</v>
      </c>
      <c r="AZ22" s="56" t="str">
        <f aca="false">IF($C22="","",(1+SUMPRODUCT(--(AJ22&gt;PcutDF)))&amp;CHOOSE(1+SUMPRODUCT(--(AL22&gt;CcutFC)),"A","B","C","D","E"))</f>
        <v>2C</v>
      </c>
      <c r="BA22" s="56" t="str">
        <f aca="false">IF($C22="","",(1+SUMPRODUCT(--(AU22&gt;PcutDF)))&amp;CHOOSE(1+SUMPRODUCT(--(AL22&gt;CcutFC)),"A","B","C","D","E"))</f>
        <v>2C</v>
      </c>
      <c r="BB22" s="56" t="str">
        <f aca="false">IF($C22="","",IF(AND(AB22&amp;AC22=AZ22,AD22&amp;AE22=BA22),"OK","REVISAR"))</f>
        <v>OK</v>
      </c>
      <c r="BC22" s="49" t="n">
        <f aca="false">IF($C22="","",IFERROR(INDEX(RAMlev,AB22,MATCH(AC22,CatLet,0)),""))</f>
        <v>2</v>
      </c>
      <c r="BD22" s="49" t="n">
        <f aca="false">IF($C22="","",IFERROR(INDEX(RAMlev,AD22,MATCH(AE22,CatLet,0)),""))</f>
        <v>2</v>
      </c>
      <c r="BE22" s="56" t="str">
        <f aca="false">IF($C22="","",IF(BD22="","",IF(BD22&lt;=ObjNivel,"Cumple","Excede")))</f>
        <v>Cumple</v>
      </c>
      <c r="BF22" s="54" t="n">
        <f aca="false">IF($C22="","",IF(Base="RAM",AX22,AN22))</f>
        <v>174.178253522074</v>
      </c>
      <c r="BG22" s="54" t="n">
        <f aca="false">IF($C22="","",IF(Base="RAM",AY22,AW22))</f>
        <v>52.2534760566223</v>
      </c>
      <c r="BH22" s="54" t="n">
        <f aca="false">IF($C22="","",BF22-BG22)</f>
        <v>121.924777465452</v>
      </c>
      <c r="BI22" s="54" t="n">
        <f aca="false">IF($C22="","",BH22*N(P22)*Kpd/((1-N(P22))+N(P22)*Kpd))</f>
        <v>36.5774332396356</v>
      </c>
      <c r="BJ22" s="54" t="n">
        <f aca="false">IF($C22="","",BH22-BI22)</f>
        <v>85.3473442258164</v>
      </c>
      <c r="BK22" s="54" t="n">
        <f aca="false">IF($C22="","",IFERROR(Q22*FInsp*(1/X22-1/Y22),0))</f>
        <v>450</v>
      </c>
      <c r="BL22" s="54" t="n">
        <f aca="false">IF($C22="","",IFERROR(Z22*Kpd*(1/X22-1/Y22),0))</f>
        <v>4500</v>
      </c>
      <c r="BM22" s="54" t="n">
        <f aca="false">IF($C22="","",IFERROR((Q22*FInsp+Z22*Kpd)/X22,0))</f>
        <v>13200</v>
      </c>
      <c r="BN22" s="54" t="n">
        <f aca="false">IF($C22="","",IFERROR((Q22*FInsp+Z22*Kpd)/Y22,0))</f>
        <v>8250</v>
      </c>
      <c r="BO22" s="54" t="n">
        <f aca="false">IF($C22="","",BH22+BK22+BL22-N(AA22))</f>
        <v>5071.92477746545</v>
      </c>
      <c r="BP22" s="57" t="n">
        <f aca="false">IF($C22="","",BK22+BL22-N(AA22))</f>
        <v>4950</v>
      </c>
      <c r="BQ22" s="54" t="n">
        <f aca="false">IF($C22="","",BR22+BS22+BT22)</f>
        <v>6210</v>
      </c>
      <c r="BR22" s="54" t="n">
        <f aca="false">IF($C22="","",Q22*FInsp)</f>
        <v>6000</v>
      </c>
      <c r="BS22" s="54" t="n">
        <f aca="false">IF($C22="","",INDEX(FFScost,N(T22)+1)+RBIimpl)</f>
        <v>210</v>
      </c>
      <c r="BT22" s="54" t="n">
        <f aca="false">IF($C22="","",IF(OR(AO22="NO APTO/REPARAR",AO22="APTO CON LIMITACIONES"),N(W22)*FRep,0))</f>
        <v>0</v>
      </c>
      <c r="BU22" s="51" t="n">
        <f aca="false">IF($C22="","",IF(R22=0,Horiz,(1-(1+R22)^(-Horiz))/R22))</f>
        <v>6.14456710570469</v>
      </c>
      <c r="BV22" s="54" t="n">
        <f aca="false">IF($C22="","",BO22*BU22)</f>
        <v>31164.7821502228</v>
      </c>
      <c r="BW22" s="58" t="n">
        <f aca="false">IF($C22="","",IFERROR(BV22/BQ22,0))</f>
        <v>5.0184834380391</v>
      </c>
      <c r="BX22" s="57" t="n">
        <f aca="false">IF($C22="","",BV22-BQ22)</f>
        <v>24954.7821502228</v>
      </c>
      <c r="BY22" s="57" t="n">
        <f aca="false">IF($C22="","",BO22*IF(R22=0,1,1/(1+R22))-BQ22)</f>
        <v>-1599.15929321322</v>
      </c>
      <c r="BZ22" s="57" t="n">
        <f aca="false">IF($C22="","",BO22*IF(R22=0,10,(1-(1+R22)^(-10))/R22)-BQ22)</f>
        <v>24954.7821502228</v>
      </c>
      <c r="CA22" s="57" t="n">
        <f aca="false">IF($C22="","",BP22*BU22-BQ22)</f>
        <v>24205.6071732382</v>
      </c>
      <c r="CB22" s="58" t="n">
        <f aca="false">IF($C22="","",IFERROR(BP22*BU22/BQ22,0))</f>
        <v>4.89784334512692</v>
      </c>
      <c r="CC22" s="50" t="n">
        <f aca="false">IF($C22="","",IF(BP22&gt;0,BQ22/BP22,"No recupera"))</f>
        <v>1.25454545454545</v>
      </c>
      <c r="CD22" s="59" t="n">
        <f aca="false">IF($C22="","",IFERROR((Horiz*BO22-BQ22)/BQ22,0))</f>
        <v>7.16735068835017</v>
      </c>
      <c r="CE22" s="50" t="n">
        <f aca="false">IF($C22="","",IF(BO22&gt;0,BQ22/BO22,"No recupera"))</f>
        <v>1.22438724398891</v>
      </c>
      <c r="CF22" s="50" t="n">
        <f aca="false">IF($C22="","",IF(BO22&lt;=0,"No recupera",IF(R22=0,BQ22/BO22,IFERROR(-LN(1-BQ22*R22/BO22)/LN(1+R22),"No recupera"))))</f>
        <v>1.3703520086038</v>
      </c>
      <c r="CG22" s="57" t="n">
        <f aca="false">IF($C22="","",BO22-BQ22/BU22)</f>
        <v>4061.27587524506</v>
      </c>
      <c r="CH22" s="54" t="n">
        <f aca="false">IF($C22="","",(BM22+BF22)*BU22)</f>
        <v>82178.5357624227</v>
      </c>
      <c r="CI22" s="54" t="n">
        <f aca="false">IF($C22="","",(BN22+BG22+N(AA22))*BU22+BQ22)</f>
        <v>57223.7536121999</v>
      </c>
      <c r="CJ22" s="57" t="str">
        <f aca="false">IF($C22="","",IF(OR(N(T22)=0,AO22="NO APTO/REPARAR",AO22="REVISAR"),"n/a",(AK22*FMS*MAX(1,AJ22*INDEX(EffRet,MATCH(S22,EffList,0)))*AL22-AW22)*BU22-INDEX(FFScost,N(T22)+1)-BT22))</f>
        <v>n/a</v>
      </c>
      <c r="CK22" s="55" t="str">
        <f aca="false">IF($C22="","",IF(BW22&gt;1,"ACEPTABLE","NO ACEPTABLE"))</f>
        <v>ACEPTABLE</v>
      </c>
      <c r="CL22" s="60" t="str">
        <f aca="false">IF($C22="","",IF(ISNUMBER(AG22),IF(AG22&lt;0,IF(LEFT(AO22,4)="APTO","RUL&lt;0 con FFS apto: verificar","RUL&lt;0"),""),""))</f>
        <v/>
      </c>
      <c r="CM22" s="57" t="n">
        <f aca="false">IF($C22="","",-$BQ22+IF($R22=0,$BO22*MIN(CM$15,Horiz),$BO22*(1-(1+$R22)^(-MIN(CM$15,Horiz)))/$R22))</f>
        <v>-6210</v>
      </c>
      <c r="CN22" s="57" t="n">
        <f aca="false">IF($C22="","",-$BQ22+IF($R22=0,$BO22*MIN(CN$15,Horiz),$BO22*(1-(1+$R22)^(-MIN(CN$15,Horiz)))/$R22))</f>
        <v>-1599.15929321322</v>
      </c>
      <c r="CO22" s="57" t="n">
        <f aca="false">IF($C22="","",-$BQ22+IF($R22=0,$BO22*MIN(CO$15,Horiz),$BO22*(1-(1+$R22)^(-MIN(CO$15,Horiz)))/$R22))</f>
        <v>2592.51407659294</v>
      </c>
      <c r="CP22" s="57" t="n">
        <f aca="false">IF($C22="","",-$BQ22+IF($R22=0,$BO22*MIN(CP$15,Horiz),$BO22*(1-(1+$R22)^(-MIN(CP$15,Horiz)))/$R22))</f>
        <v>6403.12623096218</v>
      </c>
      <c r="CQ22" s="57" t="n">
        <f aca="false">IF($C22="","",-$BQ22+IF($R22=0,$BO22*MIN(CQ$15,Horiz),$BO22*(1-(1+$R22)^(-MIN(CQ$15,Horiz)))/$R22))</f>
        <v>9867.31909857058</v>
      </c>
      <c r="CR22" s="57" t="n">
        <f aca="false">IF($C22="","",-$BQ22+IF($R22=0,$BO22*MIN(CR$15,Horiz),$BO22*(1-(1+$R22)^(-MIN(CR$15,Horiz)))/$R22))</f>
        <v>13016.5853418509</v>
      </c>
      <c r="CS22" s="57" t="n">
        <f aca="false">IF($C22="","",-$BQ22+IF($R22=0,$BO22*MIN(CS$15,Horiz),$BO22*(1-(1+$R22)^(-MIN(CS$15,Horiz)))/$R22))</f>
        <v>15879.554653924</v>
      </c>
      <c r="CT22" s="57" t="n">
        <f aca="false">IF($C22="","",-$BQ22+IF($R22=0,$BO22*MIN(CT$15,Horiz),$BO22*(1-(1+$R22)^(-MIN(CT$15,Horiz)))/$R22))</f>
        <v>18482.2540285359</v>
      </c>
      <c r="CU22" s="57" t="n">
        <f aca="false">IF($C22="","",-$BQ22+IF($R22=0,$BO22*MIN(CU$15,Horiz),$BO22*(1-(1+$R22)^(-MIN(CU$15,Horiz)))/$R22))</f>
        <v>20848.3443690921</v>
      </c>
      <c r="CV22" s="57" t="n">
        <f aca="false">IF($C22="","",-$BQ22+IF($R22=0,$BO22*MIN(CV$15,Horiz),$BO22*(1-(1+$R22)^(-MIN(CV$15,Horiz)))/$R22))</f>
        <v>22999.3355877796</v>
      </c>
      <c r="CW22" s="57" t="n">
        <f aca="false">IF($C22="","",-$BQ22+IF($R22=0,$BO22*MIN(CW$15,Horiz),$BO22*(1-(1+$R22)^(-MIN(CW$15,Horiz)))/$R22))</f>
        <v>24954.7821502228</v>
      </c>
      <c r="CX22" s="57" t="n">
        <f aca="false">IF($C22="","",-$BQ22+IF($R22=0,$BO22*MIN(CX$15,Horiz),$BO22*(1-(1+$R22)^(-MIN(CX$15,Horiz)))/$R22))</f>
        <v>24954.7821502228</v>
      </c>
      <c r="CY22" s="57" t="n">
        <f aca="false">IF($C22="","",-$BQ22+IF($R22=0,$BO22*MIN(CY$15,Horiz),$BO22*(1-(1+$R22)^(-MIN(CY$15,Horiz)))/$R22))</f>
        <v>24954.7821502228</v>
      </c>
      <c r="CZ22" s="57" t="n">
        <f aca="false">IF($C22="","",-$BQ22+IF($R22=0,$BO22*MIN(CZ$15,Horiz),$BO22*(1-(1+$R22)^(-MIN(CZ$15,Horiz)))/$R22))</f>
        <v>24954.7821502228</v>
      </c>
      <c r="DA22" s="57" t="n">
        <f aca="false">IF($C22="","",-$BQ22+IF($R22=0,$BO22*MIN(DA$15,Horiz),$BO22*(1-(1+$R22)^(-MIN(DA$15,Horiz)))/$R22))</f>
        <v>24954.7821502228</v>
      </c>
      <c r="DB22" s="57" t="n">
        <f aca="false">IF($C22="","",-$BQ22+IF($R22=0,$BO22*MIN(DB$15,Horiz),$BO22*(1-(1+$R22)^(-MIN(DB$15,Horiz)))/$R22))</f>
        <v>24954.7821502228</v>
      </c>
    </row>
    <row r="23" customFormat="false" ht="15" hidden="false" customHeight="false" outlineLevel="0" collapsed="false">
      <c r="A23" s="38" t="n">
        <v>8</v>
      </c>
      <c r="B23" s="39"/>
      <c r="C23" s="40"/>
      <c r="D23" s="39"/>
      <c r="E23" s="39"/>
      <c r="F23" s="41"/>
      <c r="G23" s="41"/>
      <c r="H23" s="42"/>
      <c r="I23" s="43"/>
      <c r="J23" s="44"/>
      <c r="K23" s="41"/>
      <c r="L23" s="39"/>
      <c r="M23" s="40"/>
      <c r="N23" s="45"/>
      <c r="O23" s="46"/>
      <c r="P23" s="47"/>
      <c r="Q23" s="46"/>
      <c r="R23" s="48"/>
      <c r="S23" s="40"/>
      <c r="T23" s="41"/>
      <c r="U23" s="40"/>
      <c r="V23" s="40"/>
      <c r="W23" s="46"/>
      <c r="X23" s="41"/>
      <c r="Y23" s="41"/>
      <c r="Z23" s="46"/>
      <c r="AA23" s="46"/>
      <c r="AB23" s="41"/>
      <c r="AC23" s="40"/>
      <c r="AD23" s="41"/>
      <c r="AE23" s="40"/>
      <c r="AF23" s="49" t="str">
        <f aca="false">IF($C23="","",AnioEval-K23)</f>
        <v/>
      </c>
      <c r="AG23" s="50" t="str">
        <f aca="false">IF($C23="","",IF(AND(ISNUMBER(J23),I23&gt;0),(H23-J23)/(I23*SensCR)-AF23,"n/d"))</f>
        <v/>
      </c>
      <c r="AH23" s="51" t="str">
        <f aca="false">IF($C23="","",IFERROR(I23*SensCR*AF23/H23,0))</f>
        <v/>
      </c>
      <c r="AI23" s="52" t="str">
        <f aca="false">IF($C23="","",IF(INDEX(MecTipo,MATCH(L23,MecList,0))="F",IFERROR(INDEX(SusDF,MATCH(M23,SusList,0)),1),LOOKUP(AH23,ArtLim,ArtDF)))</f>
        <v/>
      </c>
      <c r="AJ23" s="52" t="str">
        <f aca="false">IF($C23="","",IF(ISNUMBER(N23),N23,AI23))</f>
        <v/>
      </c>
      <c r="AK23" s="53" t="str">
        <f aca="false">IF($C23="","",INDEX(GFFval,MATCH(D23,GFFtipo,0)))</f>
        <v/>
      </c>
      <c r="AL23" s="54" t="str">
        <f aca="false">IF($C23="","",O23*((1-N(P23))+N(P23)*Kpd))</f>
        <v/>
      </c>
      <c r="AM23" s="53" t="str">
        <f aca="false">IF($C23="","",AK23*AJ23*FMS)</f>
        <v/>
      </c>
      <c r="AN23" s="54" t="str">
        <f aca="false">IF($C23="","",AM23*AL23)</f>
        <v/>
      </c>
      <c r="AO23" s="55" t="str">
        <f aca="false">IF($C23="","",IF(N(T23)=0,"No requerido",IF(AND(U23="Apto",V23="Pasa"),"APTO/PASA",IF(AND(U23="Apto con limitaciones",V23="Pasa"),"APTO CON LIMITACIONES",IF(U23="No apto","NO APTO/REPARAR","REVISAR")))))</f>
        <v/>
      </c>
      <c r="AP23" s="54" t="str">
        <f aca="false">IF($C23="","",AK23*FMS*IF(AO23="NO APTO/REPARAR",1,MAX(1,AJ23*INDEX(EffRet,1)*INDEX(FFSfac,MATCH(AO23,FFSlist,0))))*AL23)</f>
        <v/>
      </c>
      <c r="AQ23" s="54" t="str">
        <f aca="false">IF($C23="","",AK23*FMS*IF(AO23="NO APTO/REPARAR",1,MAX(1,AJ23*INDEX(EffRet,2)*INDEX(FFSfac,MATCH(AO23,FFSlist,0))))*AL23)</f>
        <v/>
      </c>
      <c r="AR23" s="54" t="str">
        <f aca="false">IF($C23="","",AK23*FMS*IF(AO23="NO APTO/REPARAR",1,MAX(1,AJ23*INDEX(EffRet,3)*INDEX(FFSfac,MATCH(AO23,FFSlist,0))))*AL23)</f>
        <v/>
      </c>
      <c r="AS23" s="54" t="str">
        <f aca="false">IF($C23="","",AK23*FMS*IF(AO23="NO APTO/REPARAR",1,MAX(1,AJ23*INDEX(EffRet,4)*INDEX(FFSfac,MATCH(AO23,FFSlist,0))))*AL23)</f>
        <v/>
      </c>
      <c r="AT23" s="54" t="str">
        <f aca="false">IF($C23="","",IFERROR(Q23*FInsp/INDEX(CostRel,MATCH(S23,EffList,0)),0))</f>
        <v/>
      </c>
      <c r="AU23" s="52" t="str">
        <f aca="false">IF($C23="","",IF(AO23="NO APTO/REPARAR",1,MAX(1,AJ23*INDEX(EffRet,MATCH(S23,EffList,0))*INDEX(FFSfac,MATCH(AO23,FFSlist,0)))))</f>
        <v/>
      </c>
      <c r="AV23" s="53" t="str">
        <f aca="false">IF($C23="","",AK23*AU23*FMS)</f>
        <v/>
      </c>
      <c r="AW23" s="54" t="str">
        <f aca="false">IF($C23="","",AV23*AL23)</f>
        <v/>
      </c>
      <c r="AX23" s="54" t="str">
        <f aca="false">IF($C23="","",IFERROR(AK23*FMS*INDEX(DFrep,AB23)*INDEX(FCrep,MATCH(AC23,CatLet,0)),AN23))</f>
        <v/>
      </c>
      <c r="AY23" s="54" t="str">
        <f aca="false">IF($C23="","",IFERROR(AK23*FMS*INDEX(DFrep,AD23)*INDEX(FCrep,MATCH(AE23,CatLet,0)),AW23))</f>
        <v/>
      </c>
      <c r="AZ23" s="56" t="str">
        <f aca="false">IF($C23="","",(1+SUMPRODUCT(--(AJ23&gt;PcutDF)))&amp;CHOOSE(1+SUMPRODUCT(--(AL23&gt;CcutFC)),"A","B","C","D","E"))</f>
        <v/>
      </c>
      <c r="BA23" s="56" t="str">
        <f aca="false">IF($C23="","",(1+SUMPRODUCT(--(AU23&gt;PcutDF)))&amp;CHOOSE(1+SUMPRODUCT(--(AL23&gt;CcutFC)),"A","B","C","D","E"))</f>
        <v/>
      </c>
      <c r="BB23" s="56" t="str">
        <f aca="false">IF($C23="","",IF(AND(AB23&amp;AC23=AZ23,AD23&amp;AE23=BA23),"OK","REVISAR"))</f>
        <v/>
      </c>
      <c r="BC23" s="49" t="str">
        <f aca="false">IF($C23="","",IFERROR(INDEX(RAMlev,AB23,MATCH(AC23,CatLet,0)),""))</f>
        <v/>
      </c>
      <c r="BD23" s="49" t="str">
        <f aca="false">IF($C23="","",IFERROR(INDEX(RAMlev,AD23,MATCH(AE23,CatLet,0)),""))</f>
        <v/>
      </c>
      <c r="BE23" s="56" t="str">
        <f aca="false">IF($C23="","",IF(BD23="","",IF(BD23&lt;=ObjNivel,"Cumple","Excede")))</f>
        <v/>
      </c>
      <c r="BF23" s="54" t="str">
        <f aca="false">IF($C23="","",IF(Base="RAM",AX23,AN23))</f>
        <v/>
      </c>
      <c r="BG23" s="54" t="str">
        <f aca="false">IF($C23="","",IF(Base="RAM",AY23,AW23))</f>
        <v/>
      </c>
      <c r="BH23" s="54" t="str">
        <f aca="false">IF($C23="","",BF23-BG23)</f>
        <v/>
      </c>
      <c r="BI23" s="54" t="str">
        <f aca="false">IF($C23="","",BH23*N(P23)*Kpd/((1-N(P23))+N(P23)*Kpd))</f>
        <v/>
      </c>
      <c r="BJ23" s="54" t="str">
        <f aca="false">IF($C23="","",BH23-BI23)</f>
        <v/>
      </c>
      <c r="BK23" s="54" t="str">
        <f aca="false">IF($C23="","",IFERROR(Q23*FInsp*(1/X23-1/Y23),0))</f>
        <v/>
      </c>
      <c r="BL23" s="54" t="str">
        <f aca="false">IF($C23="","",IFERROR(Z23*Kpd*(1/X23-1/Y23),0))</f>
        <v/>
      </c>
      <c r="BM23" s="54" t="str">
        <f aca="false">IF($C23="","",IFERROR((Q23*FInsp+Z23*Kpd)/X23,0))</f>
        <v/>
      </c>
      <c r="BN23" s="54" t="str">
        <f aca="false">IF($C23="","",IFERROR((Q23*FInsp+Z23*Kpd)/Y23,0))</f>
        <v/>
      </c>
      <c r="BO23" s="54" t="str">
        <f aca="false">IF($C23="","",BH23+BK23+BL23-N(AA23))</f>
        <v/>
      </c>
      <c r="BP23" s="57" t="str">
        <f aca="false">IF($C23="","",BK23+BL23-N(AA23))</f>
        <v/>
      </c>
      <c r="BQ23" s="54" t="str">
        <f aca="false">IF($C23="","",BR23+BS23+BT23)</f>
        <v/>
      </c>
      <c r="BR23" s="54" t="str">
        <f aca="false">IF($C23="","",Q23*FInsp)</f>
        <v/>
      </c>
      <c r="BS23" s="54" t="str">
        <f aca="false">IF($C23="","",INDEX(FFScost,N(T23)+1)+RBIimpl)</f>
        <v/>
      </c>
      <c r="BT23" s="54" t="str">
        <f aca="false">IF($C23="","",IF(OR(AO23="NO APTO/REPARAR",AO23="APTO CON LIMITACIONES"),N(W23)*FRep,0))</f>
        <v/>
      </c>
      <c r="BU23" s="51" t="str">
        <f aca="false">IF($C23="","",IF(R23=0,Horiz,(1-(1+R23)^(-Horiz))/R23))</f>
        <v/>
      </c>
      <c r="BV23" s="54" t="str">
        <f aca="false">IF($C23="","",BO23*BU23)</f>
        <v/>
      </c>
      <c r="BW23" s="58" t="str">
        <f aca="false">IF($C23="","",IFERROR(BV23/BQ23,0))</f>
        <v/>
      </c>
      <c r="BX23" s="57" t="str">
        <f aca="false">IF($C23="","",BV23-BQ23)</f>
        <v/>
      </c>
      <c r="BY23" s="57" t="str">
        <f aca="false">IF($C23="","",BO23*IF(R23=0,1,1/(1+R23))-BQ23)</f>
        <v/>
      </c>
      <c r="BZ23" s="57" t="str">
        <f aca="false">IF($C23="","",BO23*IF(R23=0,10,(1-(1+R23)^(-10))/R23)-BQ23)</f>
        <v/>
      </c>
      <c r="CA23" s="57" t="str">
        <f aca="false">IF($C23="","",BP23*BU23-BQ23)</f>
        <v/>
      </c>
      <c r="CB23" s="58" t="str">
        <f aca="false">IF($C23="","",IFERROR(BP23*BU23/BQ23,0))</f>
        <v/>
      </c>
      <c r="CC23" s="50" t="str">
        <f aca="false">IF($C23="","",IF(BP23&gt;0,BQ23/BP23,"No recupera"))</f>
        <v/>
      </c>
      <c r="CD23" s="59" t="str">
        <f aca="false">IF($C23="","",IFERROR((Horiz*BO23-BQ23)/BQ23,0))</f>
        <v/>
      </c>
      <c r="CE23" s="50" t="str">
        <f aca="false">IF($C23="","",IF(BO23&gt;0,BQ23/BO23,"No recupera"))</f>
        <v/>
      </c>
      <c r="CF23" s="50" t="str">
        <f aca="false">IF($C23="","",IF(BO23&lt;=0,"No recupera",IF(R23=0,BQ23/BO23,IFERROR(-LN(1-BQ23*R23/BO23)/LN(1+R23),"No recupera"))))</f>
        <v/>
      </c>
      <c r="CG23" s="57" t="str">
        <f aca="false">IF($C23="","",BO23-BQ23/BU23)</f>
        <v/>
      </c>
      <c r="CH23" s="54" t="str">
        <f aca="false">IF($C23="","",(BM23+BF23)*BU23)</f>
        <v/>
      </c>
      <c r="CI23" s="54" t="str">
        <f aca="false">IF($C23="","",(BN23+BG23+N(AA23))*BU23+BQ23)</f>
        <v/>
      </c>
      <c r="CJ23" s="57" t="str">
        <f aca="false">IF($C23="","",IF(OR(N(T23)=0,AO23="NO APTO/REPARAR",AO23="REVISAR"),"n/a",(AK23*FMS*MAX(1,AJ23*INDEX(EffRet,MATCH(S23,EffList,0)))*AL23-AW23)*BU23-INDEX(FFScost,N(T23)+1)-BT23))</f>
        <v/>
      </c>
      <c r="CK23" s="55" t="str">
        <f aca="false">IF($C23="","",IF(BW23&gt;1,"ACEPTABLE","NO ACEPTABLE"))</f>
        <v/>
      </c>
      <c r="CL23" s="60" t="str">
        <f aca="false">IF($C23="","",IF(ISNUMBER(AG23),IF(AG23&lt;0,IF(LEFT(AO23,4)="APTO","RUL&lt;0 con FFS apto: verificar","RUL&lt;0"),""),""))</f>
        <v/>
      </c>
      <c r="CM23" s="57" t="str">
        <f aca="false">IF($C23="","",-$BQ23+IF($R23=0,$BO23*MIN(CM$15,Horiz),$BO23*(1-(1+$R23)^(-MIN(CM$15,Horiz)))/$R23))</f>
        <v/>
      </c>
      <c r="CN23" s="57" t="str">
        <f aca="false">IF($C23="","",-$BQ23+IF($R23=0,$BO23*MIN(CN$15,Horiz),$BO23*(1-(1+$R23)^(-MIN(CN$15,Horiz)))/$R23))</f>
        <v/>
      </c>
      <c r="CO23" s="57" t="str">
        <f aca="false">IF($C23="","",-$BQ23+IF($R23=0,$BO23*MIN(CO$15,Horiz),$BO23*(1-(1+$R23)^(-MIN(CO$15,Horiz)))/$R23))</f>
        <v/>
      </c>
      <c r="CP23" s="57" t="str">
        <f aca="false">IF($C23="","",-$BQ23+IF($R23=0,$BO23*MIN(CP$15,Horiz),$BO23*(1-(1+$R23)^(-MIN(CP$15,Horiz)))/$R23))</f>
        <v/>
      </c>
      <c r="CQ23" s="57" t="str">
        <f aca="false">IF($C23="","",-$BQ23+IF($R23=0,$BO23*MIN(CQ$15,Horiz),$BO23*(1-(1+$R23)^(-MIN(CQ$15,Horiz)))/$R23))</f>
        <v/>
      </c>
      <c r="CR23" s="57" t="str">
        <f aca="false">IF($C23="","",-$BQ23+IF($R23=0,$BO23*MIN(CR$15,Horiz),$BO23*(1-(1+$R23)^(-MIN(CR$15,Horiz)))/$R23))</f>
        <v/>
      </c>
      <c r="CS23" s="57" t="str">
        <f aca="false">IF($C23="","",-$BQ23+IF($R23=0,$BO23*MIN(CS$15,Horiz),$BO23*(1-(1+$R23)^(-MIN(CS$15,Horiz)))/$R23))</f>
        <v/>
      </c>
      <c r="CT23" s="57" t="str">
        <f aca="false">IF($C23="","",-$BQ23+IF($R23=0,$BO23*MIN(CT$15,Horiz),$BO23*(1-(1+$R23)^(-MIN(CT$15,Horiz)))/$R23))</f>
        <v/>
      </c>
      <c r="CU23" s="57" t="str">
        <f aca="false">IF($C23="","",-$BQ23+IF($R23=0,$BO23*MIN(CU$15,Horiz),$BO23*(1-(1+$R23)^(-MIN(CU$15,Horiz)))/$R23))</f>
        <v/>
      </c>
      <c r="CV23" s="57" t="str">
        <f aca="false">IF($C23="","",-$BQ23+IF($R23=0,$BO23*MIN(CV$15,Horiz),$BO23*(1-(1+$R23)^(-MIN(CV$15,Horiz)))/$R23))</f>
        <v/>
      </c>
      <c r="CW23" s="57" t="str">
        <f aca="false">IF($C23="","",-$BQ23+IF($R23=0,$BO23*MIN(CW$15,Horiz),$BO23*(1-(1+$R23)^(-MIN(CW$15,Horiz)))/$R23))</f>
        <v/>
      </c>
      <c r="CX23" s="57" t="str">
        <f aca="false">IF($C23="","",-$BQ23+IF($R23=0,$BO23*MIN(CX$15,Horiz),$BO23*(1-(1+$R23)^(-MIN(CX$15,Horiz)))/$R23))</f>
        <v/>
      </c>
      <c r="CY23" s="57" t="str">
        <f aca="false">IF($C23="","",-$BQ23+IF($R23=0,$BO23*MIN(CY$15,Horiz),$BO23*(1-(1+$R23)^(-MIN(CY$15,Horiz)))/$R23))</f>
        <v/>
      </c>
      <c r="CZ23" s="57" t="str">
        <f aca="false">IF($C23="","",-$BQ23+IF($R23=0,$BO23*MIN(CZ$15,Horiz),$BO23*(1-(1+$R23)^(-MIN(CZ$15,Horiz)))/$R23))</f>
        <v/>
      </c>
      <c r="DA23" s="57" t="str">
        <f aca="false">IF($C23="","",-$BQ23+IF($R23=0,$BO23*MIN(DA$15,Horiz),$BO23*(1-(1+$R23)^(-MIN(DA$15,Horiz)))/$R23))</f>
        <v/>
      </c>
      <c r="DB23" s="57" t="str">
        <f aca="false">IF($C23="","",-$BQ23+IF($R23=0,$BO23*MIN(DB$15,Horiz),$BO23*(1-(1+$R23)^(-MIN(DB$15,Horiz)))/$R23))</f>
        <v/>
      </c>
    </row>
    <row r="24" customFormat="false" ht="15" hidden="false" customHeight="false" outlineLevel="0" collapsed="false">
      <c r="A24" s="38" t="n">
        <v>9</v>
      </c>
      <c r="B24" s="39"/>
      <c r="C24" s="40"/>
      <c r="D24" s="39"/>
      <c r="E24" s="39"/>
      <c r="F24" s="41"/>
      <c r="G24" s="41"/>
      <c r="H24" s="42"/>
      <c r="I24" s="43"/>
      <c r="J24" s="44"/>
      <c r="K24" s="41"/>
      <c r="L24" s="39"/>
      <c r="M24" s="40"/>
      <c r="N24" s="45"/>
      <c r="O24" s="46"/>
      <c r="P24" s="47"/>
      <c r="Q24" s="46"/>
      <c r="R24" s="48"/>
      <c r="S24" s="40"/>
      <c r="T24" s="41"/>
      <c r="U24" s="40"/>
      <c r="V24" s="40"/>
      <c r="W24" s="46"/>
      <c r="X24" s="41"/>
      <c r="Y24" s="41"/>
      <c r="Z24" s="46"/>
      <c r="AA24" s="46"/>
      <c r="AB24" s="41"/>
      <c r="AC24" s="40"/>
      <c r="AD24" s="41"/>
      <c r="AE24" s="40"/>
      <c r="AF24" s="49" t="str">
        <f aca="false">IF($C24="","",AnioEval-K24)</f>
        <v/>
      </c>
      <c r="AG24" s="50" t="str">
        <f aca="false">IF($C24="","",IF(AND(ISNUMBER(J24),I24&gt;0),(H24-J24)/(I24*SensCR)-AF24,"n/d"))</f>
        <v/>
      </c>
      <c r="AH24" s="51" t="str">
        <f aca="false">IF($C24="","",IFERROR(I24*SensCR*AF24/H24,0))</f>
        <v/>
      </c>
      <c r="AI24" s="52" t="str">
        <f aca="false">IF($C24="","",IF(INDEX(MecTipo,MATCH(L24,MecList,0))="F",IFERROR(INDEX(SusDF,MATCH(M24,SusList,0)),1),LOOKUP(AH24,ArtLim,ArtDF)))</f>
        <v/>
      </c>
      <c r="AJ24" s="52" t="str">
        <f aca="false">IF($C24="","",IF(ISNUMBER(N24),N24,AI24))</f>
        <v/>
      </c>
      <c r="AK24" s="53" t="str">
        <f aca="false">IF($C24="","",INDEX(GFFval,MATCH(D24,GFFtipo,0)))</f>
        <v/>
      </c>
      <c r="AL24" s="54" t="str">
        <f aca="false">IF($C24="","",O24*((1-N(P24))+N(P24)*Kpd))</f>
        <v/>
      </c>
      <c r="AM24" s="53" t="str">
        <f aca="false">IF($C24="","",AK24*AJ24*FMS)</f>
        <v/>
      </c>
      <c r="AN24" s="54" t="str">
        <f aca="false">IF($C24="","",AM24*AL24)</f>
        <v/>
      </c>
      <c r="AO24" s="55" t="str">
        <f aca="false">IF($C24="","",IF(N(T24)=0,"No requerido",IF(AND(U24="Apto",V24="Pasa"),"APTO/PASA",IF(AND(U24="Apto con limitaciones",V24="Pasa"),"APTO CON LIMITACIONES",IF(U24="No apto","NO APTO/REPARAR","REVISAR")))))</f>
        <v/>
      </c>
      <c r="AP24" s="54" t="str">
        <f aca="false">IF($C24="","",AK24*FMS*IF(AO24="NO APTO/REPARAR",1,MAX(1,AJ24*INDEX(EffRet,1)*INDEX(FFSfac,MATCH(AO24,FFSlist,0))))*AL24)</f>
        <v/>
      </c>
      <c r="AQ24" s="54" t="str">
        <f aca="false">IF($C24="","",AK24*FMS*IF(AO24="NO APTO/REPARAR",1,MAX(1,AJ24*INDEX(EffRet,2)*INDEX(FFSfac,MATCH(AO24,FFSlist,0))))*AL24)</f>
        <v/>
      </c>
      <c r="AR24" s="54" t="str">
        <f aca="false">IF($C24="","",AK24*FMS*IF(AO24="NO APTO/REPARAR",1,MAX(1,AJ24*INDEX(EffRet,3)*INDEX(FFSfac,MATCH(AO24,FFSlist,0))))*AL24)</f>
        <v/>
      </c>
      <c r="AS24" s="54" t="str">
        <f aca="false">IF($C24="","",AK24*FMS*IF(AO24="NO APTO/REPARAR",1,MAX(1,AJ24*INDEX(EffRet,4)*INDEX(FFSfac,MATCH(AO24,FFSlist,0))))*AL24)</f>
        <v/>
      </c>
      <c r="AT24" s="54" t="str">
        <f aca="false">IF($C24="","",IFERROR(Q24*FInsp/INDEX(CostRel,MATCH(S24,EffList,0)),0))</f>
        <v/>
      </c>
      <c r="AU24" s="52" t="str">
        <f aca="false">IF($C24="","",IF(AO24="NO APTO/REPARAR",1,MAX(1,AJ24*INDEX(EffRet,MATCH(S24,EffList,0))*INDEX(FFSfac,MATCH(AO24,FFSlist,0)))))</f>
        <v/>
      </c>
      <c r="AV24" s="53" t="str">
        <f aca="false">IF($C24="","",AK24*AU24*FMS)</f>
        <v/>
      </c>
      <c r="AW24" s="54" t="str">
        <f aca="false">IF($C24="","",AV24*AL24)</f>
        <v/>
      </c>
      <c r="AX24" s="54" t="str">
        <f aca="false">IF($C24="","",IFERROR(AK24*FMS*INDEX(DFrep,AB24)*INDEX(FCrep,MATCH(AC24,CatLet,0)),AN24))</f>
        <v/>
      </c>
      <c r="AY24" s="54" t="str">
        <f aca="false">IF($C24="","",IFERROR(AK24*FMS*INDEX(DFrep,AD24)*INDEX(FCrep,MATCH(AE24,CatLet,0)),AW24))</f>
        <v/>
      </c>
      <c r="AZ24" s="56" t="str">
        <f aca="false">IF($C24="","",(1+SUMPRODUCT(--(AJ24&gt;PcutDF)))&amp;CHOOSE(1+SUMPRODUCT(--(AL24&gt;CcutFC)),"A","B","C","D","E"))</f>
        <v/>
      </c>
      <c r="BA24" s="56" t="str">
        <f aca="false">IF($C24="","",(1+SUMPRODUCT(--(AU24&gt;PcutDF)))&amp;CHOOSE(1+SUMPRODUCT(--(AL24&gt;CcutFC)),"A","B","C","D","E"))</f>
        <v/>
      </c>
      <c r="BB24" s="56" t="str">
        <f aca="false">IF($C24="","",IF(AND(AB24&amp;AC24=AZ24,AD24&amp;AE24=BA24),"OK","REVISAR"))</f>
        <v/>
      </c>
      <c r="BC24" s="49" t="str">
        <f aca="false">IF($C24="","",IFERROR(INDEX(RAMlev,AB24,MATCH(AC24,CatLet,0)),""))</f>
        <v/>
      </c>
      <c r="BD24" s="49" t="str">
        <f aca="false">IF($C24="","",IFERROR(INDEX(RAMlev,AD24,MATCH(AE24,CatLet,0)),""))</f>
        <v/>
      </c>
      <c r="BE24" s="56" t="str">
        <f aca="false">IF($C24="","",IF(BD24="","",IF(BD24&lt;=ObjNivel,"Cumple","Excede")))</f>
        <v/>
      </c>
      <c r="BF24" s="54" t="str">
        <f aca="false">IF($C24="","",IF(Base="RAM",AX24,AN24))</f>
        <v/>
      </c>
      <c r="BG24" s="54" t="str">
        <f aca="false">IF($C24="","",IF(Base="RAM",AY24,AW24))</f>
        <v/>
      </c>
      <c r="BH24" s="54" t="str">
        <f aca="false">IF($C24="","",BF24-BG24)</f>
        <v/>
      </c>
      <c r="BI24" s="54" t="str">
        <f aca="false">IF($C24="","",BH24*N(P24)*Kpd/((1-N(P24))+N(P24)*Kpd))</f>
        <v/>
      </c>
      <c r="BJ24" s="54" t="str">
        <f aca="false">IF($C24="","",BH24-BI24)</f>
        <v/>
      </c>
      <c r="BK24" s="54" t="str">
        <f aca="false">IF($C24="","",IFERROR(Q24*FInsp*(1/X24-1/Y24),0))</f>
        <v/>
      </c>
      <c r="BL24" s="54" t="str">
        <f aca="false">IF($C24="","",IFERROR(Z24*Kpd*(1/X24-1/Y24),0))</f>
        <v/>
      </c>
      <c r="BM24" s="54" t="str">
        <f aca="false">IF($C24="","",IFERROR((Q24*FInsp+Z24*Kpd)/X24,0))</f>
        <v/>
      </c>
      <c r="BN24" s="54" t="str">
        <f aca="false">IF($C24="","",IFERROR((Q24*FInsp+Z24*Kpd)/Y24,0))</f>
        <v/>
      </c>
      <c r="BO24" s="54" t="str">
        <f aca="false">IF($C24="","",BH24+BK24+BL24-N(AA24))</f>
        <v/>
      </c>
      <c r="BP24" s="57" t="str">
        <f aca="false">IF($C24="","",BK24+BL24-N(AA24))</f>
        <v/>
      </c>
      <c r="BQ24" s="54" t="str">
        <f aca="false">IF($C24="","",BR24+BS24+BT24)</f>
        <v/>
      </c>
      <c r="BR24" s="54" t="str">
        <f aca="false">IF($C24="","",Q24*FInsp)</f>
        <v/>
      </c>
      <c r="BS24" s="54" t="str">
        <f aca="false">IF($C24="","",INDEX(FFScost,N(T24)+1)+RBIimpl)</f>
        <v/>
      </c>
      <c r="BT24" s="54" t="str">
        <f aca="false">IF($C24="","",IF(OR(AO24="NO APTO/REPARAR",AO24="APTO CON LIMITACIONES"),N(W24)*FRep,0))</f>
        <v/>
      </c>
      <c r="BU24" s="51" t="str">
        <f aca="false">IF($C24="","",IF(R24=0,Horiz,(1-(1+R24)^(-Horiz))/R24))</f>
        <v/>
      </c>
      <c r="BV24" s="54" t="str">
        <f aca="false">IF($C24="","",BO24*BU24)</f>
        <v/>
      </c>
      <c r="BW24" s="58" t="str">
        <f aca="false">IF($C24="","",IFERROR(BV24/BQ24,0))</f>
        <v/>
      </c>
      <c r="BX24" s="57" t="str">
        <f aca="false">IF($C24="","",BV24-BQ24)</f>
        <v/>
      </c>
      <c r="BY24" s="57" t="str">
        <f aca="false">IF($C24="","",BO24*IF(R24=0,1,1/(1+R24))-BQ24)</f>
        <v/>
      </c>
      <c r="BZ24" s="57" t="str">
        <f aca="false">IF($C24="","",BO24*IF(R24=0,10,(1-(1+R24)^(-10))/R24)-BQ24)</f>
        <v/>
      </c>
      <c r="CA24" s="57" t="str">
        <f aca="false">IF($C24="","",BP24*BU24-BQ24)</f>
        <v/>
      </c>
      <c r="CB24" s="58" t="str">
        <f aca="false">IF($C24="","",IFERROR(BP24*BU24/BQ24,0))</f>
        <v/>
      </c>
      <c r="CC24" s="50" t="str">
        <f aca="false">IF($C24="","",IF(BP24&gt;0,BQ24/BP24,"No recupera"))</f>
        <v/>
      </c>
      <c r="CD24" s="59" t="str">
        <f aca="false">IF($C24="","",IFERROR((Horiz*BO24-BQ24)/BQ24,0))</f>
        <v/>
      </c>
      <c r="CE24" s="50" t="str">
        <f aca="false">IF($C24="","",IF(BO24&gt;0,BQ24/BO24,"No recupera"))</f>
        <v/>
      </c>
      <c r="CF24" s="50" t="str">
        <f aca="false">IF($C24="","",IF(BO24&lt;=0,"No recupera",IF(R24=0,BQ24/BO24,IFERROR(-LN(1-BQ24*R24/BO24)/LN(1+R24),"No recupera"))))</f>
        <v/>
      </c>
      <c r="CG24" s="57" t="str">
        <f aca="false">IF($C24="","",BO24-BQ24/BU24)</f>
        <v/>
      </c>
      <c r="CH24" s="54" t="str">
        <f aca="false">IF($C24="","",(BM24+BF24)*BU24)</f>
        <v/>
      </c>
      <c r="CI24" s="54" t="str">
        <f aca="false">IF($C24="","",(BN24+BG24+N(AA24))*BU24+BQ24)</f>
        <v/>
      </c>
      <c r="CJ24" s="57" t="str">
        <f aca="false">IF($C24="","",IF(OR(N(T24)=0,AO24="NO APTO/REPARAR",AO24="REVISAR"),"n/a",(AK24*FMS*MAX(1,AJ24*INDEX(EffRet,MATCH(S24,EffList,0)))*AL24-AW24)*BU24-INDEX(FFScost,N(T24)+1)-BT24))</f>
        <v/>
      </c>
      <c r="CK24" s="55" t="str">
        <f aca="false">IF($C24="","",IF(BW24&gt;1,"ACEPTABLE","NO ACEPTABLE"))</f>
        <v/>
      </c>
      <c r="CL24" s="60" t="str">
        <f aca="false">IF($C24="","",IF(ISNUMBER(AG24),IF(AG24&lt;0,IF(LEFT(AO24,4)="APTO","RUL&lt;0 con FFS apto: verificar","RUL&lt;0"),""),""))</f>
        <v/>
      </c>
      <c r="CM24" s="57" t="str">
        <f aca="false">IF($C24="","",-$BQ24+IF($R24=0,$BO24*MIN(CM$15,Horiz),$BO24*(1-(1+$R24)^(-MIN(CM$15,Horiz)))/$R24))</f>
        <v/>
      </c>
      <c r="CN24" s="57" t="str">
        <f aca="false">IF($C24="","",-$BQ24+IF($R24=0,$BO24*MIN(CN$15,Horiz),$BO24*(1-(1+$R24)^(-MIN(CN$15,Horiz)))/$R24))</f>
        <v/>
      </c>
      <c r="CO24" s="57" t="str">
        <f aca="false">IF($C24="","",-$BQ24+IF($R24=0,$BO24*MIN(CO$15,Horiz),$BO24*(1-(1+$R24)^(-MIN(CO$15,Horiz)))/$R24))</f>
        <v/>
      </c>
      <c r="CP24" s="57" t="str">
        <f aca="false">IF($C24="","",-$BQ24+IF($R24=0,$BO24*MIN(CP$15,Horiz),$BO24*(1-(1+$R24)^(-MIN(CP$15,Horiz)))/$R24))</f>
        <v/>
      </c>
      <c r="CQ24" s="57" t="str">
        <f aca="false">IF($C24="","",-$BQ24+IF($R24=0,$BO24*MIN(CQ$15,Horiz),$BO24*(1-(1+$R24)^(-MIN(CQ$15,Horiz)))/$R24))</f>
        <v/>
      </c>
      <c r="CR24" s="57" t="str">
        <f aca="false">IF($C24="","",-$BQ24+IF($R24=0,$BO24*MIN(CR$15,Horiz),$BO24*(1-(1+$R24)^(-MIN(CR$15,Horiz)))/$R24))</f>
        <v/>
      </c>
      <c r="CS24" s="57" t="str">
        <f aca="false">IF($C24="","",-$BQ24+IF($R24=0,$BO24*MIN(CS$15,Horiz),$BO24*(1-(1+$R24)^(-MIN(CS$15,Horiz)))/$R24))</f>
        <v/>
      </c>
      <c r="CT24" s="57" t="str">
        <f aca="false">IF($C24="","",-$BQ24+IF($R24=0,$BO24*MIN(CT$15,Horiz),$BO24*(1-(1+$R24)^(-MIN(CT$15,Horiz)))/$R24))</f>
        <v/>
      </c>
      <c r="CU24" s="57" t="str">
        <f aca="false">IF($C24="","",-$BQ24+IF($R24=0,$BO24*MIN(CU$15,Horiz),$BO24*(1-(1+$R24)^(-MIN(CU$15,Horiz)))/$R24))</f>
        <v/>
      </c>
      <c r="CV24" s="57" t="str">
        <f aca="false">IF($C24="","",-$BQ24+IF($R24=0,$BO24*MIN(CV$15,Horiz),$BO24*(1-(1+$R24)^(-MIN(CV$15,Horiz)))/$R24))</f>
        <v/>
      </c>
      <c r="CW24" s="57" t="str">
        <f aca="false">IF($C24="","",-$BQ24+IF($R24=0,$BO24*MIN(CW$15,Horiz),$BO24*(1-(1+$R24)^(-MIN(CW$15,Horiz)))/$R24))</f>
        <v/>
      </c>
      <c r="CX24" s="57" t="str">
        <f aca="false">IF($C24="","",-$BQ24+IF($R24=0,$BO24*MIN(CX$15,Horiz),$BO24*(1-(1+$R24)^(-MIN(CX$15,Horiz)))/$R24))</f>
        <v/>
      </c>
      <c r="CY24" s="57" t="str">
        <f aca="false">IF($C24="","",-$BQ24+IF($R24=0,$BO24*MIN(CY$15,Horiz),$BO24*(1-(1+$R24)^(-MIN(CY$15,Horiz)))/$R24))</f>
        <v/>
      </c>
      <c r="CZ24" s="57" t="str">
        <f aca="false">IF($C24="","",-$BQ24+IF($R24=0,$BO24*MIN(CZ$15,Horiz),$BO24*(1-(1+$R24)^(-MIN(CZ$15,Horiz)))/$R24))</f>
        <v/>
      </c>
      <c r="DA24" s="57" t="str">
        <f aca="false">IF($C24="","",-$BQ24+IF($R24=0,$BO24*MIN(DA$15,Horiz),$BO24*(1-(1+$R24)^(-MIN(DA$15,Horiz)))/$R24))</f>
        <v/>
      </c>
      <c r="DB24" s="57" t="str">
        <f aca="false">IF($C24="","",-$BQ24+IF($R24=0,$BO24*MIN(DB$15,Horiz),$BO24*(1-(1+$R24)^(-MIN(DB$15,Horiz)))/$R24))</f>
        <v/>
      </c>
    </row>
    <row r="25" customFormat="false" ht="15" hidden="false" customHeight="false" outlineLevel="0" collapsed="false">
      <c r="A25" s="38" t="n">
        <v>10</v>
      </c>
      <c r="B25" s="39"/>
      <c r="C25" s="40"/>
      <c r="D25" s="39"/>
      <c r="E25" s="39"/>
      <c r="F25" s="41"/>
      <c r="G25" s="41"/>
      <c r="H25" s="42"/>
      <c r="I25" s="43"/>
      <c r="J25" s="44"/>
      <c r="K25" s="41"/>
      <c r="L25" s="39"/>
      <c r="M25" s="40"/>
      <c r="N25" s="45"/>
      <c r="O25" s="46"/>
      <c r="P25" s="47"/>
      <c r="Q25" s="46"/>
      <c r="R25" s="48"/>
      <c r="S25" s="40"/>
      <c r="T25" s="41"/>
      <c r="U25" s="40"/>
      <c r="V25" s="40"/>
      <c r="W25" s="46"/>
      <c r="X25" s="41"/>
      <c r="Y25" s="41"/>
      <c r="Z25" s="46"/>
      <c r="AA25" s="46"/>
      <c r="AB25" s="41"/>
      <c r="AC25" s="40"/>
      <c r="AD25" s="41"/>
      <c r="AE25" s="40"/>
      <c r="AF25" s="49" t="str">
        <f aca="false">IF($C25="","",AnioEval-K25)</f>
        <v/>
      </c>
      <c r="AG25" s="50" t="str">
        <f aca="false">IF($C25="","",IF(AND(ISNUMBER(J25),I25&gt;0),(H25-J25)/(I25*SensCR)-AF25,"n/d"))</f>
        <v/>
      </c>
      <c r="AH25" s="51" t="str">
        <f aca="false">IF($C25="","",IFERROR(I25*SensCR*AF25/H25,0))</f>
        <v/>
      </c>
      <c r="AI25" s="52" t="str">
        <f aca="false">IF($C25="","",IF(INDEX(MecTipo,MATCH(L25,MecList,0))="F",IFERROR(INDEX(SusDF,MATCH(M25,SusList,0)),1),LOOKUP(AH25,ArtLim,ArtDF)))</f>
        <v/>
      </c>
      <c r="AJ25" s="52" t="str">
        <f aca="false">IF($C25="","",IF(ISNUMBER(N25),N25,AI25))</f>
        <v/>
      </c>
      <c r="AK25" s="53" t="str">
        <f aca="false">IF($C25="","",INDEX(GFFval,MATCH(D25,GFFtipo,0)))</f>
        <v/>
      </c>
      <c r="AL25" s="54" t="str">
        <f aca="false">IF($C25="","",O25*((1-N(P25))+N(P25)*Kpd))</f>
        <v/>
      </c>
      <c r="AM25" s="53" t="str">
        <f aca="false">IF($C25="","",AK25*AJ25*FMS)</f>
        <v/>
      </c>
      <c r="AN25" s="54" t="str">
        <f aca="false">IF($C25="","",AM25*AL25)</f>
        <v/>
      </c>
      <c r="AO25" s="55" t="str">
        <f aca="false">IF($C25="","",IF(N(T25)=0,"No requerido",IF(AND(U25="Apto",V25="Pasa"),"APTO/PASA",IF(AND(U25="Apto con limitaciones",V25="Pasa"),"APTO CON LIMITACIONES",IF(U25="No apto","NO APTO/REPARAR","REVISAR")))))</f>
        <v/>
      </c>
      <c r="AP25" s="54" t="str">
        <f aca="false">IF($C25="","",AK25*FMS*IF(AO25="NO APTO/REPARAR",1,MAX(1,AJ25*INDEX(EffRet,1)*INDEX(FFSfac,MATCH(AO25,FFSlist,0))))*AL25)</f>
        <v/>
      </c>
      <c r="AQ25" s="54" t="str">
        <f aca="false">IF($C25="","",AK25*FMS*IF(AO25="NO APTO/REPARAR",1,MAX(1,AJ25*INDEX(EffRet,2)*INDEX(FFSfac,MATCH(AO25,FFSlist,0))))*AL25)</f>
        <v/>
      </c>
      <c r="AR25" s="54" t="str">
        <f aca="false">IF($C25="","",AK25*FMS*IF(AO25="NO APTO/REPARAR",1,MAX(1,AJ25*INDEX(EffRet,3)*INDEX(FFSfac,MATCH(AO25,FFSlist,0))))*AL25)</f>
        <v/>
      </c>
      <c r="AS25" s="54" t="str">
        <f aca="false">IF($C25="","",AK25*FMS*IF(AO25="NO APTO/REPARAR",1,MAX(1,AJ25*INDEX(EffRet,4)*INDEX(FFSfac,MATCH(AO25,FFSlist,0))))*AL25)</f>
        <v/>
      </c>
      <c r="AT25" s="54" t="str">
        <f aca="false">IF($C25="","",IFERROR(Q25*FInsp/INDEX(CostRel,MATCH(S25,EffList,0)),0))</f>
        <v/>
      </c>
      <c r="AU25" s="52" t="str">
        <f aca="false">IF($C25="","",IF(AO25="NO APTO/REPARAR",1,MAX(1,AJ25*INDEX(EffRet,MATCH(S25,EffList,0))*INDEX(FFSfac,MATCH(AO25,FFSlist,0)))))</f>
        <v/>
      </c>
      <c r="AV25" s="53" t="str">
        <f aca="false">IF($C25="","",AK25*AU25*FMS)</f>
        <v/>
      </c>
      <c r="AW25" s="54" t="str">
        <f aca="false">IF($C25="","",AV25*AL25)</f>
        <v/>
      </c>
      <c r="AX25" s="54" t="str">
        <f aca="false">IF($C25="","",IFERROR(AK25*FMS*INDEX(DFrep,AB25)*INDEX(FCrep,MATCH(AC25,CatLet,0)),AN25))</f>
        <v/>
      </c>
      <c r="AY25" s="54" t="str">
        <f aca="false">IF($C25="","",IFERROR(AK25*FMS*INDEX(DFrep,AD25)*INDEX(FCrep,MATCH(AE25,CatLet,0)),AW25))</f>
        <v/>
      </c>
      <c r="AZ25" s="56" t="str">
        <f aca="false">IF($C25="","",(1+SUMPRODUCT(--(AJ25&gt;PcutDF)))&amp;CHOOSE(1+SUMPRODUCT(--(AL25&gt;CcutFC)),"A","B","C","D","E"))</f>
        <v/>
      </c>
      <c r="BA25" s="56" t="str">
        <f aca="false">IF($C25="","",(1+SUMPRODUCT(--(AU25&gt;PcutDF)))&amp;CHOOSE(1+SUMPRODUCT(--(AL25&gt;CcutFC)),"A","B","C","D","E"))</f>
        <v/>
      </c>
      <c r="BB25" s="56" t="str">
        <f aca="false">IF($C25="","",IF(AND(AB25&amp;AC25=AZ25,AD25&amp;AE25=BA25),"OK","REVISAR"))</f>
        <v/>
      </c>
      <c r="BC25" s="49" t="str">
        <f aca="false">IF($C25="","",IFERROR(INDEX(RAMlev,AB25,MATCH(AC25,CatLet,0)),""))</f>
        <v/>
      </c>
      <c r="BD25" s="49" t="str">
        <f aca="false">IF($C25="","",IFERROR(INDEX(RAMlev,AD25,MATCH(AE25,CatLet,0)),""))</f>
        <v/>
      </c>
      <c r="BE25" s="56" t="str">
        <f aca="false">IF($C25="","",IF(BD25="","",IF(BD25&lt;=ObjNivel,"Cumple","Excede")))</f>
        <v/>
      </c>
      <c r="BF25" s="54" t="str">
        <f aca="false">IF($C25="","",IF(Base="RAM",AX25,AN25))</f>
        <v/>
      </c>
      <c r="BG25" s="54" t="str">
        <f aca="false">IF($C25="","",IF(Base="RAM",AY25,AW25))</f>
        <v/>
      </c>
      <c r="BH25" s="54" t="str">
        <f aca="false">IF($C25="","",BF25-BG25)</f>
        <v/>
      </c>
      <c r="BI25" s="54" t="str">
        <f aca="false">IF($C25="","",BH25*N(P25)*Kpd/((1-N(P25))+N(P25)*Kpd))</f>
        <v/>
      </c>
      <c r="BJ25" s="54" t="str">
        <f aca="false">IF($C25="","",BH25-BI25)</f>
        <v/>
      </c>
      <c r="BK25" s="54" t="str">
        <f aca="false">IF($C25="","",IFERROR(Q25*FInsp*(1/X25-1/Y25),0))</f>
        <v/>
      </c>
      <c r="BL25" s="54" t="str">
        <f aca="false">IF($C25="","",IFERROR(Z25*Kpd*(1/X25-1/Y25),0))</f>
        <v/>
      </c>
      <c r="BM25" s="54" t="str">
        <f aca="false">IF($C25="","",IFERROR((Q25*FInsp+Z25*Kpd)/X25,0))</f>
        <v/>
      </c>
      <c r="BN25" s="54" t="str">
        <f aca="false">IF($C25="","",IFERROR((Q25*FInsp+Z25*Kpd)/Y25,0))</f>
        <v/>
      </c>
      <c r="BO25" s="54" t="str">
        <f aca="false">IF($C25="","",BH25+BK25+BL25-N(AA25))</f>
        <v/>
      </c>
      <c r="BP25" s="57" t="str">
        <f aca="false">IF($C25="","",BK25+BL25-N(AA25))</f>
        <v/>
      </c>
      <c r="BQ25" s="54" t="str">
        <f aca="false">IF($C25="","",BR25+BS25+BT25)</f>
        <v/>
      </c>
      <c r="BR25" s="54" t="str">
        <f aca="false">IF($C25="","",Q25*FInsp)</f>
        <v/>
      </c>
      <c r="BS25" s="54" t="str">
        <f aca="false">IF($C25="","",INDEX(FFScost,N(T25)+1)+RBIimpl)</f>
        <v/>
      </c>
      <c r="BT25" s="54" t="str">
        <f aca="false">IF($C25="","",IF(OR(AO25="NO APTO/REPARAR",AO25="APTO CON LIMITACIONES"),N(W25)*FRep,0))</f>
        <v/>
      </c>
      <c r="BU25" s="51" t="str">
        <f aca="false">IF($C25="","",IF(R25=0,Horiz,(1-(1+R25)^(-Horiz))/R25))</f>
        <v/>
      </c>
      <c r="BV25" s="54" t="str">
        <f aca="false">IF($C25="","",BO25*BU25)</f>
        <v/>
      </c>
      <c r="BW25" s="58" t="str">
        <f aca="false">IF($C25="","",IFERROR(BV25/BQ25,0))</f>
        <v/>
      </c>
      <c r="BX25" s="57" t="str">
        <f aca="false">IF($C25="","",BV25-BQ25)</f>
        <v/>
      </c>
      <c r="BY25" s="57" t="str">
        <f aca="false">IF($C25="","",BO25*IF(R25=0,1,1/(1+R25))-BQ25)</f>
        <v/>
      </c>
      <c r="BZ25" s="57" t="str">
        <f aca="false">IF($C25="","",BO25*IF(R25=0,10,(1-(1+R25)^(-10))/R25)-BQ25)</f>
        <v/>
      </c>
      <c r="CA25" s="57" t="str">
        <f aca="false">IF($C25="","",BP25*BU25-BQ25)</f>
        <v/>
      </c>
      <c r="CB25" s="58" t="str">
        <f aca="false">IF($C25="","",IFERROR(BP25*BU25/BQ25,0))</f>
        <v/>
      </c>
      <c r="CC25" s="50" t="str">
        <f aca="false">IF($C25="","",IF(BP25&gt;0,BQ25/BP25,"No recupera"))</f>
        <v/>
      </c>
      <c r="CD25" s="59" t="str">
        <f aca="false">IF($C25="","",IFERROR((Horiz*BO25-BQ25)/BQ25,0))</f>
        <v/>
      </c>
      <c r="CE25" s="50" t="str">
        <f aca="false">IF($C25="","",IF(BO25&gt;0,BQ25/BO25,"No recupera"))</f>
        <v/>
      </c>
      <c r="CF25" s="50" t="str">
        <f aca="false">IF($C25="","",IF(BO25&lt;=0,"No recupera",IF(R25=0,BQ25/BO25,IFERROR(-LN(1-BQ25*R25/BO25)/LN(1+R25),"No recupera"))))</f>
        <v/>
      </c>
      <c r="CG25" s="57" t="str">
        <f aca="false">IF($C25="","",BO25-BQ25/BU25)</f>
        <v/>
      </c>
      <c r="CH25" s="54" t="str">
        <f aca="false">IF($C25="","",(BM25+BF25)*BU25)</f>
        <v/>
      </c>
      <c r="CI25" s="54" t="str">
        <f aca="false">IF($C25="","",(BN25+BG25+N(AA25))*BU25+BQ25)</f>
        <v/>
      </c>
      <c r="CJ25" s="57" t="str">
        <f aca="false">IF($C25="","",IF(OR(N(T25)=0,AO25="NO APTO/REPARAR",AO25="REVISAR"),"n/a",(AK25*FMS*MAX(1,AJ25*INDEX(EffRet,MATCH(S25,EffList,0)))*AL25-AW25)*BU25-INDEX(FFScost,N(T25)+1)-BT25))</f>
        <v/>
      </c>
      <c r="CK25" s="55" t="str">
        <f aca="false">IF($C25="","",IF(BW25&gt;1,"ACEPTABLE","NO ACEPTABLE"))</f>
        <v/>
      </c>
      <c r="CL25" s="60" t="str">
        <f aca="false">IF($C25="","",IF(ISNUMBER(AG25),IF(AG25&lt;0,IF(LEFT(AO25,4)="APTO","RUL&lt;0 con FFS apto: verificar","RUL&lt;0"),""),""))</f>
        <v/>
      </c>
      <c r="CM25" s="57" t="str">
        <f aca="false">IF($C25="","",-$BQ25+IF($R25=0,$BO25*MIN(CM$15,Horiz),$BO25*(1-(1+$R25)^(-MIN(CM$15,Horiz)))/$R25))</f>
        <v/>
      </c>
      <c r="CN25" s="57" t="str">
        <f aca="false">IF($C25="","",-$BQ25+IF($R25=0,$BO25*MIN(CN$15,Horiz),$BO25*(1-(1+$R25)^(-MIN(CN$15,Horiz)))/$R25))</f>
        <v/>
      </c>
      <c r="CO25" s="57" t="str">
        <f aca="false">IF($C25="","",-$BQ25+IF($R25=0,$BO25*MIN(CO$15,Horiz),$BO25*(1-(1+$R25)^(-MIN(CO$15,Horiz)))/$R25))</f>
        <v/>
      </c>
      <c r="CP25" s="57" t="str">
        <f aca="false">IF($C25="","",-$BQ25+IF($R25=0,$BO25*MIN(CP$15,Horiz),$BO25*(1-(1+$R25)^(-MIN(CP$15,Horiz)))/$R25))</f>
        <v/>
      </c>
      <c r="CQ25" s="57" t="str">
        <f aca="false">IF($C25="","",-$BQ25+IF($R25=0,$BO25*MIN(CQ$15,Horiz),$BO25*(1-(1+$R25)^(-MIN(CQ$15,Horiz)))/$R25))</f>
        <v/>
      </c>
      <c r="CR25" s="57" t="str">
        <f aca="false">IF($C25="","",-$BQ25+IF($R25=0,$BO25*MIN(CR$15,Horiz),$BO25*(1-(1+$R25)^(-MIN(CR$15,Horiz)))/$R25))</f>
        <v/>
      </c>
      <c r="CS25" s="57" t="str">
        <f aca="false">IF($C25="","",-$BQ25+IF($R25=0,$BO25*MIN(CS$15,Horiz),$BO25*(1-(1+$R25)^(-MIN(CS$15,Horiz)))/$R25))</f>
        <v/>
      </c>
      <c r="CT25" s="57" t="str">
        <f aca="false">IF($C25="","",-$BQ25+IF($R25=0,$BO25*MIN(CT$15,Horiz),$BO25*(1-(1+$R25)^(-MIN(CT$15,Horiz)))/$R25))</f>
        <v/>
      </c>
      <c r="CU25" s="57" t="str">
        <f aca="false">IF($C25="","",-$BQ25+IF($R25=0,$BO25*MIN(CU$15,Horiz),$BO25*(1-(1+$R25)^(-MIN(CU$15,Horiz)))/$R25))</f>
        <v/>
      </c>
      <c r="CV25" s="57" t="str">
        <f aca="false">IF($C25="","",-$BQ25+IF($R25=0,$BO25*MIN(CV$15,Horiz),$BO25*(1-(1+$R25)^(-MIN(CV$15,Horiz)))/$R25))</f>
        <v/>
      </c>
      <c r="CW25" s="57" t="str">
        <f aca="false">IF($C25="","",-$BQ25+IF($R25=0,$BO25*MIN(CW$15,Horiz),$BO25*(1-(1+$R25)^(-MIN(CW$15,Horiz)))/$R25))</f>
        <v/>
      </c>
      <c r="CX25" s="57" t="str">
        <f aca="false">IF($C25="","",-$BQ25+IF($R25=0,$BO25*MIN(CX$15,Horiz),$BO25*(1-(1+$R25)^(-MIN(CX$15,Horiz)))/$R25))</f>
        <v/>
      </c>
      <c r="CY25" s="57" t="str">
        <f aca="false">IF($C25="","",-$BQ25+IF($R25=0,$BO25*MIN(CY$15,Horiz),$BO25*(1-(1+$R25)^(-MIN(CY$15,Horiz)))/$R25))</f>
        <v/>
      </c>
      <c r="CZ25" s="57" t="str">
        <f aca="false">IF($C25="","",-$BQ25+IF($R25=0,$BO25*MIN(CZ$15,Horiz),$BO25*(1-(1+$R25)^(-MIN(CZ$15,Horiz)))/$R25))</f>
        <v/>
      </c>
      <c r="DA25" s="57" t="str">
        <f aca="false">IF($C25="","",-$BQ25+IF($R25=0,$BO25*MIN(DA$15,Horiz),$BO25*(1-(1+$R25)^(-MIN(DA$15,Horiz)))/$R25))</f>
        <v/>
      </c>
      <c r="DB25" s="57" t="str">
        <f aca="false">IF($C25="","",-$BQ25+IF($R25=0,$BO25*MIN(DB$15,Horiz),$BO25*(1-(1+$R25)^(-MIN(DB$15,Horiz)))/$R25))</f>
        <v/>
      </c>
    </row>
    <row r="26" customFormat="false" ht="15" hidden="false" customHeight="false" outlineLevel="0" collapsed="false">
      <c r="A26" s="38" t="n">
        <v>11</v>
      </c>
      <c r="B26" s="39"/>
      <c r="C26" s="40"/>
      <c r="D26" s="39"/>
      <c r="E26" s="39"/>
      <c r="F26" s="41"/>
      <c r="G26" s="41"/>
      <c r="H26" s="42"/>
      <c r="I26" s="43"/>
      <c r="J26" s="44"/>
      <c r="K26" s="41"/>
      <c r="L26" s="39"/>
      <c r="M26" s="40"/>
      <c r="N26" s="45"/>
      <c r="O26" s="46"/>
      <c r="P26" s="47"/>
      <c r="Q26" s="46"/>
      <c r="R26" s="48"/>
      <c r="S26" s="40"/>
      <c r="T26" s="41"/>
      <c r="U26" s="40"/>
      <c r="V26" s="40"/>
      <c r="W26" s="46"/>
      <c r="X26" s="41"/>
      <c r="Y26" s="41"/>
      <c r="Z26" s="46"/>
      <c r="AA26" s="46"/>
      <c r="AB26" s="41"/>
      <c r="AC26" s="40"/>
      <c r="AD26" s="41"/>
      <c r="AE26" s="40"/>
      <c r="AF26" s="49" t="str">
        <f aca="false">IF($C26="","",AnioEval-K26)</f>
        <v/>
      </c>
      <c r="AG26" s="50" t="str">
        <f aca="false">IF($C26="","",IF(AND(ISNUMBER(J26),I26&gt;0),(H26-J26)/(I26*SensCR)-AF26,"n/d"))</f>
        <v/>
      </c>
      <c r="AH26" s="51" t="str">
        <f aca="false">IF($C26="","",IFERROR(I26*SensCR*AF26/H26,0))</f>
        <v/>
      </c>
      <c r="AI26" s="52" t="str">
        <f aca="false">IF($C26="","",IF(INDEX(MecTipo,MATCH(L26,MecList,0))="F",IFERROR(INDEX(SusDF,MATCH(M26,SusList,0)),1),LOOKUP(AH26,ArtLim,ArtDF)))</f>
        <v/>
      </c>
      <c r="AJ26" s="52" t="str">
        <f aca="false">IF($C26="","",IF(ISNUMBER(N26),N26,AI26))</f>
        <v/>
      </c>
      <c r="AK26" s="53" t="str">
        <f aca="false">IF($C26="","",INDEX(GFFval,MATCH(D26,GFFtipo,0)))</f>
        <v/>
      </c>
      <c r="AL26" s="54" t="str">
        <f aca="false">IF($C26="","",O26*((1-N(P26))+N(P26)*Kpd))</f>
        <v/>
      </c>
      <c r="AM26" s="53" t="str">
        <f aca="false">IF($C26="","",AK26*AJ26*FMS)</f>
        <v/>
      </c>
      <c r="AN26" s="54" t="str">
        <f aca="false">IF($C26="","",AM26*AL26)</f>
        <v/>
      </c>
      <c r="AO26" s="55" t="str">
        <f aca="false">IF($C26="","",IF(N(T26)=0,"No requerido",IF(AND(U26="Apto",V26="Pasa"),"APTO/PASA",IF(AND(U26="Apto con limitaciones",V26="Pasa"),"APTO CON LIMITACIONES",IF(U26="No apto","NO APTO/REPARAR","REVISAR")))))</f>
        <v/>
      </c>
      <c r="AP26" s="54" t="str">
        <f aca="false">IF($C26="","",AK26*FMS*IF(AO26="NO APTO/REPARAR",1,MAX(1,AJ26*INDEX(EffRet,1)*INDEX(FFSfac,MATCH(AO26,FFSlist,0))))*AL26)</f>
        <v/>
      </c>
      <c r="AQ26" s="54" t="str">
        <f aca="false">IF($C26="","",AK26*FMS*IF(AO26="NO APTO/REPARAR",1,MAX(1,AJ26*INDEX(EffRet,2)*INDEX(FFSfac,MATCH(AO26,FFSlist,0))))*AL26)</f>
        <v/>
      </c>
      <c r="AR26" s="54" t="str">
        <f aca="false">IF($C26="","",AK26*FMS*IF(AO26="NO APTO/REPARAR",1,MAX(1,AJ26*INDEX(EffRet,3)*INDEX(FFSfac,MATCH(AO26,FFSlist,0))))*AL26)</f>
        <v/>
      </c>
      <c r="AS26" s="54" t="str">
        <f aca="false">IF($C26="","",AK26*FMS*IF(AO26="NO APTO/REPARAR",1,MAX(1,AJ26*INDEX(EffRet,4)*INDEX(FFSfac,MATCH(AO26,FFSlist,0))))*AL26)</f>
        <v/>
      </c>
      <c r="AT26" s="54" t="str">
        <f aca="false">IF($C26="","",IFERROR(Q26*FInsp/INDEX(CostRel,MATCH(S26,EffList,0)),0))</f>
        <v/>
      </c>
      <c r="AU26" s="52" t="str">
        <f aca="false">IF($C26="","",IF(AO26="NO APTO/REPARAR",1,MAX(1,AJ26*INDEX(EffRet,MATCH(S26,EffList,0))*INDEX(FFSfac,MATCH(AO26,FFSlist,0)))))</f>
        <v/>
      </c>
      <c r="AV26" s="53" t="str">
        <f aca="false">IF($C26="","",AK26*AU26*FMS)</f>
        <v/>
      </c>
      <c r="AW26" s="54" t="str">
        <f aca="false">IF($C26="","",AV26*AL26)</f>
        <v/>
      </c>
      <c r="AX26" s="54" t="str">
        <f aca="false">IF($C26="","",IFERROR(AK26*FMS*INDEX(DFrep,AB26)*INDEX(FCrep,MATCH(AC26,CatLet,0)),AN26))</f>
        <v/>
      </c>
      <c r="AY26" s="54" t="str">
        <f aca="false">IF($C26="","",IFERROR(AK26*FMS*INDEX(DFrep,AD26)*INDEX(FCrep,MATCH(AE26,CatLet,0)),AW26))</f>
        <v/>
      </c>
      <c r="AZ26" s="56" t="str">
        <f aca="false">IF($C26="","",(1+SUMPRODUCT(--(AJ26&gt;PcutDF)))&amp;CHOOSE(1+SUMPRODUCT(--(AL26&gt;CcutFC)),"A","B","C","D","E"))</f>
        <v/>
      </c>
      <c r="BA26" s="56" t="str">
        <f aca="false">IF($C26="","",(1+SUMPRODUCT(--(AU26&gt;PcutDF)))&amp;CHOOSE(1+SUMPRODUCT(--(AL26&gt;CcutFC)),"A","B","C","D","E"))</f>
        <v/>
      </c>
      <c r="BB26" s="56" t="str">
        <f aca="false">IF($C26="","",IF(AND(AB26&amp;AC26=AZ26,AD26&amp;AE26=BA26),"OK","REVISAR"))</f>
        <v/>
      </c>
      <c r="BC26" s="49" t="str">
        <f aca="false">IF($C26="","",IFERROR(INDEX(RAMlev,AB26,MATCH(AC26,CatLet,0)),""))</f>
        <v/>
      </c>
      <c r="BD26" s="49" t="str">
        <f aca="false">IF($C26="","",IFERROR(INDEX(RAMlev,AD26,MATCH(AE26,CatLet,0)),""))</f>
        <v/>
      </c>
      <c r="BE26" s="56" t="str">
        <f aca="false">IF($C26="","",IF(BD26="","",IF(BD26&lt;=ObjNivel,"Cumple","Excede")))</f>
        <v/>
      </c>
      <c r="BF26" s="54" t="str">
        <f aca="false">IF($C26="","",IF(Base="RAM",AX26,AN26))</f>
        <v/>
      </c>
      <c r="BG26" s="54" t="str">
        <f aca="false">IF($C26="","",IF(Base="RAM",AY26,AW26))</f>
        <v/>
      </c>
      <c r="BH26" s="54" t="str">
        <f aca="false">IF($C26="","",BF26-BG26)</f>
        <v/>
      </c>
      <c r="BI26" s="54" t="str">
        <f aca="false">IF($C26="","",BH26*N(P26)*Kpd/((1-N(P26))+N(P26)*Kpd))</f>
        <v/>
      </c>
      <c r="BJ26" s="54" t="str">
        <f aca="false">IF($C26="","",BH26-BI26)</f>
        <v/>
      </c>
      <c r="BK26" s="54" t="str">
        <f aca="false">IF($C26="","",IFERROR(Q26*FInsp*(1/X26-1/Y26),0))</f>
        <v/>
      </c>
      <c r="BL26" s="54" t="str">
        <f aca="false">IF($C26="","",IFERROR(Z26*Kpd*(1/X26-1/Y26),0))</f>
        <v/>
      </c>
      <c r="BM26" s="54" t="str">
        <f aca="false">IF($C26="","",IFERROR((Q26*FInsp+Z26*Kpd)/X26,0))</f>
        <v/>
      </c>
      <c r="BN26" s="54" t="str">
        <f aca="false">IF($C26="","",IFERROR((Q26*FInsp+Z26*Kpd)/Y26,0))</f>
        <v/>
      </c>
      <c r="BO26" s="54" t="str">
        <f aca="false">IF($C26="","",BH26+BK26+BL26-N(AA26))</f>
        <v/>
      </c>
      <c r="BP26" s="57" t="str">
        <f aca="false">IF($C26="","",BK26+BL26-N(AA26))</f>
        <v/>
      </c>
      <c r="BQ26" s="54" t="str">
        <f aca="false">IF($C26="","",BR26+BS26+BT26)</f>
        <v/>
      </c>
      <c r="BR26" s="54" t="str">
        <f aca="false">IF($C26="","",Q26*FInsp)</f>
        <v/>
      </c>
      <c r="BS26" s="54" t="str">
        <f aca="false">IF($C26="","",INDEX(FFScost,N(T26)+1)+RBIimpl)</f>
        <v/>
      </c>
      <c r="BT26" s="54" t="str">
        <f aca="false">IF($C26="","",IF(OR(AO26="NO APTO/REPARAR",AO26="APTO CON LIMITACIONES"),N(W26)*FRep,0))</f>
        <v/>
      </c>
      <c r="BU26" s="51" t="str">
        <f aca="false">IF($C26="","",IF(R26=0,Horiz,(1-(1+R26)^(-Horiz))/R26))</f>
        <v/>
      </c>
      <c r="BV26" s="54" t="str">
        <f aca="false">IF($C26="","",BO26*BU26)</f>
        <v/>
      </c>
      <c r="BW26" s="58" t="str">
        <f aca="false">IF($C26="","",IFERROR(BV26/BQ26,0))</f>
        <v/>
      </c>
      <c r="BX26" s="57" t="str">
        <f aca="false">IF($C26="","",BV26-BQ26)</f>
        <v/>
      </c>
      <c r="BY26" s="57" t="str">
        <f aca="false">IF($C26="","",BO26*IF(R26=0,1,1/(1+R26))-BQ26)</f>
        <v/>
      </c>
      <c r="BZ26" s="57" t="str">
        <f aca="false">IF($C26="","",BO26*IF(R26=0,10,(1-(1+R26)^(-10))/R26)-BQ26)</f>
        <v/>
      </c>
      <c r="CA26" s="57" t="str">
        <f aca="false">IF($C26="","",BP26*BU26-BQ26)</f>
        <v/>
      </c>
      <c r="CB26" s="58" t="str">
        <f aca="false">IF($C26="","",IFERROR(BP26*BU26/BQ26,0))</f>
        <v/>
      </c>
      <c r="CC26" s="50" t="str">
        <f aca="false">IF($C26="","",IF(BP26&gt;0,BQ26/BP26,"No recupera"))</f>
        <v/>
      </c>
      <c r="CD26" s="59" t="str">
        <f aca="false">IF($C26="","",IFERROR((Horiz*BO26-BQ26)/BQ26,0))</f>
        <v/>
      </c>
      <c r="CE26" s="50" t="str">
        <f aca="false">IF($C26="","",IF(BO26&gt;0,BQ26/BO26,"No recupera"))</f>
        <v/>
      </c>
      <c r="CF26" s="50" t="str">
        <f aca="false">IF($C26="","",IF(BO26&lt;=0,"No recupera",IF(R26=0,BQ26/BO26,IFERROR(-LN(1-BQ26*R26/BO26)/LN(1+R26),"No recupera"))))</f>
        <v/>
      </c>
      <c r="CG26" s="57" t="str">
        <f aca="false">IF($C26="","",BO26-BQ26/BU26)</f>
        <v/>
      </c>
      <c r="CH26" s="54" t="str">
        <f aca="false">IF($C26="","",(BM26+BF26)*BU26)</f>
        <v/>
      </c>
      <c r="CI26" s="54" t="str">
        <f aca="false">IF($C26="","",(BN26+BG26+N(AA26))*BU26+BQ26)</f>
        <v/>
      </c>
      <c r="CJ26" s="57" t="str">
        <f aca="false">IF($C26="","",IF(OR(N(T26)=0,AO26="NO APTO/REPARAR",AO26="REVISAR"),"n/a",(AK26*FMS*MAX(1,AJ26*INDEX(EffRet,MATCH(S26,EffList,0)))*AL26-AW26)*BU26-INDEX(FFScost,N(T26)+1)-BT26))</f>
        <v/>
      </c>
      <c r="CK26" s="55" t="str">
        <f aca="false">IF($C26="","",IF(BW26&gt;1,"ACEPTABLE","NO ACEPTABLE"))</f>
        <v/>
      </c>
      <c r="CL26" s="60" t="str">
        <f aca="false">IF($C26="","",IF(ISNUMBER(AG26),IF(AG26&lt;0,IF(LEFT(AO26,4)="APTO","RUL&lt;0 con FFS apto: verificar","RUL&lt;0"),""),""))</f>
        <v/>
      </c>
      <c r="CM26" s="57" t="str">
        <f aca="false">IF($C26="","",-$BQ26+IF($R26=0,$BO26*MIN(CM$15,Horiz),$BO26*(1-(1+$R26)^(-MIN(CM$15,Horiz)))/$R26))</f>
        <v/>
      </c>
      <c r="CN26" s="57" t="str">
        <f aca="false">IF($C26="","",-$BQ26+IF($R26=0,$BO26*MIN(CN$15,Horiz),$BO26*(1-(1+$R26)^(-MIN(CN$15,Horiz)))/$R26))</f>
        <v/>
      </c>
      <c r="CO26" s="57" t="str">
        <f aca="false">IF($C26="","",-$BQ26+IF($R26=0,$BO26*MIN(CO$15,Horiz),$BO26*(1-(1+$R26)^(-MIN(CO$15,Horiz)))/$R26))</f>
        <v/>
      </c>
      <c r="CP26" s="57" t="str">
        <f aca="false">IF($C26="","",-$BQ26+IF($R26=0,$BO26*MIN(CP$15,Horiz),$BO26*(1-(1+$R26)^(-MIN(CP$15,Horiz)))/$R26))</f>
        <v/>
      </c>
      <c r="CQ26" s="57" t="str">
        <f aca="false">IF($C26="","",-$BQ26+IF($R26=0,$BO26*MIN(CQ$15,Horiz),$BO26*(1-(1+$R26)^(-MIN(CQ$15,Horiz)))/$R26))</f>
        <v/>
      </c>
      <c r="CR26" s="57" t="str">
        <f aca="false">IF($C26="","",-$BQ26+IF($R26=0,$BO26*MIN(CR$15,Horiz),$BO26*(1-(1+$R26)^(-MIN(CR$15,Horiz)))/$R26))</f>
        <v/>
      </c>
      <c r="CS26" s="57" t="str">
        <f aca="false">IF($C26="","",-$BQ26+IF($R26=0,$BO26*MIN(CS$15,Horiz),$BO26*(1-(1+$R26)^(-MIN(CS$15,Horiz)))/$R26))</f>
        <v/>
      </c>
      <c r="CT26" s="57" t="str">
        <f aca="false">IF($C26="","",-$BQ26+IF($R26=0,$BO26*MIN(CT$15,Horiz),$BO26*(1-(1+$R26)^(-MIN(CT$15,Horiz)))/$R26))</f>
        <v/>
      </c>
      <c r="CU26" s="57" t="str">
        <f aca="false">IF($C26="","",-$BQ26+IF($R26=0,$BO26*MIN(CU$15,Horiz),$BO26*(1-(1+$R26)^(-MIN(CU$15,Horiz)))/$R26))</f>
        <v/>
      </c>
      <c r="CV26" s="57" t="str">
        <f aca="false">IF($C26="","",-$BQ26+IF($R26=0,$BO26*MIN(CV$15,Horiz),$BO26*(1-(1+$R26)^(-MIN(CV$15,Horiz)))/$R26))</f>
        <v/>
      </c>
      <c r="CW26" s="57" t="str">
        <f aca="false">IF($C26="","",-$BQ26+IF($R26=0,$BO26*MIN(CW$15,Horiz),$BO26*(1-(1+$R26)^(-MIN(CW$15,Horiz)))/$R26))</f>
        <v/>
      </c>
      <c r="CX26" s="57" t="str">
        <f aca="false">IF($C26="","",-$BQ26+IF($R26=0,$BO26*MIN(CX$15,Horiz),$BO26*(1-(1+$R26)^(-MIN(CX$15,Horiz)))/$R26))</f>
        <v/>
      </c>
      <c r="CY26" s="57" t="str">
        <f aca="false">IF($C26="","",-$BQ26+IF($R26=0,$BO26*MIN(CY$15,Horiz),$BO26*(1-(1+$R26)^(-MIN(CY$15,Horiz)))/$R26))</f>
        <v/>
      </c>
      <c r="CZ26" s="57" t="str">
        <f aca="false">IF($C26="","",-$BQ26+IF($R26=0,$BO26*MIN(CZ$15,Horiz),$BO26*(1-(1+$R26)^(-MIN(CZ$15,Horiz)))/$R26))</f>
        <v/>
      </c>
      <c r="DA26" s="57" t="str">
        <f aca="false">IF($C26="","",-$BQ26+IF($R26=0,$BO26*MIN(DA$15,Horiz),$BO26*(1-(1+$R26)^(-MIN(DA$15,Horiz)))/$R26))</f>
        <v/>
      </c>
      <c r="DB26" s="57" t="str">
        <f aca="false">IF($C26="","",-$BQ26+IF($R26=0,$BO26*MIN(DB$15,Horiz),$BO26*(1-(1+$R26)^(-MIN(DB$15,Horiz)))/$R26))</f>
        <v/>
      </c>
    </row>
    <row r="27" customFormat="false" ht="15" hidden="false" customHeight="false" outlineLevel="0" collapsed="false">
      <c r="A27" s="38" t="n">
        <v>12</v>
      </c>
      <c r="B27" s="39"/>
      <c r="C27" s="40"/>
      <c r="D27" s="39"/>
      <c r="E27" s="39"/>
      <c r="F27" s="41"/>
      <c r="G27" s="41"/>
      <c r="H27" s="42"/>
      <c r="I27" s="43"/>
      <c r="J27" s="44"/>
      <c r="K27" s="41"/>
      <c r="L27" s="39"/>
      <c r="M27" s="40"/>
      <c r="N27" s="45"/>
      <c r="O27" s="46"/>
      <c r="P27" s="47"/>
      <c r="Q27" s="46"/>
      <c r="R27" s="48"/>
      <c r="S27" s="40"/>
      <c r="T27" s="41"/>
      <c r="U27" s="40"/>
      <c r="V27" s="40"/>
      <c r="W27" s="46"/>
      <c r="X27" s="41"/>
      <c r="Y27" s="41"/>
      <c r="Z27" s="46"/>
      <c r="AA27" s="46"/>
      <c r="AB27" s="41"/>
      <c r="AC27" s="40"/>
      <c r="AD27" s="41"/>
      <c r="AE27" s="40"/>
      <c r="AF27" s="49" t="str">
        <f aca="false">IF($C27="","",AnioEval-K27)</f>
        <v/>
      </c>
      <c r="AG27" s="50" t="str">
        <f aca="false">IF($C27="","",IF(AND(ISNUMBER(J27),I27&gt;0),(H27-J27)/(I27*SensCR)-AF27,"n/d"))</f>
        <v/>
      </c>
      <c r="AH27" s="51" t="str">
        <f aca="false">IF($C27="","",IFERROR(I27*SensCR*AF27/H27,0))</f>
        <v/>
      </c>
      <c r="AI27" s="52" t="str">
        <f aca="false">IF($C27="","",IF(INDEX(MecTipo,MATCH(L27,MecList,0))="F",IFERROR(INDEX(SusDF,MATCH(M27,SusList,0)),1),LOOKUP(AH27,ArtLim,ArtDF)))</f>
        <v/>
      </c>
      <c r="AJ27" s="52" t="str">
        <f aca="false">IF($C27="","",IF(ISNUMBER(N27),N27,AI27))</f>
        <v/>
      </c>
      <c r="AK27" s="53" t="str">
        <f aca="false">IF($C27="","",INDEX(GFFval,MATCH(D27,GFFtipo,0)))</f>
        <v/>
      </c>
      <c r="AL27" s="54" t="str">
        <f aca="false">IF($C27="","",O27*((1-N(P27))+N(P27)*Kpd))</f>
        <v/>
      </c>
      <c r="AM27" s="53" t="str">
        <f aca="false">IF($C27="","",AK27*AJ27*FMS)</f>
        <v/>
      </c>
      <c r="AN27" s="54" t="str">
        <f aca="false">IF($C27="","",AM27*AL27)</f>
        <v/>
      </c>
      <c r="AO27" s="55" t="str">
        <f aca="false">IF($C27="","",IF(N(T27)=0,"No requerido",IF(AND(U27="Apto",V27="Pasa"),"APTO/PASA",IF(AND(U27="Apto con limitaciones",V27="Pasa"),"APTO CON LIMITACIONES",IF(U27="No apto","NO APTO/REPARAR","REVISAR")))))</f>
        <v/>
      </c>
      <c r="AP27" s="54" t="str">
        <f aca="false">IF($C27="","",AK27*FMS*IF(AO27="NO APTO/REPARAR",1,MAX(1,AJ27*INDEX(EffRet,1)*INDEX(FFSfac,MATCH(AO27,FFSlist,0))))*AL27)</f>
        <v/>
      </c>
      <c r="AQ27" s="54" t="str">
        <f aca="false">IF($C27="","",AK27*FMS*IF(AO27="NO APTO/REPARAR",1,MAX(1,AJ27*INDEX(EffRet,2)*INDEX(FFSfac,MATCH(AO27,FFSlist,0))))*AL27)</f>
        <v/>
      </c>
      <c r="AR27" s="54" t="str">
        <f aca="false">IF($C27="","",AK27*FMS*IF(AO27="NO APTO/REPARAR",1,MAX(1,AJ27*INDEX(EffRet,3)*INDEX(FFSfac,MATCH(AO27,FFSlist,0))))*AL27)</f>
        <v/>
      </c>
      <c r="AS27" s="54" t="str">
        <f aca="false">IF($C27="","",AK27*FMS*IF(AO27="NO APTO/REPARAR",1,MAX(1,AJ27*INDEX(EffRet,4)*INDEX(FFSfac,MATCH(AO27,FFSlist,0))))*AL27)</f>
        <v/>
      </c>
      <c r="AT27" s="54" t="str">
        <f aca="false">IF($C27="","",IFERROR(Q27*FInsp/INDEX(CostRel,MATCH(S27,EffList,0)),0))</f>
        <v/>
      </c>
      <c r="AU27" s="52" t="str">
        <f aca="false">IF($C27="","",IF(AO27="NO APTO/REPARAR",1,MAX(1,AJ27*INDEX(EffRet,MATCH(S27,EffList,0))*INDEX(FFSfac,MATCH(AO27,FFSlist,0)))))</f>
        <v/>
      </c>
      <c r="AV27" s="53" t="str">
        <f aca="false">IF($C27="","",AK27*AU27*FMS)</f>
        <v/>
      </c>
      <c r="AW27" s="54" t="str">
        <f aca="false">IF($C27="","",AV27*AL27)</f>
        <v/>
      </c>
      <c r="AX27" s="54" t="str">
        <f aca="false">IF($C27="","",IFERROR(AK27*FMS*INDEX(DFrep,AB27)*INDEX(FCrep,MATCH(AC27,CatLet,0)),AN27))</f>
        <v/>
      </c>
      <c r="AY27" s="54" t="str">
        <f aca="false">IF($C27="","",IFERROR(AK27*FMS*INDEX(DFrep,AD27)*INDEX(FCrep,MATCH(AE27,CatLet,0)),AW27))</f>
        <v/>
      </c>
      <c r="AZ27" s="56" t="str">
        <f aca="false">IF($C27="","",(1+SUMPRODUCT(--(AJ27&gt;PcutDF)))&amp;CHOOSE(1+SUMPRODUCT(--(AL27&gt;CcutFC)),"A","B","C","D","E"))</f>
        <v/>
      </c>
      <c r="BA27" s="56" t="str">
        <f aca="false">IF($C27="","",(1+SUMPRODUCT(--(AU27&gt;PcutDF)))&amp;CHOOSE(1+SUMPRODUCT(--(AL27&gt;CcutFC)),"A","B","C","D","E"))</f>
        <v/>
      </c>
      <c r="BB27" s="56" t="str">
        <f aca="false">IF($C27="","",IF(AND(AB27&amp;AC27=AZ27,AD27&amp;AE27=BA27),"OK","REVISAR"))</f>
        <v/>
      </c>
      <c r="BC27" s="49" t="str">
        <f aca="false">IF($C27="","",IFERROR(INDEX(RAMlev,AB27,MATCH(AC27,CatLet,0)),""))</f>
        <v/>
      </c>
      <c r="BD27" s="49" t="str">
        <f aca="false">IF($C27="","",IFERROR(INDEX(RAMlev,AD27,MATCH(AE27,CatLet,0)),""))</f>
        <v/>
      </c>
      <c r="BE27" s="56" t="str">
        <f aca="false">IF($C27="","",IF(BD27="","",IF(BD27&lt;=ObjNivel,"Cumple","Excede")))</f>
        <v/>
      </c>
      <c r="BF27" s="54" t="str">
        <f aca="false">IF($C27="","",IF(Base="RAM",AX27,AN27))</f>
        <v/>
      </c>
      <c r="BG27" s="54" t="str">
        <f aca="false">IF($C27="","",IF(Base="RAM",AY27,AW27))</f>
        <v/>
      </c>
      <c r="BH27" s="54" t="str">
        <f aca="false">IF($C27="","",BF27-BG27)</f>
        <v/>
      </c>
      <c r="BI27" s="54" t="str">
        <f aca="false">IF($C27="","",BH27*N(P27)*Kpd/((1-N(P27))+N(P27)*Kpd))</f>
        <v/>
      </c>
      <c r="BJ27" s="54" t="str">
        <f aca="false">IF($C27="","",BH27-BI27)</f>
        <v/>
      </c>
      <c r="BK27" s="54" t="str">
        <f aca="false">IF($C27="","",IFERROR(Q27*FInsp*(1/X27-1/Y27),0))</f>
        <v/>
      </c>
      <c r="BL27" s="54" t="str">
        <f aca="false">IF($C27="","",IFERROR(Z27*Kpd*(1/X27-1/Y27),0))</f>
        <v/>
      </c>
      <c r="BM27" s="54" t="str">
        <f aca="false">IF($C27="","",IFERROR((Q27*FInsp+Z27*Kpd)/X27,0))</f>
        <v/>
      </c>
      <c r="BN27" s="54" t="str">
        <f aca="false">IF($C27="","",IFERROR((Q27*FInsp+Z27*Kpd)/Y27,0))</f>
        <v/>
      </c>
      <c r="BO27" s="54" t="str">
        <f aca="false">IF($C27="","",BH27+BK27+BL27-N(AA27))</f>
        <v/>
      </c>
      <c r="BP27" s="57" t="str">
        <f aca="false">IF($C27="","",BK27+BL27-N(AA27))</f>
        <v/>
      </c>
      <c r="BQ27" s="54" t="str">
        <f aca="false">IF($C27="","",BR27+BS27+BT27)</f>
        <v/>
      </c>
      <c r="BR27" s="54" t="str">
        <f aca="false">IF($C27="","",Q27*FInsp)</f>
        <v/>
      </c>
      <c r="BS27" s="54" t="str">
        <f aca="false">IF($C27="","",INDEX(FFScost,N(T27)+1)+RBIimpl)</f>
        <v/>
      </c>
      <c r="BT27" s="54" t="str">
        <f aca="false">IF($C27="","",IF(OR(AO27="NO APTO/REPARAR",AO27="APTO CON LIMITACIONES"),N(W27)*FRep,0))</f>
        <v/>
      </c>
      <c r="BU27" s="51" t="str">
        <f aca="false">IF($C27="","",IF(R27=0,Horiz,(1-(1+R27)^(-Horiz))/R27))</f>
        <v/>
      </c>
      <c r="BV27" s="54" t="str">
        <f aca="false">IF($C27="","",BO27*BU27)</f>
        <v/>
      </c>
      <c r="BW27" s="58" t="str">
        <f aca="false">IF($C27="","",IFERROR(BV27/BQ27,0))</f>
        <v/>
      </c>
      <c r="BX27" s="57" t="str">
        <f aca="false">IF($C27="","",BV27-BQ27)</f>
        <v/>
      </c>
      <c r="BY27" s="57" t="str">
        <f aca="false">IF($C27="","",BO27*IF(R27=0,1,1/(1+R27))-BQ27)</f>
        <v/>
      </c>
      <c r="BZ27" s="57" t="str">
        <f aca="false">IF($C27="","",BO27*IF(R27=0,10,(1-(1+R27)^(-10))/R27)-BQ27)</f>
        <v/>
      </c>
      <c r="CA27" s="57" t="str">
        <f aca="false">IF($C27="","",BP27*BU27-BQ27)</f>
        <v/>
      </c>
      <c r="CB27" s="58" t="str">
        <f aca="false">IF($C27="","",IFERROR(BP27*BU27/BQ27,0))</f>
        <v/>
      </c>
      <c r="CC27" s="50" t="str">
        <f aca="false">IF($C27="","",IF(BP27&gt;0,BQ27/BP27,"No recupera"))</f>
        <v/>
      </c>
      <c r="CD27" s="59" t="str">
        <f aca="false">IF($C27="","",IFERROR((Horiz*BO27-BQ27)/BQ27,0))</f>
        <v/>
      </c>
      <c r="CE27" s="50" t="str">
        <f aca="false">IF($C27="","",IF(BO27&gt;0,BQ27/BO27,"No recupera"))</f>
        <v/>
      </c>
      <c r="CF27" s="50" t="str">
        <f aca="false">IF($C27="","",IF(BO27&lt;=0,"No recupera",IF(R27=0,BQ27/BO27,IFERROR(-LN(1-BQ27*R27/BO27)/LN(1+R27),"No recupera"))))</f>
        <v/>
      </c>
      <c r="CG27" s="57" t="str">
        <f aca="false">IF($C27="","",BO27-BQ27/BU27)</f>
        <v/>
      </c>
      <c r="CH27" s="54" t="str">
        <f aca="false">IF($C27="","",(BM27+BF27)*BU27)</f>
        <v/>
      </c>
      <c r="CI27" s="54" t="str">
        <f aca="false">IF($C27="","",(BN27+BG27+N(AA27))*BU27+BQ27)</f>
        <v/>
      </c>
      <c r="CJ27" s="57" t="str">
        <f aca="false">IF($C27="","",IF(OR(N(T27)=0,AO27="NO APTO/REPARAR",AO27="REVISAR"),"n/a",(AK27*FMS*MAX(1,AJ27*INDEX(EffRet,MATCH(S27,EffList,0)))*AL27-AW27)*BU27-INDEX(FFScost,N(T27)+1)-BT27))</f>
        <v/>
      </c>
      <c r="CK27" s="55" t="str">
        <f aca="false">IF($C27="","",IF(BW27&gt;1,"ACEPTABLE","NO ACEPTABLE"))</f>
        <v/>
      </c>
      <c r="CL27" s="60" t="str">
        <f aca="false">IF($C27="","",IF(ISNUMBER(AG27),IF(AG27&lt;0,IF(LEFT(AO27,4)="APTO","RUL&lt;0 con FFS apto: verificar","RUL&lt;0"),""),""))</f>
        <v/>
      </c>
      <c r="CM27" s="57" t="str">
        <f aca="false">IF($C27="","",-$BQ27+IF($R27=0,$BO27*MIN(CM$15,Horiz),$BO27*(1-(1+$R27)^(-MIN(CM$15,Horiz)))/$R27))</f>
        <v/>
      </c>
      <c r="CN27" s="57" t="str">
        <f aca="false">IF($C27="","",-$BQ27+IF($R27=0,$BO27*MIN(CN$15,Horiz),$BO27*(1-(1+$R27)^(-MIN(CN$15,Horiz)))/$R27))</f>
        <v/>
      </c>
      <c r="CO27" s="57" t="str">
        <f aca="false">IF($C27="","",-$BQ27+IF($R27=0,$BO27*MIN(CO$15,Horiz),$BO27*(1-(1+$R27)^(-MIN(CO$15,Horiz)))/$R27))</f>
        <v/>
      </c>
      <c r="CP27" s="57" t="str">
        <f aca="false">IF($C27="","",-$BQ27+IF($R27=0,$BO27*MIN(CP$15,Horiz),$BO27*(1-(1+$R27)^(-MIN(CP$15,Horiz)))/$R27))</f>
        <v/>
      </c>
      <c r="CQ27" s="57" t="str">
        <f aca="false">IF($C27="","",-$BQ27+IF($R27=0,$BO27*MIN(CQ$15,Horiz),$BO27*(1-(1+$R27)^(-MIN(CQ$15,Horiz)))/$R27))</f>
        <v/>
      </c>
      <c r="CR27" s="57" t="str">
        <f aca="false">IF($C27="","",-$BQ27+IF($R27=0,$BO27*MIN(CR$15,Horiz),$BO27*(1-(1+$R27)^(-MIN(CR$15,Horiz)))/$R27))</f>
        <v/>
      </c>
      <c r="CS27" s="57" t="str">
        <f aca="false">IF($C27="","",-$BQ27+IF($R27=0,$BO27*MIN(CS$15,Horiz),$BO27*(1-(1+$R27)^(-MIN(CS$15,Horiz)))/$R27))</f>
        <v/>
      </c>
      <c r="CT27" s="57" t="str">
        <f aca="false">IF($C27="","",-$BQ27+IF($R27=0,$BO27*MIN(CT$15,Horiz),$BO27*(1-(1+$R27)^(-MIN(CT$15,Horiz)))/$R27))</f>
        <v/>
      </c>
      <c r="CU27" s="57" t="str">
        <f aca="false">IF($C27="","",-$BQ27+IF($R27=0,$BO27*MIN(CU$15,Horiz),$BO27*(1-(1+$R27)^(-MIN(CU$15,Horiz)))/$R27))</f>
        <v/>
      </c>
      <c r="CV27" s="57" t="str">
        <f aca="false">IF($C27="","",-$BQ27+IF($R27=0,$BO27*MIN(CV$15,Horiz),$BO27*(1-(1+$R27)^(-MIN(CV$15,Horiz)))/$R27))</f>
        <v/>
      </c>
      <c r="CW27" s="57" t="str">
        <f aca="false">IF($C27="","",-$BQ27+IF($R27=0,$BO27*MIN(CW$15,Horiz),$BO27*(1-(1+$R27)^(-MIN(CW$15,Horiz)))/$R27))</f>
        <v/>
      </c>
      <c r="CX27" s="57" t="str">
        <f aca="false">IF($C27="","",-$BQ27+IF($R27=0,$BO27*MIN(CX$15,Horiz),$BO27*(1-(1+$R27)^(-MIN(CX$15,Horiz)))/$R27))</f>
        <v/>
      </c>
      <c r="CY27" s="57" t="str">
        <f aca="false">IF($C27="","",-$BQ27+IF($R27=0,$BO27*MIN(CY$15,Horiz),$BO27*(1-(1+$R27)^(-MIN(CY$15,Horiz)))/$R27))</f>
        <v/>
      </c>
      <c r="CZ27" s="57" t="str">
        <f aca="false">IF($C27="","",-$BQ27+IF($R27=0,$BO27*MIN(CZ$15,Horiz),$BO27*(1-(1+$R27)^(-MIN(CZ$15,Horiz)))/$R27))</f>
        <v/>
      </c>
      <c r="DA27" s="57" t="str">
        <f aca="false">IF($C27="","",-$BQ27+IF($R27=0,$BO27*MIN(DA$15,Horiz),$BO27*(1-(1+$R27)^(-MIN(DA$15,Horiz)))/$R27))</f>
        <v/>
      </c>
      <c r="DB27" s="57" t="str">
        <f aca="false">IF($C27="","",-$BQ27+IF($R27=0,$BO27*MIN(DB$15,Horiz),$BO27*(1-(1+$R27)^(-MIN(DB$15,Horiz)))/$R27))</f>
        <v/>
      </c>
    </row>
    <row r="28" customFormat="false" ht="15" hidden="false" customHeight="false" outlineLevel="0" collapsed="false">
      <c r="A28" s="38" t="n">
        <v>13</v>
      </c>
      <c r="B28" s="39"/>
      <c r="C28" s="40"/>
      <c r="D28" s="39"/>
      <c r="E28" s="39"/>
      <c r="F28" s="41"/>
      <c r="G28" s="41"/>
      <c r="H28" s="42"/>
      <c r="I28" s="43"/>
      <c r="J28" s="44"/>
      <c r="K28" s="41"/>
      <c r="L28" s="39"/>
      <c r="M28" s="40"/>
      <c r="N28" s="45"/>
      <c r="O28" s="46"/>
      <c r="P28" s="47"/>
      <c r="Q28" s="46"/>
      <c r="R28" s="48"/>
      <c r="S28" s="40"/>
      <c r="T28" s="41"/>
      <c r="U28" s="40"/>
      <c r="V28" s="40"/>
      <c r="W28" s="46"/>
      <c r="X28" s="41"/>
      <c r="Y28" s="41"/>
      <c r="Z28" s="46"/>
      <c r="AA28" s="46"/>
      <c r="AB28" s="41"/>
      <c r="AC28" s="40"/>
      <c r="AD28" s="41"/>
      <c r="AE28" s="40"/>
      <c r="AF28" s="49" t="str">
        <f aca="false">IF($C28="","",AnioEval-K28)</f>
        <v/>
      </c>
      <c r="AG28" s="50" t="str">
        <f aca="false">IF($C28="","",IF(AND(ISNUMBER(J28),I28&gt;0),(H28-J28)/(I28*SensCR)-AF28,"n/d"))</f>
        <v/>
      </c>
      <c r="AH28" s="51" t="str">
        <f aca="false">IF($C28="","",IFERROR(I28*SensCR*AF28/H28,0))</f>
        <v/>
      </c>
      <c r="AI28" s="52" t="str">
        <f aca="false">IF($C28="","",IF(INDEX(MecTipo,MATCH(L28,MecList,0))="F",IFERROR(INDEX(SusDF,MATCH(M28,SusList,0)),1),LOOKUP(AH28,ArtLim,ArtDF)))</f>
        <v/>
      </c>
      <c r="AJ28" s="52" t="str">
        <f aca="false">IF($C28="","",IF(ISNUMBER(N28),N28,AI28))</f>
        <v/>
      </c>
      <c r="AK28" s="53" t="str">
        <f aca="false">IF($C28="","",INDEX(GFFval,MATCH(D28,GFFtipo,0)))</f>
        <v/>
      </c>
      <c r="AL28" s="54" t="str">
        <f aca="false">IF($C28="","",O28*((1-N(P28))+N(P28)*Kpd))</f>
        <v/>
      </c>
      <c r="AM28" s="53" t="str">
        <f aca="false">IF($C28="","",AK28*AJ28*FMS)</f>
        <v/>
      </c>
      <c r="AN28" s="54" t="str">
        <f aca="false">IF($C28="","",AM28*AL28)</f>
        <v/>
      </c>
      <c r="AO28" s="55" t="str">
        <f aca="false">IF($C28="","",IF(N(T28)=0,"No requerido",IF(AND(U28="Apto",V28="Pasa"),"APTO/PASA",IF(AND(U28="Apto con limitaciones",V28="Pasa"),"APTO CON LIMITACIONES",IF(U28="No apto","NO APTO/REPARAR","REVISAR")))))</f>
        <v/>
      </c>
      <c r="AP28" s="54" t="str">
        <f aca="false">IF($C28="","",AK28*FMS*IF(AO28="NO APTO/REPARAR",1,MAX(1,AJ28*INDEX(EffRet,1)*INDEX(FFSfac,MATCH(AO28,FFSlist,0))))*AL28)</f>
        <v/>
      </c>
      <c r="AQ28" s="54" t="str">
        <f aca="false">IF($C28="","",AK28*FMS*IF(AO28="NO APTO/REPARAR",1,MAX(1,AJ28*INDEX(EffRet,2)*INDEX(FFSfac,MATCH(AO28,FFSlist,0))))*AL28)</f>
        <v/>
      </c>
      <c r="AR28" s="54" t="str">
        <f aca="false">IF($C28="","",AK28*FMS*IF(AO28="NO APTO/REPARAR",1,MAX(1,AJ28*INDEX(EffRet,3)*INDEX(FFSfac,MATCH(AO28,FFSlist,0))))*AL28)</f>
        <v/>
      </c>
      <c r="AS28" s="54" t="str">
        <f aca="false">IF($C28="","",AK28*FMS*IF(AO28="NO APTO/REPARAR",1,MAX(1,AJ28*INDEX(EffRet,4)*INDEX(FFSfac,MATCH(AO28,FFSlist,0))))*AL28)</f>
        <v/>
      </c>
      <c r="AT28" s="54" t="str">
        <f aca="false">IF($C28="","",IFERROR(Q28*FInsp/INDEX(CostRel,MATCH(S28,EffList,0)),0))</f>
        <v/>
      </c>
      <c r="AU28" s="52" t="str">
        <f aca="false">IF($C28="","",IF(AO28="NO APTO/REPARAR",1,MAX(1,AJ28*INDEX(EffRet,MATCH(S28,EffList,0))*INDEX(FFSfac,MATCH(AO28,FFSlist,0)))))</f>
        <v/>
      </c>
      <c r="AV28" s="53" t="str">
        <f aca="false">IF($C28="","",AK28*AU28*FMS)</f>
        <v/>
      </c>
      <c r="AW28" s="54" t="str">
        <f aca="false">IF($C28="","",AV28*AL28)</f>
        <v/>
      </c>
      <c r="AX28" s="54" t="str">
        <f aca="false">IF($C28="","",IFERROR(AK28*FMS*INDEX(DFrep,AB28)*INDEX(FCrep,MATCH(AC28,CatLet,0)),AN28))</f>
        <v/>
      </c>
      <c r="AY28" s="54" t="str">
        <f aca="false">IF($C28="","",IFERROR(AK28*FMS*INDEX(DFrep,AD28)*INDEX(FCrep,MATCH(AE28,CatLet,0)),AW28))</f>
        <v/>
      </c>
      <c r="AZ28" s="56" t="str">
        <f aca="false">IF($C28="","",(1+SUMPRODUCT(--(AJ28&gt;PcutDF)))&amp;CHOOSE(1+SUMPRODUCT(--(AL28&gt;CcutFC)),"A","B","C","D","E"))</f>
        <v/>
      </c>
      <c r="BA28" s="56" t="str">
        <f aca="false">IF($C28="","",(1+SUMPRODUCT(--(AU28&gt;PcutDF)))&amp;CHOOSE(1+SUMPRODUCT(--(AL28&gt;CcutFC)),"A","B","C","D","E"))</f>
        <v/>
      </c>
      <c r="BB28" s="56" t="str">
        <f aca="false">IF($C28="","",IF(AND(AB28&amp;AC28=AZ28,AD28&amp;AE28=BA28),"OK","REVISAR"))</f>
        <v/>
      </c>
      <c r="BC28" s="49" t="str">
        <f aca="false">IF($C28="","",IFERROR(INDEX(RAMlev,AB28,MATCH(AC28,CatLet,0)),""))</f>
        <v/>
      </c>
      <c r="BD28" s="49" t="str">
        <f aca="false">IF($C28="","",IFERROR(INDEX(RAMlev,AD28,MATCH(AE28,CatLet,0)),""))</f>
        <v/>
      </c>
      <c r="BE28" s="56" t="str">
        <f aca="false">IF($C28="","",IF(BD28="","",IF(BD28&lt;=ObjNivel,"Cumple","Excede")))</f>
        <v/>
      </c>
      <c r="BF28" s="54" t="str">
        <f aca="false">IF($C28="","",IF(Base="RAM",AX28,AN28))</f>
        <v/>
      </c>
      <c r="BG28" s="54" t="str">
        <f aca="false">IF($C28="","",IF(Base="RAM",AY28,AW28))</f>
        <v/>
      </c>
      <c r="BH28" s="54" t="str">
        <f aca="false">IF($C28="","",BF28-BG28)</f>
        <v/>
      </c>
      <c r="BI28" s="54" t="str">
        <f aca="false">IF($C28="","",BH28*N(P28)*Kpd/((1-N(P28))+N(P28)*Kpd))</f>
        <v/>
      </c>
      <c r="BJ28" s="54" t="str">
        <f aca="false">IF($C28="","",BH28-BI28)</f>
        <v/>
      </c>
      <c r="BK28" s="54" t="str">
        <f aca="false">IF($C28="","",IFERROR(Q28*FInsp*(1/X28-1/Y28),0))</f>
        <v/>
      </c>
      <c r="BL28" s="54" t="str">
        <f aca="false">IF($C28="","",IFERROR(Z28*Kpd*(1/X28-1/Y28),0))</f>
        <v/>
      </c>
      <c r="BM28" s="54" t="str">
        <f aca="false">IF($C28="","",IFERROR((Q28*FInsp+Z28*Kpd)/X28,0))</f>
        <v/>
      </c>
      <c r="BN28" s="54" t="str">
        <f aca="false">IF($C28="","",IFERROR((Q28*FInsp+Z28*Kpd)/Y28,0))</f>
        <v/>
      </c>
      <c r="BO28" s="54" t="str">
        <f aca="false">IF($C28="","",BH28+BK28+BL28-N(AA28))</f>
        <v/>
      </c>
      <c r="BP28" s="57" t="str">
        <f aca="false">IF($C28="","",BK28+BL28-N(AA28))</f>
        <v/>
      </c>
      <c r="BQ28" s="54" t="str">
        <f aca="false">IF($C28="","",BR28+BS28+BT28)</f>
        <v/>
      </c>
      <c r="BR28" s="54" t="str">
        <f aca="false">IF($C28="","",Q28*FInsp)</f>
        <v/>
      </c>
      <c r="BS28" s="54" t="str">
        <f aca="false">IF($C28="","",INDEX(FFScost,N(T28)+1)+RBIimpl)</f>
        <v/>
      </c>
      <c r="BT28" s="54" t="str">
        <f aca="false">IF($C28="","",IF(OR(AO28="NO APTO/REPARAR",AO28="APTO CON LIMITACIONES"),N(W28)*FRep,0))</f>
        <v/>
      </c>
      <c r="BU28" s="51" t="str">
        <f aca="false">IF($C28="","",IF(R28=0,Horiz,(1-(1+R28)^(-Horiz))/R28))</f>
        <v/>
      </c>
      <c r="BV28" s="54" t="str">
        <f aca="false">IF($C28="","",BO28*BU28)</f>
        <v/>
      </c>
      <c r="BW28" s="58" t="str">
        <f aca="false">IF($C28="","",IFERROR(BV28/BQ28,0))</f>
        <v/>
      </c>
      <c r="BX28" s="57" t="str">
        <f aca="false">IF($C28="","",BV28-BQ28)</f>
        <v/>
      </c>
      <c r="BY28" s="57" t="str">
        <f aca="false">IF($C28="","",BO28*IF(R28=0,1,1/(1+R28))-BQ28)</f>
        <v/>
      </c>
      <c r="BZ28" s="57" t="str">
        <f aca="false">IF($C28="","",BO28*IF(R28=0,10,(1-(1+R28)^(-10))/R28)-BQ28)</f>
        <v/>
      </c>
      <c r="CA28" s="57" t="str">
        <f aca="false">IF($C28="","",BP28*BU28-BQ28)</f>
        <v/>
      </c>
      <c r="CB28" s="58" t="str">
        <f aca="false">IF($C28="","",IFERROR(BP28*BU28/BQ28,0))</f>
        <v/>
      </c>
      <c r="CC28" s="50" t="str">
        <f aca="false">IF($C28="","",IF(BP28&gt;0,BQ28/BP28,"No recupera"))</f>
        <v/>
      </c>
      <c r="CD28" s="59" t="str">
        <f aca="false">IF($C28="","",IFERROR((Horiz*BO28-BQ28)/BQ28,0))</f>
        <v/>
      </c>
      <c r="CE28" s="50" t="str">
        <f aca="false">IF($C28="","",IF(BO28&gt;0,BQ28/BO28,"No recupera"))</f>
        <v/>
      </c>
      <c r="CF28" s="50" t="str">
        <f aca="false">IF($C28="","",IF(BO28&lt;=0,"No recupera",IF(R28=0,BQ28/BO28,IFERROR(-LN(1-BQ28*R28/BO28)/LN(1+R28),"No recupera"))))</f>
        <v/>
      </c>
      <c r="CG28" s="57" t="str">
        <f aca="false">IF($C28="","",BO28-BQ28/BU28)</f>
        <v/>
      </c>
      <c r="CH28" s="54" t="str">
        <f aca="false">IF($C28="","",(BM28+BF28)*BU28)</f>
        <v/>
      </c>
      <c r="CI28" s="54" t="str">
        <f aca="false">IF($C28="","",(BN28+BG28+N(AA28))*BU28+BQ28)</f>
        <v/>
      </c>
      <c r="CJ28" s="57" t="str">
        <f aca="false">IF($C28="","",IF(OR(N(T28)=0,AO28="NO APTO/REPARAR",AO28="REVISAR"),"n/a",(AK28*FMS*MAX(1,AJ28*INDEX(EffRet,MATCH(S28,EffList,0)))*AL28-AW28)*BU28-INDEX(FFScost,N(T28)+1)-BT28))</f>
        <v/>
      </c>
      <c r="CK28" s="55" t="str">
        <f aca="false">IF($C28="","",IF(BW28&gt;1,"ACEPTABLE","NO ACEPTABLE"))</f>
        <v/>
      </c>
      <c r="CL28" s="60" t="str">
        <f aca="false">IF($C28="","",IF(ISNUMBER(AG28),IF(AG28&lt;0,IF(LEFT(AO28,4)="APTO","RUL&lt;0 con FFS apto: verificar","RUL&lt;0"),""),""))</f>
        <v/>
      </c>
      <c r="CM28" s="57" t="str">
        <f aca="false">IF($C28="","",-$BQ28+IF($R28=0,$BO28*MIN(CM$15,Horiz),$BO28*(1-(1+$R28)^(-MIN(CM$15,Horiz)))/$R28))</f>
        <v/>
      </c>
      <c r="CN28" s="57" t="str">
        <f aca="false">IF($C28="","",-$BQ28+IF($R28=0,$BO28*MIN(CN$15,Horiz),$BO28*(1-(1+$R28)^(-MIN(CN$15,Horiz)))/$R28))</f>
        <v/>
      </c>
      <c r="CO28" s="57" t="str">
        <f aca="false">IF($C28="","",-$BQ28+IF($R28=0,$BO28*MIN(CO$15,Horiz),$BO28*(1-(1+$R28)^(-MIN(CO$15,Horiz)))/$R28))</f>
        <v/>
      </c>
      <c r="CP28" s="57" t="str">
        <f aca="false">IF($C28="","",-$BQ28+IF($R28=0,$BO28*MIN(CP$15,Horiz),$BO28*(1-(1+$R28)^(-MIN(CP$15,Horiz)))/$R28))</f>
        <v/>
      </c>
      <c r="CQ28" s="57" t="str">
        <f aca="false">IF($C28="","",-$BQ28+IF($R28=0,$BO28*MIN(CQ$15,Horiz),$BO28*(1-(1+$R28)^(-MIN(CQ$15,Horiz)))/$R28))</f>
        <v/>
      </c>
      <c r="CR28" s="57" t="str">
        <f aca="false">IF($C28="","",-$BQ28+IF($R28=0,$BO28*MIN(CR$15,Horiz),$BO28*(1-(1+$R28)^(-MIN(CR$15,Horiz)))/$R28))</f>
        <v/>
      </c>
      <c r="CS28" s="57" t="str">
        <f aca="false">IF($C28="","",-$BQ28+IF($R28=0,$BO28*MIN(CS$15,Horiz),$BO28*(1-(1+$R28)^(-MIN(CS$15,Horiz)))/$R28))</f>
        <v/>
      </c>
      <c r="CT28" s="57" t="str">
        <f aca="false">IF($C28="","",-$BQ28+IF($R28=0,$BO28*MIN(CT$15,Horiz),$BO28*(1-(1+$R28)^(-MIN(CT$15,Horiz)))/$R28))</f>
        <v/>
      </c>
      <c r="CU28" s="57" t="str">
        <f aca="false">IF($C28="","",-$BQ28+IF($R28=0,$BO28*MIN(CU$15,Horiz),$BO28*(1-(1+$R28)^(-MIN(CU$15,Horiz)))/$R28))</f>
        <v/>
      </c>
      <c r="CV28" s="57" t="str">
        <f aca="false">IF($C28="","",-$BQ28+IF($R28=0,$BO28*MIN(CV$15,Horiz),$BO28*(1-(1+$R28)^(-MIN(CV$15,Horiz)))/$R28))</f>
        <v/>
      </c>
      <c r="CW28" s="57" t="str">
        <f aca="false">IF($C28="","",-$BQ28+IF($R28=0,$BO28*MIN(CW$15,Horiz),$BO28*(1-(1+$R28)^(-MIN(CW$15,Horiz)))/$R28))</f>
        <v/>
      </c>
      <c r="CX28" s="57" t="str">
        <f aca="false">IF($C28="","",-$BQ28+IF($R28=0,$BO28*MIN(CX$15,Horiz),$BO28*(1-(1+$R28)^(-MIN(CX$15,Horiz)))/$R28))</f>
        <v/>
      </c>
      <c r="CY28" s="57" t="str">
        <f aca="false">IF($C28="","",-$BQ28+IF($R28=0,$BO28*MIN(CY$15,Horiz),$BO28*(1-(1+$R28)^(-MIN(CY$15,Horiz)))/$R28))</f>
        <v/>
      </c>
      <c r="CZ28" s="57" t="str">
        <f aca="false">IF($C28="","",-$BQ28+IF($R28=0,$BO28*MIN(CZ$15,Horiz),$BO28*(1-(1+$R28)^(-MIN(CZ$15,Horiz)))/$R28))</f>
        <v/>
      </c>
      <c r="DA28" s="57" t="str">
        <f aca="false">IF($C28="","",-$BQ28+IF($R28=0,$BO28*MIN(DA$15,Horiz),$BO28*(1-(1+$R28)^(-MIN(DA$15,Horiz)))/$R28))</f>
        <v/>
      </c>
      <c r="DB28" s="57" t="str">
        <f aca="false">IF($C28="","",-$BQ28+IF($R28=0,$BO28*MIN(DB$15,Horiz),$BO28*(1-(1+$R28)^(-MIN(DB$15,Horiz)))/$R28))</f>
        <v/>
      </c>
    </row>
    <row r="29" customFormat="false" ht="15" hidden="false" customHeight="false" outlineLevel="0" collapsed="false">
      <c r="A29" s="38" t="n">
        <v>14</v>
      </c>
      <c r="B29" s="39"/>
      <c r="C29" s="40"/>
      <c r="D29" s="39"/>
      <c r="E29" s="39"/>
      <c r="F29" s="41"/>
      <c r="G29" s="41"/>
      <c r="H29" s="42"/>
      <c r="I29" s="43"/>
      <c r="J29" s="44"/>
      <c r="K29" s="41"/>
      <c r="L29" s="39"/>
      <c r="M29" s="40"/>
      <c r="N29" s="45"/>
      <c r="O29" s="46"/>
      <c r="P29" s="47"/>
      <c r="Q29" s="46"/>
      <c r="R29" s="48"/>
      <c r="S29" s="40"/>
      <c r="T29" s="41"/>
      <c r="U29" s="40"/>
      <c r="V29" s="40"/>
      <c r="W29" s="46"/>
      <c r="X29" s="41"/>
      <c r="Y29" s="41"/>
      <c r="Z29" s="46"/>
      <c r="AA29" s="46"/>
      <c r="AB29" s="41"/>
      <c r="AC29" s="40"/>
      <c r="AD29" s="41"/>
      <c r="AE29" s="40"/>
      <c r="AF29" s="49" t="str">
        <f aca="false">IF($C29="","",AnioEval-K29)</f>
        <v/>
      </c>
      <c r="AG29" s="50" t="str">
        <f aca="false">IF($C29="","",IF(AND(ISNUMBER(J29),I29&gt;0),(H29-J29)/(I29*SensCR)-AF29,"n/d"))</f>
        <v/>
      </c>
      <c r="AH29" s="51" t="str">
        <f aca="false">IF($C29="","",IFERROR(I29*SensCR*AF29/H29,0))</f>
        <v/>
      </c>
      <c r="AI29" s="52" t="str">
        <f aca="false">IF($C29="","",IF(INDEX(MecTipo,MATCH(L29,MecList,0))="F",IFERROR(INDEX(SusDF,MATCH(M29,SusList,0)),1),LOOKUP(AH29,ArtLim,ArtDF)))</f>
        <v/>
      </c>
      <c r="AJ29" s="52" t="str">
        <f aca="false">IF($C29="","",IF(ISNUMBER(N29),N29,AI29))</f>
        <v/>
      </c>
      <c r="AK29" s="53" t="str">
        <f aca="false">IF($C29="","",INDEX(GFFval,MATCH(D29,GFFtipo,0)))</f>
        <v/>
      </c>
      <c r="AL29" s="54" t="str">
        <f aca="false">IF($C29="","",O29*((1-N(P29))+N(P29)*Kpd))</f>
        <v/>
      </c>
      <c r="AM29" s="53" t="str">
        <f aca="false">IF($C29="","",AK29*AJ29*FMS)</f>
        <v/>
      </c>
      <c r="AN29" s="54" t="str">
        <f aca="false">IF($C29="","",AM29*AL29)</f>
        <v/>
      </c>
      <c r="AO29" s="55" t="str">
        <f aca="false">IF($C29="","",IF(N(T29)=0,"No requerido",IF(AND(U29="Apto",V29="Pasa"),"APTO/PASA",IF(AND(U29="Apto con limitaciones",V29="Pasa"),"APTO CON LIMITACIONES",IF(U29="No apto","NO APTO/REPARAR","REVISAR")))))</f>
        <v/>
      </c>
      <c r="AP29" s="54" t="str">
        <f aca="false">IF($C29="","",AK29*FMS*IF(AO29="NO APTO/REPARAR",1,MAX(1,AJ29*INDEX(EffRet,1)*INDEX(FFSfac,MATCH(AO29,FFSlist,0))))*AL29)</f>
        <v/>
      </c>
      <c r="AQ29" s="54" t="str">
        <f aca="false">IF($C29="","",AK29*FMS*IF(AO29="NO APTO/REPARAR",1,MAX(1,AJ29*INDEX(EffRet,2)*INDEX(FFSfac,MATCH(AO29,FFSlist,0))))*AL29)</f>
        <v/>
      </c>
      <c r="AR29" s="54" t="str">
        <f aca="false">IF($C29="","",AK29*FMS*IF(AO29="NO APTO/REPARAR",1,MAX(1,AJ29*INDEX(EffRet,3)*INDEX(FFSfac,MATCH(AO29,FFSlist,0))))*AL29)</f>
        <v/>
      </c>
      <c r="AS29" s="54" t="str">
        <f aca="false">IF($C29="","",AK29*FMS*IF(AO29="NO APTO/REPARAR",1,MAX(1,AJ29*INDEX(EffRet,4)*INDEX(FFSfac,MATCH(AO29,FFSlist,0))))*AL29)</f>
        <v/>
      </c>
      <c r="AT29" s="54" t="str">
        <f aca="false">IF($C29="","",IFERROR(Q29*FInsp/INDEX(CostRel,MATCH(S29,EffList,0)),0))</f>
        <v/>
      </c>
      <c r="AU29" s="52" t="str">
        <f aca="false">IF($C29="","",IF(AO29="NO APTO/REPARAR",1,MAX(1,AJ29*INDEX(EffRet,MATCH(S29,EffList,0))*INDEX(FFSfac,MATCH(AO29,FFSlist,0)))))</f>
        <v/>
      </c>
      <c r="AV29" s="53" t="str">
        <f aca="false">IF($C29="","",AK29*AU29*FMS)</f>
        <v/>
      </c>
      <c r="AW29" s="54" t="str">
        <f aca="false">IF($C29="","",AV29*AL29)</f>
        <v/>
      </c>
      <c r="AX29" s="54" t="str">
        <f aca="false">IF($C29="","",IFERROR(AK29*FMS*INDEX(DFrep,AB29)*INDEX(FCrep,MATCH(AC29,CatLet,0)),AN29))</f>
        <v/>
      </c>
      <c r="AY29" s="54" t="str">
        <f aca="false">IF($C29="","",IFERROR(AK29*FMS*INDEX(DFrep,AD29)*INDEX(FCrep,MATCH(AE29,CatLet,0)),AW29))</f>
        <v/>
      </c>
      <c r="AZ29" s="56" t="str">
        <f aca="false">IF($C29="","",(1+SUMPRODUCT(--(AJ29&gt;PcutDF)))&amp;CHOOSE(1+SUMPRODUCT(--(AL29&gt;CcutFC)),"A","B","C","D","E"))</f>
        <v/>
      </c>
      <c r="BA29" s="56" t="str">
        <f aca="false">IF($C29="","",(1+SUMPRODUCT(--(AU29&gt;PcutDF)))&amp;CHOOSE(1+SUMPRODUCT(--(AL29&gt;CcutFC)),"A","B","C","D","E"))</f>
        <v/>
      </c>
      <c r="BB29" s="56" t="str">
        <f aca="false">IF($C29="","",IF(AND(AB29&amp;AC29=AZ29,AD29&amp;AE29=BA29),"OK","REVISAR"))</f>
        <v/>
      </c>
      <c r="BC29" s="49" t="str">
        <f aca="false">IF($C29="","",IFERROR(INDEX(RAMlev,AB29,MATCH(AC29,CatLet,0)),""))</f>
        <v/>
      </c>
      <c r="BD29" s="49" t="str">
        <f aca="false">IF($C29="","",IFERROR(INDEX(RAMlev,AD29,MATCH(AE29,CatLet,0)),""))</f>
        <v/>
      </c>
      <c r="BE29" s="56" t="str">
        <f aca="false">IF($C29="","",IF(BD29="","",IF(BD29&lt;=ObjNivel,"Cumple","Excede")))</f>
        <v/>
      </c>
      <c r="BF29" s="54" t="str">
        <f aca="false">IF($C29="","",IF(Base="RAM",AX29,AN29))</f>
        <v/>
      </c>
      <c r="BG29" s="54" t="str">
        <f aca="false">IF($C29="","",IF(Base="RAM",AY29,AW29))</f>
        <v/>
      </c>
      <c r="BH29" s="54" t="str">
        <f aca="false">IF($C29="","",BF29-BG29)</f>
        <v/>
      </c>
      <c r="BI29" s="54" t="str">
        <f aca="false">IF($C29="","",BH29*N(P29)*Kpd/((1-N(P29))+N(P29)*Kpd))</f>
        <v/>
      </c>
      <c r="BJ29" s="54" t="str">
        <f aca="false">IF($C29="","",BH29-BI29)</f>
        <v/>
      </c>
      <c r="BK29" s="54" t="str">
        <f aca="false">IF($C29="","",IFERROR(Q29*FInsp*(1/X29-1/Y29),0))</f>
        <v/>
      </c>
      <c r="BL29" s="54" t="str">
        <f aca="false">IF($C29="","",IFERROR(Z29*Kpd*(1/X29-1/Y29),0))</f>
        <v/>
      </c>
      <c r="BM29" s="54" t="str">
        <f aca="false">IF($C29="","",IFERROR((Q29*FInsp+Z29*Kpd)/X29,0))</f>
        <v/>
      </c>
      <c r="BN29" s="54" t="str">
        <f aca="false">IF($C29="","",IFERROR((Q29*FInsp+Z29*Kpd)/Y29,0))</f>
        <v/>
      </c>
      <c r="BO29" s="54" t="str">
        <f aca="false">IF($C29="","",BH29+BK29+BL29-N(AA29))</f>
        <v/>
      </c>
      <c r="BP29" s="57" t="str">
        <f aca="false">IF($C29="","",BK29+BL29-N(AA29))</f>
        <v/>
      </c>
      <c r="BQ29" s="54" t="str">
        <f aca="false">IF($C29="","",BR29+BS29+BT29)</f>
        <v/>
      </c>
      <c r="BR29" s="54" t="str">
        <f aca="false">IF($C29="","",Q29*FInsp)</f>
        <v/>
      </c>
      <c r="BS29" s="54" t="str">
        <f aca="false">IF($C29="","",INDEX(FFScost,N(T29)+1)+RBIimpl)</f>
        <v/>
      </c>
      <c r="BT29" s="54" t="str">
        <f aca="false">IF($C29="","",IF(OR(AO29="NO APTO/REPARAR",AO29="APTO CON LIMITACIONES"),N(W29)*FRep,0))</f>
        <v/>
      </c>
      <c r="BU29" s="51" t="str">
        <f aca="false">IF($C29="","",IF(R29=0,Horiz,(1-(1+R29)^(-Horiz))/R29))</f>
        <v/>
      </c>
      <c r="BV29" s="54" t="str">
        <f aca="false">IF($C29="","",BO29*BU29)</f>
        <v/>
      </c>
      <c r="BW29" s="58" t="str">
        <f aca="false">IF($C29="","",IFERROR(BV29/BQ29,0))</f>
        <v/>
      </c>
      <c r="BX29" s="57" t="str">
        <f aca="false">IF($C29="","",BV29-BQ29)</f>
        <v/>
      </c>
      <c r="BY29" s="57" t="str">
        <f aca="false">IF($C29="","",BO29*IF(R29=0,1,1/(1+R29))-BQ29)</f>
        <v/>
      </c>
      <c r="BZ29" s="57" t="str">
        <f aca="false">IF($C29="","",BO29*IF(R29=0,10,(1-(1+R29)^(-10))/R29)-BQ29)</f>
        <v/>
      </c>
      <c r="CA29" s="57" t="str">
        <f aca="false">IF($C29="","",BP29*BU29-BQ29)</f>
        <v/>
      </c>
      <c r="CB29" s="58" t="str">
        <f aca="false">IF($C29="","",IFERROR(BP29*BU29/BQ29,0))</f>
        <v/>
      </c>
      <c r="CC29" s="50" t="str">
        <f aca="false">IF($C29="","",IF(BP29&gt;0,BQ29/BP29,"No recupera"))</f>
        <v/>
      </c>
      <c r="CD29" s="59" t="str">
        <f aca="false">IF($C29="","",IFERROR((Horiz*BO29-BQ29)/BQ29,0))</f>
        <v/>
      </c>
      <c r="CE29" s="50" t="str">
        <f aca="false">IF($C29="","",IF(BO29&gt;0,BQ29/BO29,"No recupera"))</f>
        <v/>
      </c>
      <c r="CF29" s="50" t="str">
        <f aca="false">IF($C29="","",IF(BO29&lt;=0,"No recupera",IF(R29=0,BQ29/BO29,IFERROR(-LN(1-BQ29*R29/BO29)/LN(1+R29),"No recupera"))))</f>
        <v/>
      </c>
      <c r="CG29" s="57" t="str">
        <f aca="false">IF($C29="","",BO29-BQ29/BU29)</f>
        <v/>
      </c>
      <c r="CH29" s="54" t="str">
        <f aca="false">IF($C29="","",(BM29+BF29)*BU29)</f>
        <v/>
      </c>
      <c r="CI29" s="54" t="str">
        <f aca="false">IF($C29="","",(BN29+BG29+N(AA29))*BU29+BQ29)</f>
        <v/>
      </c>
      <c r="CJ29" s="57" t="str">
        <f aca="false">IF($C29="","",IF(OR(N(T29)=0,AO29="NO APTO/REPARAR",AO29="REVISAR"),"n/a",(AK29*FMS*MAX(1,AJ29*INDEX(EffRet,MATCH(S29,EffList,0)))*AL29-AW29)*BU29-INDEX(FFScost,N(T29)+1)-BT29))</f>
        <v/>
      </c>
      <c r="CK29" s="55" t="str">
        <f aca="false">IF($C29="","",IF(BW29&gt;1,"ACEPTABLE","NO ACEPTABLE"))</f>
        <v/>
      </c>
      <c r="CL29" s="60" t="str">
        <f aca="false">IF($C29="","",IF(ISNUMBER(AG29),IF(AG29&lt;0,IF(LEFT(AO29,4)="APTO","RUL&lt;0 con FFS apto: verificar","RUL&lt;0"),""),""))</f>
        <v/>
      </c>
      <c r="CM29" s="57" t="str">
        <f aca="false">IF($C29="","",-$BQ29+IF($R29=0,$BO29*MIN(CM$15,Horiz),$BO29*(1-(1+$R29)^(-MIN(CM$15,Horiz)))/$R29))</f>
        <v/>
      </c>
      <c r="CN29" s="57" t="str">
        <f aca="false">IF($C29="","",-$BQ29+IF($R29=0,$BO29*MIN(CN$15,Horiz),$BO29*(1-(1+$R29)^(-MIN(CN$15,Horiz)))/$R29))</f>
        <v/>
      </c>
      <c r="CO29" s="57" t="str">
        <f aca="false">IF($C29="","",-$BQ29+IF($R29=0,$BO29*MIN(CO$15,Horiz),$BO29*(1-(1+$R29)^(-MIN(CO$15,Horiz)))/$R29))</f>
        <v/>
      </c>
      <c r="CP29" s="57" t="str">
        <f aca="false">IF($C29="","",-$BQ29+IF($R29=0,$BO29*MIN(CP$15,Horiz),$BO29*(1-(1+$R29)^(-MIN(CP$15,Horiz)))/$R29))</f>
        <v/>
      </c>
      <c r="CQ29" s="57" t="str">
        <f aca="false">IF($C29="","",-$BQ29+IF($R29=0,$BO29*MIN(CQ$15,Horiz),$BO29*(1-(1+$R29)^(-MIN(CQ$15,Horiz)))/$R29))</f>
        <v/>
      </c>
      <c r="CR29" s="57" t="str">
        <f aca="false">IF($C29="","",-$BQ29+IF($R29=0,$BO29*MIN(CR$15,Horiz),$BO29*(1-(1+$R29)^(-MIN(CR$15,Horiz)))/$R29))</f>
        <v/>
      </c>
      <c r="CS29" s="57" t="str">
        <f aca="false">IF($C29="","",-$BQ29+IF($R29=0,$BO29*MIN(CS$15,Horiz),$BO29*(1-(1+$R29)^(-MIN(CS$15,Horiz)))/$R29))</f>
        <v/>
      </c>
      <c r="CT29" s="57" t="str">
        <f aca="false">IF($C29="","",-$BQ29+IF($R29=0,$BO29*MIN(CT$15,Horiz),$BO29*(1-(1+$R29)^(-MIN(CT$15,Horiz)))/$R29))</f>
        <v/>
      </c>
      <c r="CU29" s="57" t="str">
        <f aca="false">IF($C29="","",-$BQ29+IF($R29=0,$BO29*MIN(CU$15,Horiz),$BO29*(1-(1+$R29)^(-MIN(CU$15,Horiz)))/$R29))</f>
        <v/>
      </c>
      <c r="CV29" s="57" t="str">
        <f aca="false">IF($C29="","",-$BQ29+IF($R29=0,$BO29*MIN(CV$15,Horiz),$BO29*(1-(1+$R29)^(-MIN(CV$15,Horiz)))/$R29))</f>
        <v/>
      </c>
      <c r="CW29" s="57" t="str">
        <f aca="false">IF($C29="","",-$BQ29+IF($R29=0,$BO29*MIN(CW$15,Horiz),$BO29*(1-(1+$R29)^(-MIN(CW$15,Horiz)))/$R29))</f>
        <v/>
      </c>
      <c r="CX29" s="57" t="str">
        <f aca="false">IF($C29="","",-$BQ29+IF($R29=0,$BO29*MIN(CX$15,Horiz),$BO29*(1-(1+$R29)^(-MIN(CX$15,Horiz)))/$R29))</f>
        <v/>
      </c>
      <c r="CY29" s="57" t="str">
        <f aca="false">IF($C29="","",-$BQ29+IF($R29=0,$BO29*MIN(CY$15,Horiz),$BO29*(1-(1+$R29)^(-MIN(CY$15,Horiz)))/$R29))</f>
        <v/>
      </c>
      <c r="CZ29" s="57" t="str">
        <f aca="false">IF($C29="","",-$BQ29+IF($R29=0,$BO29*MIN(CZ$15,Horiz),$BO29*(1-(1+$R29)^(-MIN(CZ$15,Horiz)))/$R29))</f>
        <v/>
      </c>
      <c r="DA29" s="57" t="str">
        <f aca="false">IF($C29="","",-$BQ29+IF($R29=0,$BO29*MIN(DA$15,Horiz),$BO29*(1-(1+$R29)^(-MIN(DA$15,Horiz)))/$R29))</f>
        <v/>
      </c>
      <c r="DB29" s="57" t="str">
        <f aca="false">IF($C29="","",-$BQ29+IF($R29=0,$BO29*MIN(DB$15,Horiz),$BO29*(1-(1+$R29)^(-MIN(DB$15,Horiz)))/$R29))</f>
        <v/>
      </c>
    </row>
    <row r="30" customFormat="false" ht="15" hidden="false" customHeight="false" outlineLevel="0" collapsed="false">
      <c r="A30" s="38" t="n">
        <v>15</v>
      </c>
      <c r="B30" s="39"/>
      <c r="C30" s="40"/>
      <c r="D30" s="39"/>
      <c r="E30" s="39"/>
      <c r="F30" s="41"/>
      <c r="G30" s="41"/>
      <c r="H30" s="42"/>
      <c r="I30" s="43"/>
      <c r="J30" s="44"/>
      <c r="K30" s="41"/>
      <c r="L30" s="39"/>
      <c r="M30" s="40"/>
      <c r="N30" s="45"/>
      <c r="O30" s="46"/>
      <c r="P30" s="47"/>
      <c r="Q30" s="46"/>
      <c r="R30" s="48"/>
      <c r="S30" s="40"/>
      <c r="T30" s="41"/>
      <c r="U30" s="40"/>
      <c r="V30" s="40"/>
      <c r="W30" s="46"/>
      <c r="X30" s="41"/>
      <c r="Y30" s="41"/>
      <c r="Z30" s="46"/>
      <c r="AA30" s="46"/>
      <c r="AB30" s="41"/>
      <c r="AC30" s="40"/>
      <c r="AD30" s="41"/>
      <c r="AE30" s="40"/>
      <c r="AF30" s="49" t="str">
        <f aca="false">IF($C30="","",AnioEval-K30)</f>
        <v/>
      </c>
      <c r="AG30" s="50" t="str">
        <f aca="false">IF($C30="","",IF(AND(ISNUMBER(J30),I30&gt;0),(H30-J30)/(I30*SensCR)-AF30,"n/d"))</f>
        <v/>
      </c>
      <c r="AH30" s="51" t="str">
        <f aca="false">IF($C30="","",IFERROR(I30*SensCR*AF30/H30,0))</f>
        <v/>
      </c>
      <c r="AI30" s="52" t="str">
        <f aca="false">IF($C30="","",IF(INDEX(MecTipo,MATCH(L30,MecList,0))="F",IFERROR(INDEX(SusDF,MATCH(M30,SusList,0)),1),LOOKUP(AH30,ArtLim,ArtDF)))</f>
        <v/>
      </c>
      <c r="AJ30" s="52" t="str">
        <f aca="false">IF($C30="","",IF(ISNUMBER(N30),N30,AI30))</f>
        <v/>
      </c>
      <c r="AK30" s="53" t="str">
        <f aca="false">IF($C30="","",INDEX(GFFval,MATCH(D30,GFFtipo,0)))</f>
        <v/>
      </c>
      <c r="AL30" s="54" t="str">
        <f aca="false">IF($C30="","",O30*((1-N(P30))+N(P30)*Kpd))</f>
        <v/>
      </c>
      <c r="AM30" s="53" t="str">
        <f aca="false">IF($C30="","",AK30*AJ30*FMS)</f>
        <v/>
      </c>
      <c r="AN30" s="54" t="str">
        <f aca="false">IF($C30="","",AM30*AL30)</f>
        <v/>
      </c>
      <c r="AO30" s="55" t="str">
        <f aca="false">IF($C30="","",IF(N(T30)=0,"No requerido",IF(AND(U30="Apto",V30="Pasa"),"APTO/PASA",IF(AND(U30="Apto con limitaciones",V30="Pasa"),"APTO CON LIMITACIONES",IF(U30="No apto","NO APTO/REPARAR","REVISAR")))))</f>
        <v/>
      </c>
      <c r="AP30" s="54" t="str">
        <f aca="false">IF($C30="","",AK30*FMS*IF(AO30="NO APTO/REPARAR",1,MAX(1,AJ30*INDEX(EffRet,1)*INDEX(FFSfac,MATCH(AO30,FFSlist,0))))*AL30)</f>
        <v/>
      </c>
      <c r="AQ30" s="54" t="str">
        <f aca="false">IF($C30="","",AK30*FMS*IF(AO30="NO APTO/REPARAR",1,MAX(1,AJ30*INDEX(EffRet,2)*INDEX(FFSfac,MATCH(AO30,FFSlist,0))))*AL30)</f>
        <v/>
      </c>
      <c r="AR30" s="54" t="str">
        <f aca="false">IF($C30="","",AK30*FMS*IF(AO30="NO APTO/REPARAR",1,MAX(1,AJ30*INDEX(EffRet,3)*INDEX(FFSfac,MATCH(AO30,FFSlist,0))))*AL30)</f>
        <v/>
      </c>
      <c r="AS30" s="54" t="str">
        <f aca="false">IF($C30="","",AK30*FMS*IF(AO30="NO APTO/REPARAR",1,MAX(1,AJ30*INDEX(EffRet,4)*INDEX(FFSfac,MATCH(AO30,FFSlist,0))))*AL30)</f>
        <v/>
      </c>
      <c r="AT30" s="54" t="str">
        <f aca="false">IF($C30="","",IFERROR(Q30*FInsp/INDEX(CostRel,MATCH(S30,EffList,0)),0))</f>
        <v/>
      </c>
      <c r="AU30" s="52" t="str">
        <f aca="false">IF($C30="","",IF(AO30="NO APTO/REPARAR",1,MAX(1,AJ30*INDEX(EffRet,MATCH(S30,EffList,0))*INDEX(FFSfac,MATCH(AO30,FFSlist,0)))))</f>
        <v/>
      </c>
      <c r="AV30" s="53" t="str">
        <f aca="false">IF($C30="","",AK30*AU30*FMS)</f>
        <v/>
      </c>
      <c r="AW30" s="54" t="str">
        <f aca="false">IF($C30="","",AV30*AL30)</f>
        <v/>
      </c>
      <c r="AX30" s="54" t="str">
        <f aca="false">IF($C30="","",IFERROR(AK30*FMS*INDEX(DFrep,AB30)*INDEX(FCrep,MATCH(AC30,CatLet,0)),AN30))</f>
        <v/>
      </c>
      <c r="AY30" s="54" t="str">
        <f aca="false">IF($C30="","",IFERROR(AK30*FMS*INDEX(DFrep,AD30)*INDEX(FCrep,MATCH(AE30,CatLet,0)),AW30))</f>
        <v/>
      </c>
      <c r="AZ30" s="56" t="str">
        <f aca="false">IF($C30="","",(1+SUMPRODUCT(--(AJ30&gt;PcutDF)))&amp;CHOOSE(1+SUMPRODUCT(--(AL30&gt;CcutFC)),"A","B","C","D","E"))</f>
        <v/>
      </c>
      <c r="BA30" s="56" t="str">
        <f aca="false">IF($C30="","",(1+SUMPRODUCT(--(AU30&gt;PcutDF)))&amp;CHOOSE(1+SUMPRODUCT(--(AL30&gt;CcutFC)),"A","B","C","D","E"))</f>
        <v/>
      </c>
      <c r="BB30" s="56" t="str">
        <f aca="false">IF($C30="","",IF(AND(AB30&amp;AC30=AZ30,AD30&amp;AE30=BA30),"OK","REVISAR"))</f>
        <v/>
      </c>
      <c r="BC30" s="49" t="str">
        <f aca="false">IF($C30="","",IFERROR(INDEX(RAMlev,AB30,MATCH(AC30,CatLet,0)),""))</f>
        <v/>
      </c>
      <c r="BD30" s="49" t="str">
        <f aca="false">IF($C30="","",IFERROR(INDEX(RAMlev,AD30,MATCH(AE30,CatLet,0)),""))</f>
        <v/>
      </c>
      <c r="BE30" s="56" t="str">
        <f aca="false">IF($C30="","",IF(BD30="","",IF(BD30&lt;=ObjNivel,"Cumple","Excede")))</f>
        <v/>
      </c>
      <c r="BF30" s="54" t="str">
        <f aca="false">IF($C30="","",IF(Base="RAM",AX30,AN30))</f>
        <v/>
      </c>
      <c r="BG30" s="54" t="str">
        <f aca="false">IF($C30="","",IF(Base="RAM",AY30,AW30))</f>
        <v/>
      </c>
      <c r="BH30" s="54" t="str">
        <f aca="false">IF($C30="","",BF30-BG30)</f>
        <v/>
      </c>
      <c r="BI30" s="54" t="str">
        <f aca="false">IF($C30="","",BH30*N(P30)*Kpd/((1-N(P30))+N(P30)*Kpd))</f>
        <v/>
      </c>
      <c r="BJ30" s="54" t="str">
        <f aca="false">IF($C30="","",BH30-BI30)</f>
        <v/>
      </c>
      <c r="BK30" s="54" t="str">
        <f aca="false">IF($C30="","",IFERROR(Q30*FInsp*(1/X30-1/Y30),0))</f>
        <v/>
      </c>
      <c r="BL30" s="54" t="str">
        <f aca="false">IF($C30="","",IFERROR(Z30*Kpd*(1/X30-1/Y30),0))</f>
        <v/>
      </c>
      <c r="BM30" s="54" t="str">
        <f aca="false">IF($C30="","",IFERROR((Q30*FInsp+Z30*Kpd)/X30,0))</f>
        <v/>
      </c>
      <c r="BN30" s="54" t="str">
        <f aca="false">IF($C30="","",IFERROR((Q30*FInsp+Z30*Kpd)/Y30,0))</f>
        <v/>
      </c>
      <c r="BO30" s="54" t="str">
        <f aca="false">IF($C30="","",BH30+BK30+BL30-N(AA30))</f>
        <v/>
      </c>
      <c r="BP30" s="57" t="str">
        <f aca="false">IF($C30="","",BK30+BL30-N(AA30))</f>
        <v/>
      </c>
      <c r="BQ30" s="54" t="str">
        <f aca="false">IF($C30="","",BR30+BS30+BT30)</f>
        <v/>
      </c>
      <c r="BR30" s="54" t="str">
        <f aca="false">IF($C30="","",Q30*FInsp)</f>
        <v/>
      </c>
      <c r="BS30" s="54" t="str">
        <f aca="false">IF($C30="","",INDEX(FFScost,N(T30)+1)+RBIimpl)</f>
        <v/>
      </c>
      <c r="BT30" s="54" t="str">
        <f aca="false">IF($C30="","",IF(OR(AO30="NO APTO/REPARAR",AO30="APTO CON LIMITACIONES"),N(W30)*FRep,0))</f>
        <v/>
      </c>
      <c r="BU30" s="51" t="str">
        <f aca="false">IF($C30="","",IF(R30=0,Horiz,(1-(1+R30)^(-Horiz))/R30))</f>
        <v/>
      </c>
      <c r="BV30" s="54" t="str">
        <f aca="false">IF($C30="","",BO30*BU30)</f>
        <v/>
      </c>
      <c r="BW30" s="58" t="str">
        <f aca="false">IF($C30="","",IFERROR(BV30/BQ30,0))</f>
        <v/>
      </c>
      <c r="BX30" s="57" t="str">
        <f aca="false">IF($C30="","",BV30-BQ30)</f>
        <v/>
      </c>
      <c r="BY30" s="57" t="str">
        <f aca="false">IF($C30="","",BO30*IF(R30=0,1,1/(1+R30))-BQ30)</f>
        <v/>
      </c>
      <c r="BZ30" s="57" t="str">
        <f aca="false">IF($C30="","",BO30*IF(R30=0,10,(1-(1+R30)^(-10))/R30)-BQ30)</f>
        <v/>
      </c>
      <c r="CA30" s="57" t="str">
        <f aca="false">IF($C30="","",BP30*BU30-BQ30)</f>
        <v/>
      </c>
      <c r="CB30" s="58" t="str">
        <f aca="false">IF($C30="","",IFERROR(BP30*BU30/BQ30,0))</f>
        <v/>
      </c>
      <c r="CC30" s="50" t="str">
        <f aca="false">IF($C30="","",IF(BP30&gt;0,BQ30/BP30,"No recupera"))</f>
        <v/>
      </c>
      <c r="CD30" s="59" t="str">
        <f aca="false">IF($C30="","",IFERROR((Horiz*BO30-BQ30)/BQ30,0))</f>
        <v/>
      </c>
      <c r="CE30" s="50" t="str">
        <f aca="false">IF($C30="","",IF(BO30&gt;0,BQ30/BO30,"No recupera"))</f>
        <v/>
      </c>
      <c r="CF30" s="50" t="str">
        <f aca="false">IF($C30="","",IF(BO30&lt;=0,"No recupera",IF(R30=0,BQ30/BO30,IFERROR(-LN(1-BQ30*R30/BO30)/LN(1+R30),"No recupera"))))</f>
        <v/>
      </c>
      <c r="CG30" s="57" t="str">
        <f aca="false">IF($C30="","",BO30-BQ30/BU30)</f>
        <v/>
      </c>
      <c r="CH30" s="54" t="str">
        <f aca="false">IF($C30="","",(BM30+BF30)*BU30)</f>
        <v/>
      </c>
      <c r="CI30" s="54" t="str">
        <f aca="false">IF($C30="","",(BN30+BG30+N(AA30))*BU30+BQ30)</f>
        <v/>
      </c>
      <c r="CJ30" s="57" t="str">
        <f aca="false">IF($C30="","",IF(OR(N(T30)=0,AO30="NO APTO/REPARAR",AO30="REVISAR"),"n/a",(AK30*FMS*MAX(1,AJ30*INDEX(EffRet,MATCH(S30,EffList,0)))*AL30-AW30)*BU30-INDEX(FFScost,N(T30)+1)-BT30))</f>
        <v/>
      </c>
      <c r="CK30" s="55" t="str">
        <f aca="false">IF($C30="","",IF(BW30&gt;1,"ACEPTABLE","NO ACEPTABLE"))</f>
        <v/>
      </c>
      <c r="CL30" s="60" t="str">
        <f aca="false">IF($C30="","",IF(ISNUMBER(AG30),IF(AG30&lt;0,IF(LEFT(AO30,4)="APTO","RUL&lt;0 con FFS apto: verificar","RUL&lt;0"),""),""))</f>
        <v/>
      </c>
      <c r="CM30" s="57" t="str">
        <f aca="false">IF($C30="","",-$BQ30+IF($R30=0,$BO30*MIN(CM$15,Horiz),$BO30*(1-(1+$R30)^(-MIN(CM$15,Horiz)))/$R30))</f>
        <v/>
      </c>
      <c r="CN30" s="57" t="str">
        <f aca="false">IF($C30="","",-$BQ30+IF($R30=0,$BO30*MIN(CN$15,Horiz),$BO30*(1-(1+$R30)^(-MIN(CN$15,Horiz)))/$R30))</f>
        <v/>
      </c>
      <c r="CO30" s="57" t="str">
        <f aca="false">IF($C30="","",-$BQ30+IF($R30=0,$BO30*MIN(CO$15,Horiz),$BO30*(1-(1+$R30)^(-MIN(CO$15,Horiz)))/$R30))</f>
        <v/>
      </c>
      <c r="CP30" s="57" t="str">
        <f aca="false">IF($C30="","",-$BQ30+IF($R30=0,$BO30*MIN(CP$15,Horiz),$BO30*(1-(1+$R30)^(-MIN(CP$15,Horiz)))/$R30))</f>
        <v/>
      </c>
      <c r="CQ30" s="57" t="str">
        <f aca="false">IF($C30="","",-$BQ30+IF($R30=0,$BO30*MIN(CQ$15,Horiz),$BO30*(1-(1+$R30)^(-MIN(CQ$15,Horiz)))/$R30))</f>
        <v/>
      </c>
      <c r="CR30" s="57" t="str">
        <f aca="false">IF($C30="","",-$BQ30+IF($R30=0,$BO30*MIN(CR$15,Horiz),$BO30*(1-(1+$R30)^(-MIN(CR$15,Horiz)))/$R30))</f>
        <v/>
      </c>
      <c r="CS30" s="57" t="str">
        <f aca="false">IF($C30="","",-$BQ30+IF($R30=0,$BO30*MIN(CS$15,Horiz),$BO30*(1-(1+$R30)^(-MIN(CS$15,Horiz)))/$R30))</f>
        <v/>
      </c>
      <c r="CT30" s="57" t="str">
        <f aca="false">IF($C30="","",-$BQ30+IF($R30=0,$BO30*MIN(CT$15,Horiz),$BO30*(1-(1+$R30)^(-MIN(CT$15,Horiz)))/$R30))</f>
        <v/>
      </c>
      <c r="CU30" s="57" t="str">
        <f aca="false">IF($C30="","",-$BQ30+IF($R30=0,$BO30*MIN(CU$15,Horiz),$BO30*(1-(1+$R30)^(-MIN(CU$15,Horiz)))/$R30))</f>
        <v/>
      </c>
      <c r="CV30" s="57" t="str">
        <f aca="false">IF($C30="","",-$BQ30+IF($R30=0,$BO30*MIN(CV$15,Horiz),$BO30*(1-(1+$R30)^(-MIN(CV$15,Horiz)))/$R30))</f>
        <v/>
      </c>
      <c r="CW30" s="57" t="str">
        <f aca="false">IF($C30="","",-$BQ30+IF($R30=0,$BO30*MIN(CW$15,Horiz),$BO30*(1-(1+$R30)^(-MIN(CW$15,Horiz)))/$R30))</f>
        <v/>
      </c>
      <c r="CX30" s="57" t="str">
        <f aca="false">IF($C30="","",-$BQ30+IF($R30=0,$BO30*MIN(CX$15,Horiz),$BO30*(1-(1+$R30)^(-MIN(CX$15,Horiz)))/$R30))</f>
        <v/>
      </c>
      <c r="CY30" s="57" t="str">
        <f aca="false">IF($C30="","",-$BQ30+IF($R30=0,$BO30*MIN(CY$15,Horiz),$BO30*(1-(1+$R30)^(-MIN(CY$15,Horiz)))/$R30))</f>
        <v/>
      </c>
      <c r="CZ30" s="57" t="str">
        <f aca="false">IF($C30="","",-$BQ30+IF($R30=0,$BO30*MIN(CZ$15,Horiz),$BO30*(1-(1+$R30)^(-MIN(CZ$15,Horiz)))/$R30))</f>
        <v/>
      </c>
      <c r="DA30" s="57" t="str">
        <f aca="false">IF($C30="","",-$BQ30+IF($R30=0,$BO30*MIN(DA$15,Horiz),$BO30*(1-(1+$R30)^(-MIN(DA$15,Horiz)))/$R30))</f>
        <v/>
      </c>
      <c r="DB30" s="57" t="str">
        <f aca="false">IF($C30="","",-$BQ30+IF($R30=0,$BO30*MIN(DB$15,Horiz),$BO30*(1-(1+$R30)^(-MIN(DB$15,Horiz)))/$R30))</f>
        <v/>
      </c>
    </row>
    <row r="31" customFormat="false" ht="15" hidden="false" customHeight="false" outlineLevel="0" collapsed="false">
      <c r="A31" s="38" t="n">
        <v>16</v>
      </c>
      <c r="B31" s="39"/>
      <c r="C31" s="40"/>
      <c r="D31" s="39"/>
      <c r="E31" s="39"/>
      <c r="F31" s="41"/>
      <c r="G31" s="41"/>
      <c r="H31" s="42"/>
      <c r="I31" s="43"/>
      <c r="J31" s="44"/>
      <c r="K31" s="41"/>
      <c r="L31" s="39"/>
      <c r="M31" s="40"/>
      <c r="N31" s="45"/>
      <c r="O31" s="46"/>
      <c r="P31" s="47"/>
      <c r="Q31" s="46"/>
      <c r="R31" s="48"/>
      <c r="S31" s="40"/>
      <c r="T31" s="41"/>
      <c r="U31" s="40"/>
      <c r="V31" s="40"/>
      <c r="W31" s="46"/>
      <c r="X31" s="41"/>
      <c r="Y31" s="41"/>
      <c r="Z31" s="46"/>
      <c r="AA31" s="46"/>
      <c r="AB31" s="41"/>
      <c r="AC31" s="40"/>
      <c r="AD31" s="41"/>
      <c r="AE31" s="40"/>
      <c r="AF31" s="49" t="str">
        <f aca="false">IF($C31="","",AnioEval-K31)</f>
        <v/>
      </c>
      <c r="AG31" s="50" t="str">
        <f aca="false">IF($C31="","",IF(AND(ISNUMBER(J31),I31&gt;0),(H31-J31)/(I31*SensCR)-AF31,"n/d"))</f>
        <v/>
      </c>
      <c r="AH31" s="51" t="str">
        <f aca="false">IF($C31="","",IFERROR(I31*SensCR*AF31/H31,0))</f>
        <v/>
      </c>
      <c r="AI31" s="52" t="str">
        <f aca="false">IF($C31="","",IF(INDEX(MecTipo,MATCH(L31,MecList,0))="F",IFERROR(INDEX(SusDF,MATCH(M31,SusList,0)),1),LOOKUP(AH31,ArtLim,ArtDF)))</f>
        <v/>
      </c>
      <c r="AJ31" s="52" t="str">
        <f aca="false">IF($C31="","",IF(ISNUMBER(N31),N31,AI31))</f>
        <v/>
      </c>
      <c r="AK31" s="53" t="str">
        <f aca="false">IF($C31="","",INDEX(GFFval,MATCH(D31,GFFtipo,0)))</f>
        <v/>
      </c>
      <c r="AL31" s="54" t="str">
        <f aca="false">IF($C31="","",O31*((1-N(P31))+N(P31)*Kpd))</f>
        <v/>
      </c>
      <c r="AM31" s="53" t="str">
        <f aca="false">IF($C31="","",AK31*AJ31*FMS)</f>
        <v/>
      </c>
      <c r="AN31" s="54" t="str">
        <f aca="false">IF($C31="","",AM31*AL31)</f>
        <v/>
      </c>
      <c r="AO31" s="55" t="str">
        <f aca="false">IF($C31="","",IF(N(T31)=0,"No requerido",IF(AND(U31="Apto",V31="Pasa"),"APTO/PASA",IF(AND(U31="Apto con limitaciones",V31="Pasa"),"APTO CON LIMITACIONES",IF(U31="No apto","NO APTO/REPARAR","REVISAR")))))</f>
        <v/>
      </c>
      <c r="AP31" s="54" t="str">
        <f aca="false">IF($C31="","",AK31*FMS*IF(AO31="NO APTO/REPARAR",1,MAX(1,AJ31*INDEX(EffRet,1)*INDEX(FFSfac,MATCH(AO31,FFSlist,0))))*AL31)</f>
        <v/>
      </c>
      <c r="AQ31" s="54" t="str">
        <f aca="false">IF($C31="","",AK31*FMS*IF(AO31="NO APTO/REPARAR",1,MAX(1,AJ31*INDEX(EffRet,2)*INDEX(FFSfac,MATCH(AO31,FFSlist,0))))*AL31)</f>
        <v/>
      </c>
      <c r="AR31" s="54" t="str">
        <f aca="false">IF($C31="","",AK31*FMS*IF(AO31="NO APTO/REPARAR",1,MAX(1,AJ31*INDEX(EffRet,3)*INDEX(FFSfac,MATCH(AO31,FFSlist,0))))*AL31)</f>
        <v/>
      </c>
      <c r="AS31" s="54" t="str">
        <f aca="false">IF($C31="","",AK31*FMS*IF(AO31="NO APTO/REPARAR",1,MAX(1,AJ31*INDEX(EffRet,4)*INDEX(FFSfac,MATCH(AO31,FFSlist,0))))*AL31)</f>
        <v/>
      </c>
      <c r="AT31" s="54" t="str">
        <f aca="false">IF($C31="","",IFERROR(Q31*FInsp/INDEX(CostRel,MATCH(S31,EffList,0)),0))</f>
        <v/>
      </c>
      <c r="AU31" s="52" t="str">
        <f aca="false">IF($C31="","",IF(AO31="NO APTO/REPARAR",1,MAX(1,AJ31*INDEX(EffRet,MATCH(S31,EffList,0))*INDEX(FFSfac,MATCH(AO31,FFSlist,0)))))</f>
        <v/>
      </c>
      <c r="AV31" s="53" t="str">
        <f aca="false">IF($C31="","",AK31*AU31*FMS)</f>
        <v/>
      </c>
      <c r="AW31" s="54" t="str">
        <f aca="false">IF($C31="","",AV31*AL31)</f>
        <v/>
      </c>
      <c r="AX31" s="54" t="str">
        <f aca="false">IF($C31="","",IFERROR(AK31*FMS*INDEX(DFrep,AB31)*INDEX(FCrep,MATCH(AC31,CatLet,0)),AN31))</f>
        <v/>
      </c>
      <c r="AY31" s="54" t="str">
        <f aca="false">IF($C31="","",IFERROR(AK31*FMS*INDEX(DFrep,AD31)*INDEX(FCrep,MATCH(AE31,CatLet,0)),AW31))</f>
        <v/>
      </c>
      <c r="AZ31" s="56" t="str">
        <f aca="false">IF($C31="","",(1+SUMPRODUCT(--(AJ31&gt;PcutDF)))&amp;CHOOSE(1+SUMPRODUCT(--(AL31&gt;CcutFC)),"A","B","C","D","E"))</f>
        <v/>
      </c>
      <c r="BA31" s="56" t="str">
        <f aca="false">IF($C31="","",(1+SUMPRODUCT(--(AU31&gt;PcutDF)))&amp;CHOOSE(1+SUMPRODUCT(--(AL31&gt;CcutFC)),"A","B","C","D","E"))</f>
        <v/>
      </c>
      <c r="BB31" s="56" t="str">
        <f aca="false">IF($C31="","",IF(AND(AB31&amp;AC31=AZ31,AD31&amp;AE31=BA31),"OK","REVISAR"))</f>
        <v/>
      </c>
      <c r="BC31" s="49" t="str">
        <f aca="false">IF($C31="","",IFERROR(INDEX(RAMlev,AB31,MATCH(AC31,CatLet,0)),""))</f>
        <v/>
      </c>
      <c r="BD31" s="49" t="str">
        <f aca="false">IF($C31="","",IFERROR(INDEX(RAMlev,AD31,MATCH(AE31,CatLet,0)),""))</f>
        <v/>
      </c>
      <c r="BE31" s="56" t="str">
        <f aca="false">IF($C31="","",IF(BD31="","",IF(BD31&lt;=ObjNivel,"Cumple","Excede")))</f>
        <v/>
      </c>
      <c r="BF31" s="54" t="str">
        <f aca="false">IF($C31="","",IF(Base="RAM",AX31,AN31))</f>
        <v/>
      </c>
      <c r="BG31" s="54" t="str">
        <f aca="false">IF($C31="","",IF(Base="RAM",AY31,AW31))</f>
        <v/>
      </c>
      <c r="BH31" s="54" t="str">
        <f aca="false">IF($C31="","",BF31-BG31)</f>
        <v/>
      </c>
      <c r="BI31" s="54" t="str">
        <f aca="false">IF($C31="","",BH31*N(P31)*Kpd/((1-N(P31))+N(P31)*Kpd))</f>
        <v/>
      </c>
      <c r="BJ31" s="54" t="str">
        <f aca="false">IF($C31="","",BH31-BI31)</f>
        <v/>
      </c>
      <c r="BK31" s="54" t="str">
        <f aca="false">IF($C31="","",IFERROR(Q31*FInsp*(1/X31-1/Y31),0))</f>
        <v/>
      </c>
      <c r="BL31" s="54" t="str">
        <f aca="false">IF($C31="","",IFERROR(Z31*Kpd*(1/X31-1/Y31),0))</f>
        <v/>
      </c>
      <c r="BM31" s="54" t="str">
        <f aca="false">IF($C31="","",IFERROR((Q31*FInsp+Z31*Kpd)/X31,0))</f>
        <v/>
      </c>
      <c r="BN31" s="54" t="str">
        <f aca="false">IF($C31="","",IFERROR((Q31*FInsp+Z31*Kpd)/Y31,0))</f>
        <v/>
      </c>
      <c r="BO31" s="54" t="str">
        <f aca="false">IF($C31="","",BH31+BK31+BL31-N(AA31))</f>
        <v/>
      </c>
      <c r="BP31" s="57" t="str">
        <f aca="false">IF($C31="","",BK31+BL31-N(AA31))</f>
        <v/>
      </c>
      <c r="BQ31" s="54" t="str">
        <f aca="false">IF($C31="","",BR31+BS31+BT31)</f>
        <v/>
      </c>
      <c r="BR31" s="54" t="str">
        <f aca="false">IF($C31="","",Q31*FInsp)</f>
        <v/>
      </c>
      <c r="BS31" s="54" t="str">
        <f aca="false">IF($C31="","",INDEX(FFScost,N(T31)+1)+RBIimpl)</f>
        <v/>
      </c>
      <c r="BT31" s="54" t="str">
        <f aca="false">IF($C31="","",IF(OR(AO31="NO APTO/REPARAR",AO31="APTO CON LIMITACIONES"),N(W31)*FRep,0))</f>
        <v/>
      </c>
      <c r="BU31" s="51" t="str">
        <f aca="false">IF($C31="","",IF(R31=0,Horiz,(1-(1+R31)^(-Horiz))/R31))</f>
        <v/>
      </c>
      <c r="BV31" s="54" t="str">
        <f aca="false">IF($C31="","",BO31*BU31)</f>
        <v/>
      </c>
      <c r="BW31" s="58" t="str">
        <f aca="false">IF($C31="","",IFERROR(BV31/BQ31,0))</f>
        <v/>
      </c>
      <c r="BX31" s="57" t="str">
        <f aca="false">IF($C31="","",BV31-BQ31)</f>
        <v/>
      </c>
      <c r="BY31" s="57" t="str">
        <f aca="false">IF($C31="","",BO31*IF(R31=0,1,1/(1+R31))-BQ31)</f>
        <v/>
      </c>
      <c r="BZ31" s="57" t="str">
        <f aca="false">IF($C31="","",BO31*IF(R31=0,10,(1-(1+R31)^(-10))/R31)-BQ31)</f>
        <v/>
      </c>
      <c r="CA31" s="57" t="str">
        <f aca="false">IF($C31="","",BP31*BU31-BQ31)</f>
        <v/>
      </c>
      <c r="CB31" s="58" t="str">
        <f aca="false">IF($C31="","",IFERROR(BP31*BU31/BQ31,0))</f>
        <v/>
      </c>
      <c r="CC31" s="50" t="str">
        <f aca="false">IF($C31="","",IF(BP31&gt;0,BQ31/BP31,"No recupera"))</f>
        <v/>
      </c>
      <c r="CD31" s="59" t="str">
        <f aca="false">IF($C31="","",IFERROR((Horiz*BO31-BQ31)/BQ31,0))</f>
        <v/>
      </c>
      <c r="CE31" s="50" t="str">
        <f aca="false">IF($C31="","",IF(BO31&gt;0,BQ31/BO31,"No recupera"))</f>
        <v/>
      </c>
      <c r="CF31" s="50" t="str">
        <f aca="false">IF($C31="","",IF(BO31&lt;=0,"No recupera",IF(R31=0,BQ31/BO31,IFERROR(-LN(1-BQ31*R31/BO31)/LN(1+R31),"No recupera"))))</f>
        <v/>
      </c>
      <c r="CG31" s="57" t="str">
        <f aca="false">IF($C31="","",BO31-BQ31/BU31)</f>
        <v/>
      </c>
      <c r="CH31" s="54" t="str">
        <f aca="false">IF($C31="","",(BM31+BF31)*BU31)</f>
        <v/>
      </c>
      <c r="CI31" s="54" t="str">
        <f aca="false">IF($C31="","",(BN31+BG31+N(AA31))*BU31+BQ31)</f>
        <v/>
      </c>
      <c r="CJ31" s="57" t="str">
        <f aca="false">IF($C31="","",IF(OR(N(T31)=0,AO31="NO APTO/REPARAR",AO31="REVISAR"),"n/a",(AK31*FMS*MAX(1,AJ31*INDEX(EffRet,MATCH(S31,EffList,0)))*AL31-AW31)*BU31-INDEX(FFScost,N(T31)+1)-BT31))</f>
        <v/>
      </c>
      <c r="CK31" s="55" t="str">
        <f aca="false">IF($C31="","",IF(BW31&gt;1,"ACEPTABLE","NO ACEPTABLE"))</f>
        <v/>
      </c>
      <c r="CL31" s="60" t="str">
        <f aca="false">IF($C31="","",IF(ISNUMBER(AG31),IF(AG31&lt;0,IF(LEFT(AO31,4)="APTO","RUL&lt;0 con FFS apto: verificar","RUL&lt;0"),""),""))</f>
        <v/>
      </c>
      <c r="CM31" s="57" t="str">
        <f aca="false">IF($C31="","",-$BQ31+IF($R31=0,$BO31*MIN(CM$15,Horiz),$BO31*(1-(1+$R31)^(-MIN(CM$15,Horiz)))/$R31))</f>
        <v/>
      </c>
      <c r="CN31" s="57" t="str">
        <f aca="false">IF($C31="","",-$BQ31+IF($R31=0,$BO31*MIN(CN$15,Horiz),$BO31*(1-(1+$R31)^(-MIN(CN$15,Horiz)))/$R31))</f>
        <v/>
      </c>
      <c r="CO31" s="57" t="str">
        <f aca="false">IF($C31="","",-$BQ31+IF($R31=0,$BO31*MIN(CO$15,Horiz),$BO31*(1-(1+$R31)^(-MIN(CO$15,Horiz)))/$R31))</f>
        <v/>
      </c>
      <c r="CP31" s="57" t="str">
        <f aca="false">IF($C31="","",-$BQ31+IF($R31=0,$BO31*MIN(CP$15,Horiz),$BO31*(1-(1+$R31)^(-MIN(CP$15,Horiz)))/$R31))</f>
        <v/>
      </c>
      <c r="CQ31" s="57" t="str">
        <f aca="false">IF($C31="","",-$BQ31+IF($R31=0,$BO31*MIN(CQ$15,Horiz),$BO31*(1-(1+$R31)^(-MIN(CQ$15,Horiz)))/$R31))</f>
        <v/>
      </c>
      <c r="CR31" s="57" t="str">
        <f aca="false">IF($C31="","",-$BQ31+IF($R31=0,$BO31*MIN(CR$15,Horiz),$BO31*(1-(1+$R31)^(-MIN(CR$15,Horiz)))/$R31))</f>
        <v/>
      </c>
      <c r="CS31" s="57" t="str">
        <f aca="false">IF($C31="","",-$BQ31+IF($R31=0,$BO31*MIN(CS$15,Horiz),$BO31*(1-(1+$R31)^(-MIN(CS$15,Horiz)))/$R31))</f>
        <v/>
      </c>
      <c r="CT31" s="57" t="str">
        <f aca="false">IF($C31="","",-$BQ31+IF($R31=0,$BO31*MIN(CT$15,Horiz),$BO31*(1-(1+$R31)^(-MIN(CT$15,Horiz)))/$R31))</f>
        <v/>
      </c>
      <c r="CU31" s="57" t="str">
        <f aca="false">IF($C31="","",-$BQ31+IF($R31=0,$BO31*MIN(CU$15,Horiz),$BO31*(1-(1+$R31)^(-MIN(CU$15,Horiz)))/$R31))</f>
        <v/>
      </c>
      <c r="CV31" s="57" t="str">
        <f aca="false">IF($C31="","",-$BQ31+IF($R31=0,$BO31*MIN(CV$15,Horiz),$BO31*(1-(1+$R31)^(-MIN(CV$15,Horiz)))/$R31))</f>
        <v/>
      </c>
      <c r="CW31" s="57" t="str">
        <f aca="false">IF($C31="","",-$BQ31+IF($R31=0,$BO31*MIN(CW$15,Horiz),$BO31*(1-(1+$R31)^(-MIN(CW$15,Horiz)))/$R31))</f>
        <v/>
      </c>
      <c r="CX31" s="57" t="str">
        <f aca="false">IF($C31="","",-$BQ31+IF($R31=0,$BO31*MIN(CX$15,Horiz),$BO31*(1-(1+$R31)^(-MIN(CX$15,Horiz)))/$R31))</f>
        <v/>
      </c>
      <c r="CY31" s="57" t="str">
        <f aca="false">IF($C31="","",-$BQ31+IF($R31=0,$BO31*MIN(CY$15,Horiz),$BO31*(1-(1+$R31)^(-MIN(CY$15,Horiz)))/$R31))</f>
        <v/>
      </c>
      <c r="CZ31" s="57" t="str">
        <f aca="false">IF($C31="","",-$BQ31+IF($R31=0,$BO31*MIN(CZ$15,Horiz),$BO31*(1-(1+$R31)^(-MIN(CZ$15,Horiz)))/$R31))</f>
        <v/>
      </c>
      <c r="DA31" s="57" t="str">
        <f aca="false">IF($C31="","",-$BQ31+IF($R31=0,$BO31*MIN(DA$15,Horiz),$BO31*(1-(1+$R31)^(-MIN(DA$15,Horiz)))/$R31))</f>
        <v/>
      </c>
      <c r="DB31" s="57" t="str">
        <f aca="false">IF($C31="","",-$BQ31+IF($R31=0,$BO31*MIN(DB$15,Horiz),$BO31*(1-(1+$R31)^(-MIN(DB$15,Horiz)))/$R31))</f>
        <v/>
      </c>
    </row>
    <row r="32" customFormat="false" ht="15" hidden="false" customHeight="false" outlineLevel="0" collapsed="false">
      <c r="A32" s="38" t="n">
        <v>17</v>
      </c>
      <c r="B32" s="39"/>
      <c r="C32" s="40"/>
      <c r="D32" s="39"/>
      <c r="E32" s="39"/>
      <c r="F32" s="41"/>
      <c r="G32" s="41"/>
      <c r="H32" s="42"/>
      <c r="I32" s="43"/>
      <c r="J32" s="44"/>
      <c r="K32" s="41"/>
      <c r="L32" s="39"/>
      <c r="M32" s="40"/>
      <c r="N32" s="45"/>
      <c r="O32" s="46"/>
      <c r="P32" s="47"/>
      <c r="Q32" s="46"/>
      <c r="R32" s="48"/>
      <c r="S32" s="40"/>
      <c r="T32" s="41"/>
      <c r="U32" s="40"/>
      <c r="V32" s="40"/>
      <c r="W32" s="46"/>
      <c r="X32" s="41"/>
      <c r="Y32" s="41"/>
      <c r="Z32" s="46"/>
      <c r="AA32" s="46"/>
      <c r="AB32" s="41"/>
      <c r="AC32" s="40"/>
      <c r="AD32" s="41"/>
      <c r="AE32" s="40"/>
      <c r="AF32" s="49" t="str">
        <f aca="false">IF($C32="","",AnioEval-K32)</f>
        <v/>
      </c>
      <c r="AG32" s="50" t="str">
        <f aca="false">IF($C32="","",IF(AND(ISNUMBER(J32),I32&gt;0),(H32-J32)/(I32*SensCR)-AF32,"n/d"))</f>
        <v/>
      </c>
      <c r="AH32" s="51" t="str">
        <f aca="false">IF($C32="","",IFERROR(I32*SensCR*AF32/H32,0))</f>
        <v/>
      </c>
      <c r="AI32" s="52" t="str">
        <f aca="false">IF($C32="","",IF(INDEX(MecTipo,MATCH(L32,MecList,0))="F",IFERROR(INDEX(SusDF,MATCH(M32,SusList,0)),1),LOOKUP(AH32,ArtLim,ArtDF)))</f>
        <v/>
      </c>
      <c r="AJ32" s="52" t="str">
        <f aca="false">IF($C32="","",IF(ISNUMBER(N32),N32,AI32))</f>
        <v/>
      </c>
      <c r="AK32" s="53" t="str">
        <f aca="false">IF($C32="","",INDEX(GFFval,MATCH(D32,GFFtipo,0)))</f>
        <v/>
      </c>
      <c r="AL32" s="54" t="str">
        <f aca="false">IF($C32="","",O32*((1-N(P32))+N(P32)*Kpd))</f>
        <v/>
      </c>
      <c r="AM32" s="53" t="str">
        <f aca="false">IF($C32="","",AK32*AJ32*FMS)</f>
        <v/>
      </c>
      <c r="AN32" s="54" t="str">
        <f aca="false">IF($C32="","",AM32*AL32)</f>
        <v/>
      </c>
      <c r="AO32" s="55" t="str">
        <f aca="false">IF($C32="","",IF(N(T32)=0,"No requerido",IF(AND(U32="Apto",V32="Pasa"),"APTO/PASA",IF(AND(U32="Apto con limitaciones",V32="Pasa"),"APTO CON LIMITACIONES",IF(U32="No apto","NO APTO/REPARAR","REVISAR")))))</f>
        <v/>
      </c>
      <c r="AP32" s="54" t="str">
        <f aca="false">IF($C32="","",AK32*FMS*IF(AO32="NO APTO/REPARAR",1,MAX(1,AJ32*INDEX(EffRet,1)*INDEX(FFSfac,MATCH(AO32,FFSlist,0))))*AL32)</f>
        <v/>
      </c>
      <c r="AQ32" s="54" t="str">
        <f aca="false">IF($C32="","",AK32*FMS*IF(AO32="NO APTO/REPARAR",1,MAX(1,AJ32*INDEX(EffRet,2)*INDEX(FFSfac,MATCH(AO32,FFSlist,0))))*AL32)</f>
        <v/>
      </c>
      <c r="AR32" s="54" t="str">
        <f aca="false">IF($C32="","",AK32*FMS*IF(AO32="NO APTO/REPARAR",1,MAX(1,AJ32*INDEX(EffRet,3)*INDEX(FFSfac,MATCH(AO32,FFSlist,0))))*AL32)</f>
        <v/>
      </c>
      <c r="AS32" s="54" t="str">
        <f aca="false">IF($C32="","",AK32*FMS*IF(AO32="NO APTO/REPARAR",1,MAX(1,AJ32*INDEX(EffRet,4)*INDEX(FFSfac,MATCH(AO32,FFSlist,0))))*AL32)</f>
        <v/>
      </c>
      <c r="AT32" s="54" t="str">
        <f aca="false">IF($C32="","",IFERROR(Q32*FInsp/INDEX(CostRel,MATCH(S32,EffList,0)),0))</f>
        <v/>
      </c>
      <c r="AU32" s="52" t="str">
        <f aca="false">IF($C32="","",IF(AO32="NO APTO/REPARAR",1,MAX(1,AJ32*INDEX(EffRet,MATCH(S32,EffList,0))*INDEX(FFSfac,MATCH(AO32,FFSlist,0)))))</f>
        <v/>
      </c>
      <c r="AV32" s="53" t="str">
        <f aca="false">IF($C32="","",AK32*AU32*FMS)</f>
        <v/>
      </c>
      <c r="AW32" s="54" t="str">
        <f aca="false">IF($C32="","",AV32*AL32)</f>
        <v/>
      </c>
      <c r="AX32" s="54" t="str">
        <f aca="false">IF($C32="","",IFERROR(AK32*FMS*INDEX(DFrep,AB32)*INDEX(FCrep,MATCH(AC32,CatLet,0)),AN32))</f>
        <v/>
      </c>
      <c r="AY32" s="54" t="str">
        <f aca="false">IF($C32="","",IFERROR(AK32*FMS*INDEX(DFrep,AD32)*INDEX(FCrep,MATCH(AE32,CatLet,0)),AW32))</f>
        <v/>
      </c>
      <c r="AZ32" s="56" t="str">
        <f aca="false">IF($C32="","",(1+SUMPRODUCT(--(AJ32&gt;PcutDF)))&amp;CHOOSE(1+SUMPRODUCT(--(AL32&gt;CcutFC)),"A","B","C","D","E"))</f>
        <v/>
      </c>
      <c r="BA32" s="56" t="str">
        <f aca="false">IF($C32="","",(1+SUMPRODUCT(--(AU32&gt;PcutDF)))&amp;CHOOSE(1+SUMPRODUCT(--(AL32&gt;CcutFC)),"A","B","C","D","E"))</f>
        <v/>
      </c>
      <c r="BB32" s="56" t="str">
        <f aca="false">IF($C32="","",IF(AND(AB32&amp;AC32=AZ32,AD32&amp;AE32=BA32),"OK","REVISAR"))</f>
        <v/>
      </c>
      <c r="BC32" s="49" t="str">
        <f aca="false">IF($C32="","",IFERROR(INDEX(RAMlev,AB32,MATCH(AC32,CatLet,0)),""))</f>
        <v/>
      </c>
      <c r="BD32" s="49" t="str">
        <f aca="false">IF($C32="","",IFERROR(INDEX(RAMlev,AD32,MATCH(AE32,CatLet,0)),""))</f>
        <v/>
      </c>
      <c r="BE32" s="56" t="str">
        <f aca="false">IF($C32="","",IF(BD32="","",IF(BD32&lt;=ObjNivel,"Cumple","Excede")))</f>
        <v/>
      </c>
      <c r="BF32" s="54" t="str">
        <f aca="false">IF($C32="","",IF(Base="RAM",AX32,AN32))</f>
        <v/>
      </c>
      <c r="BG32" s="54" t="str">
        <f aca="false">IF($C32="","",IF(Base="RAM",AY32,AW32))</f>
        <v/>
      </c>
      <c r="BH32" s="54" t="str">
        <f aca="false">IF($C32="","",BF32-BG32)</f>
        <v/>
      </c>
      <c r="BI32" s="54" t="str">
        <f aca="false">IF($C32="","",BH32*N(P32)*Kpd/((1-N(P32))+N(P32)*Kpd))</f>
        <v/>
      </c>
      <c r="BJ32" s="54" t="str">
        <f aca="false">IF($C32="","",BH32-BI32)</f>
        <v/>
      </c>
      <c r="BK32" s="54" t="str">
        <f aca="false">IF($C32="","",IFERROR(Q32*FInsp*(1/X32-1/Y32),0))</f>
        <v/>
      </c>
      <c r="BL32" s="54" t="str">
        <f aca="false">IF($C32="","",IFERROR(Z32*Kpd*(1/X32-1/Y32),0))</f>
        <v/>
      </c>
      <c r="BM32" s="54" t="str">
        <f aca="false">IF($C32="","",IFERROR((Q32*FInsp+Z32*Kpd)/X32,0))</f>
        <v/>
      </c>
      <c r="BN32" s="54" t="str">
        <f aca="false">IF($C32="","",IFERROR((Q32*FInsp+Z32*Kpd)/Y32,0))</f>
        <v/>
      </c>
      <c r="BO32" s="54" t="str">
        <f aca="false">IF($C32="","",BH32+BK32+BL32-N(AA32))</f>
        <v/>
      </c>
      <c r="BP32" s="57" t="str">
        <f aca="false">IF($C32="","",BK32+BL32-N(AA32))</f>
        <v/>
      </c>
      <c r="BQ32" s="54" t="str">
        <f aca="false">IF($C32="","",BR32+BS32+BT32)</f>
        <v/>
      </c>
      <c r="BR32" s="54" t="str">
        <f aca="false">IF($C32="","",Q32*FInsp)</f>
        <v/>
      </c>
      <c r="BS32" s="54" t="str">
        <f aca="false">IF($C32="","",INDEX(FFScost,N(T32)+1)+RBIimpl)</f>
        <v/>
      </c>
      <c r="BT32" s="54" t="str">
        <f aca="false">IF($C32="","",IF(OR(AO32="NO APTO/REPARAR",AO32="APTO CON LIMITACIONES"),N(W32)*FRep,0))</f>
        <v/>
      </c>
      <c r="BU32" s="51" t="str">
        <f aca="false">IF($C32="","",IF(R32=0,Horiz,(1-(1+R32)^(-Horiz))/R32))</f>
        <v/>
      </c>
      <c r="BV32" s="54" t="str">
        <f aca="false">IF($C32="","",BO32*BU32)</f>
        <v/>
      </c>
      <c r="BW32" s="58" t="str">
        <f aca="false">IF($C32="","",IFERROR(BV32/BQ32,0))</f>
        <v/>
      </c>
      <c r="BX32" s="57" t="str">
        <f aca="false">IF($C32="","",BV32-BQ32)</f>
        <v/>
      </c>
      <c r="BY32" s="57" t="str">
        <f aca="false">IF($C32="","",BO32*IF(R32=0,1,1/(1+R32))-BQ32)</f>
        <v/>
      </c>
      <c r="BZ32" s="57" t="str">
        <f aca="false">IF($C32="","",BO32*IF(R32=0,10,(1-(1+R32)^(-10))/R32)-BQ32)</f>
        <v/>
      </c>
      <c r="CA32" s="57" t="str">
        <f aca="false">IF($C32="","",BP32*BU32-BQ32)</f>
        <v/>
      </c>
      <c r="CB32" s="58" t="str">
        <f aca="false">IF($C32="","",IFERROR(BP32*BU32/BQ32,0))</f>
        <v/>
      </c>
      <c r="CC32" s="50" t="str">
        <f aca="false">IF($C32="","",IF(BP32&gt;0,BQ32/BP32,"No recupera"))</f>
        <v/>
      </c>
      <c r="CD32" s="59" t="str">
        <f aca="false">IF($C32="","",IFERROR((Horiz*BO32-BQ32)/BQ32,0))</f>
        <v/>
      </c>
      <c r="CE32" s="50" t="str">
        <f aca="false">IF($C32="","",IF(BO32&gt;0,BQ32/BO32,"No recupera"))</f>
        <v/>
      </c>
      <c r="CF32" s="50" t="str">
        <f aca="false">IF($C32="","",IF(BO32&lt;=0,"No recupera",IF(R32=0,BQ32/BO32,IFERROR(-LN(1-BQ32*R32/BO32)/LN(1+R32),"No recupera"))))</f>
        <v/>
      </c>
      <c r="CG32" s="57" t="str">
        <f aca="false">IF($C32="","",BO32-BQ32/BU32)</f>
        <v/>
      </c>
      <c r="CH32" s="54" t="str">
        <f aca="false">IF($C32="","",(BM32+BF32)*BU32)</f>
        <v/>
      </c>
      <c r="CI32" s="54" t="str">
        <f aca="false">IF($C32="","",(BN32+BG32+N(AA32))*BU32+BQ32)</f>
        <v/>
      </c>
      <c r="CJ32" s="57" t="str">
        <f aca="false">IF($C32="","",IF(OR(N(T32)=0,AO32="NO APTO/REPARAR",AO32="REVISAR"),"n/a",(AK32*FMS*MAX(1,AJ32*INDEX(EffRet,MATCH(S32,EffList,0)))*AL32-AW32)*BU32-INDEX(FFScost,N(T32)+1)-BT32))</f>
        <v/>
      </c>
      <c r="CK32" s="55" t="str">
        <f aca="false">IF($C32="","",IF(BW32&gt;1,"ACEPTABLE","NO ACEPTABLE"))</f>
        <v/>
      </c>
      <c r="CL32" s="60" t="str">
        <f aca="false">IF($C32="","",IF(ISNUMBER(AG32),IF(AG32&lt;0,IF(LEFT(AO32,4)="APTO","RUL&lt;0 con FFS apto: verificar","RUL&lt;0"),""),""))</f>
        <v/>
      </c>
      <c r="CM32" s="57" t="str">
        <f aca="false">IF($C32="","",-$BQ32+IF($R32=0,$BO32*MIN(CM$15,Horiz),$BO32*(1-(1+$R32)^(-MIN(CM$15,Horiz)))/$R32))</f>
        <v/>
      </c>
      <c r="CN32" s="57" t="str">
        <f aca="false">IF($C32="","",-$BQ32+IF($R32=0,$BO32*MIN(CN$15,Horiz),$BO32*(1-(1+$R32)^(-MIN(CN$15,Horiz)))/$R32))</f>
        <v/>
      </c>
      <c r="CO32" s="57" t="str">
        <f aca="false">IF($C32="","",-$BQ32+IF($R32=0,$BO32*MIN(CO$15,Horiz),$BO32*(1-(1+$R32)^(-MIN(CO$15,Horiz)))/$R32))</f>
        <v/>
      </c>
      <c r="CP32" s="57" t="str">
        <f aca="false">IF($C32="","",-$BQ32+IF($R32=0,$BO32*MIN(CP$15,Horiz),$BO32*(1-(1+$R32)^(-MIN(CP$15,Horiz)))/$R32))</f>
        <v/>
      </c>
      <c r="CQ32" s="57" t="str">
        <f aca="false">IF($C32="","",-$BQ32+IF($R32=0,$BO32*MIN(CQ$15,Horiz),$BO32*(1-(1+$R32)^(-MIN(CQ$15,Horiz)))/$R32))</f>
        <v/>
      </c>
      <c r="CR32" s="57" t="str">
        <f aca="false">IF($C32="","",-$BQ32+IF($R32=0,$BO32*MIN(CR$15,Horiz),$BO32*(1-(1+$R32)^(-MIN(CR$15,Horiz)))/$R32))</f>
        <v/>
      </c>
      <c r="CS32" s="57" t="str">
        <f aca="false">IF($C32="","",-$BQ32+IF($R32=0,$BO32*MIN(CS$15,Horiz),$BO32*(1-(1+$R32)^(-MIN(CS$15,Horiz)))/$R32))</f>
        <v/>
      </c>
      <c r="CT32" s="57" t="str">
        <f aca="false">IF($C32="","",-$BQ32+IF($R32=0,$BO32*MIN(CT$15,Horiz),$BO32*(1-(1+$R32)^(-MIN(CT$15,Horiz)))/$R32))</f>
        <v/>
      </c>
      <c r="CU32" s="57" t="str">
        <f aca="false">IF($C32="","",-$BQ32+IF($R32=0,$BO32*MIN(CU$15,Horiz),$BO32*(1-(1+$R32)^(-MIN(CU$15,Horiz)))/$R32))</f>
        <v/>
      </c>
      <c r="CV32" s="57" t="str">
        <f aca="false">IF($C32="","",-$BQ32+IF($R32=0,$BO32*MIN(CV$15,Horiz),$BO32*(1-(1+$R32)^(-MIN(CV$15,Horiz)))/$R32))</f>
        <v/>
      </c>
      <c r="CW32" s="57" t="str">
        <f aca="false">IF($C32="","",-$BQ32+IF($R32=0,$BO32*MIN(CW$15,Horiz),$BO32*(1-(1+$R32)^(-MIN(CW$15,Horiz)))/$R32))</f>
        <v/>
      </c>
      <c r="CX32" s="57" t="str">
        <f aca="false">IF($C32="","",-$BQ32+IF($R32=0,$BO32*MIN(CX$15,Horiz),$BO32*(1-(1+$R32)^(-MIN(CX$15,Horiz)))/$R32))</f>
        <v/>
      </c>
      <c r="CY32" s="57" t="str">
        <f aca="false">IF($C32="","",-$BQ32+IF($R32=0,$BO32*MIN(CY$15,Horiz),$BO32*(1-(1+$R32)^(-MIN(CY$15,Horiz)))/$R32))</f>
        <v/>
      </c>
      <c r="CZ32" s="57" t="str">
        <f aca="false">IF($C32="","",-$BQ32+IF($R32=0,$BO32*MIN(CZ$15,Horiz),$BO32*(1-(1+$R32)^(-MIN(CZ$15,Horiz)))/$R32))</f>
        <v/>
      </c>
      <c r="DA32" s="57" t="str">
        <f aca="false">IF($C32="","",-$BQ32+IF($R32=0,$BO32*MIN(DA$15,Horiz),$BO32*(1-(1+$R32)^(-MIN(DA$15,Horiz)))/$R32))</f>
        <v/>
      </c>
      <c r="DB32" s="57" t="str">
        <f aca="false">IF($C32="","",-$BQ32+IF($R32=0,$BO32*MIN(DB$15,Horiz),$BO32*(1-(1+$R32)^(-MIN(DB$15,Horiz)))/$R32))</f>
        <v/>
      </c>
    </row>
    <row r="33" customFormat="false" ht="15" hidden="false" customHeight="false" outlineLevel="0" collapsed="false">
      <c r="A33" s="38" t="n">
        <v>18</v>
      </c>
      <c r="B33" s="39"/>
      <c r="C33" s="40"/>
      <c r="D33" s="39"/>
      <c r="E33" s="39"/>
      <c r="F33" s="41"/>
      <c r="G33" s="41"/>
      <c r="H33" s="42"/>
      <c r="I33" s="43"/>
      <c r="J33" s="44"/>
      <c r="K33" s="41"/>
      <c r="L33" s="39"/>
      <c r="M33" s="40"/>
      <c r="N33" s="45"/>
      <c r="O33" s="46"/>
      <c r="P33" s="47"/>
      <c r="Q33" s="46"/>
      <c r="R33" s="48"/>
      <c r="S33" s="40"/>
      <c r="T33" s="41"/>
      <c r="U33" s="40"/>
      <c r="V33" s="40"/>
      <c r="W33" s="46"/>
      <c r="X33" s="41"/>
      <c r="Y33" s="41"/>
      <c r="Z33" s="46"/>
      <c r="AA33" s="46"/>
      <c r="AB33" s="41"/>
      <c r="AC33" s="40"/>
      <c r="AD33" s="41"/>
      <c r="AE33" s="40"/>
      <c r="AF33" s="49" t="str">
        <f aca="false">IF($C33="","",AnioEval-K33)</f>
        <v/>
      </c>
      <c r="AG33" s="50" t="str">
        <f aca="false">IF($C33="","",IF(AND(ISNUMBER(J33),I33&gt;0),(H33-J33)/(I33*SensCR)-AF33,"n/d"))</f>
        <v/>
      </c>
      <c r="AH33" s="51" t="str">
        <f aca="false">IF($C33="","",IFERROR(I33*SensCR*AF33/H33,0))</f>
        <v/>
      </c>
      <c r="AI33" s="52" t="str">
        <f aca="false">IF($C33="","",IF(INDEX(MecTipo,MATCH(L33,MecList,0))="F",IFERROR(INDEX(SusDF,MATCH(M33,SusList,0)),1),LOOKUP(AH33,ArtLim,ArtDF)))</f>
        <v/>
      </c>
      <c r="AJ33" s="52" t="str">
        <f aca="false">IF($C33="","",IF(ISNUMBER(N33),N33,AI33))</f>
        <v/>
      </c>
      <c r="AK33" s="53" t="str">
        <f aca="false">IF($C33="","",INDEX(GFFval,MATCH(D33,GFFtipo,0)))</f>
        <v/>
      </c>
      <c r="AL33" s="54" t="str">
        <f aca="false">IF($C33="","",O33*((1-N(P33))+N(P33)*Kpd))</f>
        <v/>
      </c>
      <c r="AM33" s="53" t="str">
        <f aca="false">IF($C33="","",AK33*AJ33*FMS)</f>
        <v/>
      </c>
      <c r="AN33" s="54" t="str">
        <f aca="false">IF($C33="","",AM33*AL33)</f>
        <v/>
      </c>
      <c r="AO33" s="55" t="str">
        <f aca="false">IF($C33="","",IF(N(T33)=0,"No requerido",IF(AND(U33="Apto",V33="Pasa"),"APTO/PASA",IF(AND(U33="Apto con limitaciones",V33="Pasa"),"APTO CON LIMITACIONES",IF(U33="No apto","NO APTO/REPARAR","REVISAR")))))</f>
        <v/>
      </c>
      <c r="AP33" s="54" t="str">
        <f aca="false">IF($C33="","",AK33*FMS*IF(AO33="NO APTO/REPARAR",1,MAX(1,AJ33*INDEX(EffRet,1)*INDEX(FFSfac,MATCH(AO33,FFSlist,0))))*AL33)</f>
        <v/>
      </c>
      <c r="AQ33" s="54" t="str">
        <f aca="false">IF($C33="","",AK33*FMS*IF(AO33="NO APTO/REPARAR",1,MAX(1,AJ33*INDEX(EffRet,2)*INDEX(FFSfac,MATCH(AO33,FFSlist,0))))*AL33)</f>
        <v/>
      </c>
      <c r="AR33" s="54" t="str">
        <f aca="false">IF($C33="","",AK33*FMS*IF(AO33="NO APTO/REPARAR",1,MAX(1,AJ33*INDEX(EffRet,3)*INDEX(FFSfac,MATCH(AO33,FFSlist,0))))*AL33)</f>
        <v/>
      </c>
      <c r="AS33" s="54" t="str">
        <f aca="false">IF($C33="","",AK33*FMS*IF(AO33="NO APTO/REPARAR",1,MAX(1,AJ33*INDEX(EffRet,4)*INDEX(FFSfac,MATCH(AO33,FFSlist,0))))*AL33)</f>
        <v/>
      </c>
      <c r="AT33" s="54" t="str">
        <f aca="false">IF($C33="","",IFERROR(Q33*FInsp/INDEX(CostRel,MATCH(S33,EffList,0)),0))</f>
        <v/>
      </c>
      <c r="AU33" s="52" t="str">
        <f aca="false">IF($C33="","",IF(AO33="NO APTO/REPARAR",1,MAX(1,AJ33*INDEX(EffRet,MATCH(S33,EffList,0))*INDEX(FFSfac,MATCH(AO33,FFSlist,0)))))</f>
        <v/>
      </c>
      <c r="AV33" s="53" t="str">
        <f aca="false">IF($C33="","",AK33*AU33*FMS)</f>
        <v/>
      </c>
      <c r="AW33" s="54" t="str">
        <f aca="false">IF($C33="","",AV33*AL33)</f>
        <v/>
      </c>
      <c r="AX33" s="54" t="str">
        <f aca="false">IF($C33="","",IFERROR(AK33*FMS*INDEX(DFrep,AB33)*INDEX(FCrep,MATCH(AC33,CatLet,0)),AN33))</f>
        <v/>
      </c>
      <c r="AY33" s="54" t="str">
        <f aca="false">IF($C33="","",IFERROR(AK33*FMS*INDEX(DFrep,AD33)*INDEX(FCrep,MATCH(AE33,CatLet,0)),AW33))</f>
        <v/>
      </c>
      <c r="AZ33" s="56" t="str">
        <f aca="false">IF($C33="","",(1+SUMPRODUCT(--(AJ33&gt;PcutDF)))&amp;CHOOSE(1+SUMPRODUCT(--(AL33&gt;CcutFC)),"A","B","C","D","E"))</f>
        <v/>
      </c>
      <c r="BA33" s="56" t="str">
        <f aca="false">IF($C33="","",(1+SUMPRODUCT(--(AU33&gt;PcutDF)))&amp;CHOOSE(1+SUMPRODUCT(--(AL33&gt;CcutFC)),"A","B","C","D","E"))</f>
        <v/>
      </c>
      <c r="BB33" s="56" t="str">
        <f aca="false">IF($C33="","",IF(AND(AB33&amp;AC33=AZ33,AD33&amp;AE33=BA33),"OK","REVISAR"))</f>
        <v/>
      </c>
      <c r="BC33" s="49" t="str">
        <f aca="false">IF($C33="","",IFERROR(INDEX(RAMlev,AB33,MATCH(AC33,CatLet,0)),""))</f>
        <v/>
      </c>
      <c r="BD33" s="49" t="str">
        <f aca="false">IF($C33="","",IFERROR(INDEX(RAMlev,AD33,MATCH(AE33,CatLet,0)),""))</f>
        <v/>
      </c>
      <c r="BE33" s="56" t="str">
        <f aca="false">IF($C33="","",IF(BD33="","",IF(BD33&lt;=ObjNivel,"Cumple","Excede")))</f>
        <v/>
      </c>
      <c r="BF33" s="54" t="str">
        <f aca="false">IF($C33="","",IF(Base="RAM",AX33,AN33))</f>
        <v/>
      </c>
      <c r="BG33" s="54" t="str">
        <f aca="false">IF($C33="","",IF(Base="RAM",AY33,AW33))</f>
        <v/>
      </c>
      <c r="BH33" s="54" t="str">
        <f aca="false">IF($C33="","",BF33-BG33)</f>
        <v/>
      </c>
      <c r="BI33" s="54" t="str">
        <f aca="false">IF($C33="","",BH33*N(P33)*Kpd/((1-N(P33))+N(P33)*Kpd))</f>
        <v/>
      </c>
      <c r="BJ33" s="54" t="str">
        <f aca="false">IF($C33="","",BH33-BI33)</f>
        <v/>
      </c>
      <c r="BK33" s="54" t="str">
        <f aca="false">IF($C33="","",IFERROR(Q33*FInsp*(1/X33-1/Y33),0))</f>
        <v/>
      </c>
      <c r="BL33" s="54" t="str">
        <f aca="false">IF($C33="","",IFERROR(Z33*Kpd*(1/X33-1/Y33),0))</f>
        <v/>
      </c>
      <c r="BM33" s="54" t="str">
        <f aca="false">IF($C33="","",IFERROR((Q33*FInsp+Z33*Kpd)/X33,0))</f>
        <v/>
      </c>
      <c r="BN33" s="54" t="str">
        <f aca="false">IF($C33="","",IFERROR((Q33*FInsp+Z33*Kpd)/Y33,0))</f>
        <v/>
      </c>
      <c r="BO33" s="54" t="str">
        <f aca="false">IF($C33="","",BH33+BK33+BL33-N(AA33))</f>
        <v/>
      </c>
      <c r="BP33" s="57" t="str">
        <f aca="false">IF($C33="","",BK33+BL33-N(AA33))</f>
        <v/>
      </c>
      <c r="BQ33" s="54" t="str">
        <f aca="false">IF($C33="","",BR33+BS33+BT33)</f>
        <v/>
      </c>
      <c r="BR33" s="54" t="str">
        <f aca="false">IF($C33="","",Q33*FInsp)</f>
        <v/>
      </c>
      <c r="BS33" s="54" t="str">
        <f aca="false">IF($C33="","",INDEX(FFScost,N(T33)+1)+RBIimpl)</f>
        <v/>
      </c>
      <c r="BT33" s="54" t="str">
        <f aca="false">IF($C33="","",IF(OR(AO33="NO APTO/REPARAR",AO33="APTO CON LIMITACIONES"),N(W33)*FRep,0))</f>
        <v/>
      </c>
      <c r="BU33" s="51" t="str">
        <f aca="false">IF($C33="","",IF(R33=0,Horiz,(1-(1+R33)^(-Horiz))/R33))</f>
        <v/>
      </c>
      <c r="BV33" s="54" t="str">
        <f aca="false">IF($C33="","",BO33*BU33)</f>
        <v/>
      </c>
      <c r="BW33" s="58" t="str">
        <f aca="false">IF($C33="","",IFERROR(BV33/BQ33,0))</f>
        <v/>
      </c>
      <c r="BX33" s="57" t="str">
        <f aca="false">IF($C33="","",BV33-BQ33)</f>
        <v/>
      </c>
      <c r="BY33" s="57" t="str">
        <f aca="false">IF($C33="","",BO33*IF(R33=0,1,1/(1+R33))-BQ33)</f>
        <v/>
      </c>
      <c r="BZ33" s="57" t="str">
        <f aca="false">IF($C33="","",BO33*IF(R33=0,10,(1-(1+R33)^(-10))/R33)-BQ33)</f>
        <v/>
      </c>
      <c r="CA33" s="57" t="str">
        <f aca="false">IF($C33="","",BP33*BU33-BQ33)</f>
        <v/>
      </c>
      <c r="CB33" s="58" t="str">
        <f aca="false">IF($C33="","",IFERROR(BP33*BU33/BQ33,0))</f>
        <v/>
      </c>
      <c r="CC33" s="50" t="str">
        <f aca="false">IF($C33="","",IF(BP33&gt;0,BQ33/BP33,"No recupera"))</f>
        <v/>
      </c>
      <c r="CD33" s="59" t="str">
        <f aca="false">IF($C33="","",IFERROR((Horiz*BO33-BQ33)/BQ33,0))</f>
        <v/>
      </c>
      <c r="CE33" s="50" t="str">
        <f aca="false">IF($C33="","",IF(BO33&gt;0,BQ33/BO33,"No recupera"))</f>
        <v/>
      </c>
      <c r="CF33" s="50" t="str">
        <f aca="false">IF($C33="","",IF(BO33&lt;=0,"No recupera",IF(R33=0,BQ33/BO33,IFERROR(-LN(1-BQ33*R33/BO33)/LN(1+R33),"No recupera"))))</f>
        <v/>
      </c>
      <c r="CG33" s="57" t="str">
        <f aca="false">IF($C33="","",BO33-BQ33/BU33)</f>
        <v/>
      </c>
      <c r="CH33" s="54" t="str">
        <f aca="false">IF($C33="","",(BM33+BF33)*BU33)</f>
        <v/>
      </c>
      <c r="CI33" s="54" t="str">
        <f aca="false">IF($C33="","",(BN33+BG33+N(AA33))*BU33+BQ33)</f>
        <v/>
      </c>
      <c r="CJ33" s="57" t="str">
        <f aca="false">IF($C33="","",IF(OR(N(T33)=0,AO33="NO APTO/REPARAR",AO33="REVISAR"),"n/a",(AK33*FMS*MAX(1,AJ33*INDEX(EffRet,MATCH(S33,EffList,0)))*AL33-AW33)*BU33-INDEX(FFScost,N(T33)+1)-BT33))</f>
        <v/>
      </c>
      <c r="CK33" s="55" t="str">
        <f aca="false">IF($C33="","",IF(BW33&gt;1,"ACEPTABLE","NO ACEPTABLE"))</f>
        <v/>
      </c>
      <c r="CL33" s="60" t="str">
        <f aca="false">IF($C33="","",IF(ISNUMBER(AG33),IF(AG33&lt;0,IF(LEFT(AO33,4)="APTO","RUL&lt;0 con FFS apto: verificar","RUL&lt;0"),""),""))</f>
        <v/>
      </c>
      <c r="CM33" s="57" t="str">
        <f aca="false">IF($C33="","",-$BQ33+IF($R33=0,$BO33*MIN(CM$15,Horiz),$BO33*(1-(1+$R33)^(-MIN(CM$15,Horiz)))/$R33))</f>
        <v/>
      </c>
      <c r="CN33" s="57" t="str">
        <f aca="false">IF($C33="","",-$BQ33+IF($R33=0,$BO33*MIN(CN$15,Horiz),$BO33*(1-(1+$R33)^(-MIN(CN$15,Horiz)))/$R33))</f>
        <v/>
      </c>
      <c r="CO33" s="57" t="str">
        <f aca="false">IF($C33="","",-$BQ33+IF($R33=0,$BO33*MIN(CO$15,Horiz),$BO33*(1-(1+$R33)^(-MIN(CO$15,Horiz)))/$R33))</f>
        <v/>
      </c>
      <c r="CP33" s="57" t="str">
        <f aca="false">IF($C33="","",-$BQ33+IF($R33=0,$BO33*MIN(CP$15,Horiz),$BO33*(1-(1+$R33)^(-MIN(CP$15,Horiz)))/$R33))</f>
        <v/>
      </c>
      <c r="CQ33" s="57" t="str">
        <f aca="false">IF($C33="","",-$BQ33+IF($R33=0,$BO33*MIN(CQ$15,Horiz),$BO33*(1-(1+$R33)^(-MIN(CQ$15,Horiz)))/$R33))</f>
        <v/>
      </c>
      <c r="CR33" s="57" t="str">
        <f aca="false">IF($C33="","",-$BQ33+IF($R33=0,$BO33*MIN(CR$15,Horiz),$BO33*(1-(1+$R33)^(-MIN(CR$15,Horiz)))/$R33))</f>
        <v/>
      </c>
      <c r="CS33" s="57" t="str">
        <f aca="false">IF($C33="","",-$BQ33+IF($R33=0,$BO33*MIN(CS$15,Horiz),$BO33*(1-(1+$R33)^(-MIN(CS$15,Horiz)))/$R33))</f>
        <v/>
      </c>
      <c r="CT33" s="57" t="str">
        <f aca="false">IF($C33="","",-$BQ33+IF($R33=0,$BO33*MIN(CT$15,Horiz),$BO33*(1-(1+$R33)^(-MIN(CT$15,Horiz)))/$R33))</f>
        <v/>
      </c>
      <c r="CU33" s="57" t="str">
        <f aca="false">IF($C33="","",-$BQ33+IF($R33=0,$BO33*MIN(CU$15,Horiz),$BO33*(1-(1+$R33)^(-MIN(CU$15,Horiz)))/$R33))</f>
        <v/>
      </c>
      <c r="CV33" s="57" t="str">
        <f aca="false">IF($C33="","",-$BQ33+IF($R33=0,$BO33*MIN(CV$15,Horiz),$BO33*(1-(1+$R33)^(-MIN(CV$15,Horiz)))/$R33))</f>
        <v/>
      </c>
      <c r="CW33" s="57" t="str">
        <f aca="false">IF($C33="","",-$BQ33+IF($R33=0,$BO33*MIN(CW$15,Horiz),$BO33*(1-(1+$R33)^(-MIN(CW$15,Horiz)))/$R33))</f>
        <v/>
      </c>
      <c r="CX33" s="57" t="str">
        <f aca="false">IF($C33="","",-$BQ33+IF($R33=0,$BO33*MIN(CX$15,Horiz),$BO33*(1-(1+$R33)^(-MIN(CX$15,Horiz)))/$R33))</f>
        <v/>
      </c>
      <c r="CY33" s="57" t="str">
        <f aca="false">IF($C33="","",-$BQ33+IF($R33=0,$BO33*MIN(CY$15,Horiz),$BO33*(1-(1+$R33)^(-MIN(CY$15,Horiz)))/$R33))</f>
        <v/>
      </c>
      <c r="CZ33" s="57" t="str">
        <f aca="false">IF($C33="","",-$BQ33+IF($R33=0,$BO33*MIN(CZ$15,Horiz),$BO33*(1-(1+$R33)^(-MIN(CZ$15,Horiz)))/$R33))</f>
        <v/>
      </c>
      <c r="DA33" s="57" t="str">
        <f aca="false">IF($C33="","",-$BQ33+IF($R33=0,$BO33*MIN(DA$15,Horiz),$BO33*(1-(1+$R33)^(-MIN(DA$15,Horiz)))/$R33))</f>
        <v/>
      </c>
      <c r="DB33" s="57" t="str">
        <f aca="false">IF($C33="","",-$BQ33+IF($R33=0,$BO33*MIN(DB$15,Horiz),$BO33*(1-(1+$R33)^(-MIN(DB$15,Horiz)))/$R33))</f>
        <v/>
      </c>
    </row>
    <row r="34" customFormat="false" ht="15" hidden="false" customHeight="false" outlineLevel="0" collapsed="false">
      <c r="A34" s="38" t="n">
        <v>19</v>
      </c>
      <c r="B34" s="39"/>
      <c r="C34" s="40"/>
      <c r="D34" s="39"/>
      <c r="E34" s="39"/>
      <c r="F34" s="41"/>
      <c r="G34" s="41"/>
      <c r="H34" s="42"/>
      <c r="I34" s="43"/>
      <c r="J34" s="44"/>
      <c r="K34" s="41"/>
      <c r="L34" s="39"/>
      <c r="M34" s="40"/>
      <c r="N34" s="45"/>
      <c r="O34" s="46"/>
      <c r="P34" s="47"/>
      <c r="Q34" s="46"/>
      <c r="R34" s="48"/>
      <c r="S34" s="40"/>
      <c r="T34" s="41"/>
      <c r="U34" s="40"/>
      <c r="V34" s="40"/>
      <c r="W34" s="46"/>
      <c r="X34" s="41"/>
      <c r="Y34" s="41"/>
      <c r="Z34" s="46"/>
      <c r="AA34" s="46"/>
      <c r="AB34" s="41"/>
      <c r="AC34" s="40"/>
      <c r="AD34" s="41"/>
      <c r="AE34" s="40"/>
      <c r="AF34" s="49" t="str">
        <f aca="false">IF($C34="","",AnioEval-K34)</f>
        <v/>
      </c>
      <c r="AG34" s="50" t="str">
        <f aca="false">IF($C34="","",IF(AND(ISNUMBER(J34),I34&gt;0),(H34-J34)/(I34*SensCR)-AF34,"n/d"))</f>
        <v/>
      </c>
      <c r="AH34" s="51" t="str">
        <f aca="false">IF($C34="","",IFERROR(I34*SensCR*AF34/H34,0))</f>
        <v/>
      </c>
      <c r="AI34" s="52" t="str">
        <f aca="false">IF($C34="","",IF(INDEX(MecTipo,MATCH(L34,MecList,0))="F",IFERROR(INDEX(SusDF,MATCH(M34,SusList,0)),1),LOOKUP(AH34,ArtLim,ArtDF)))</f>
        <v/>
      </c>
      <c r="AJ34" s="52" t="str">
        <f aca="false">IF($C34="","",IF(ISNUMBER(N34),N34,AI34))</f>
        <v/>
      </c>
      <c r="AK34" s="53" t="str">
        <f aca="false">IF($C34="","",INDEX(GFFval,MATCH(D34,GFFtipo,0)))</f>
        <v/>
      </c>
      <c r="AL34" s="54" t="str">
        <f aca="false">IF($C34="","",O34*((1-N(P34))+N(P34)*Kpd))</f>
        <v/>
      </c>
      <c r="AM34" s="53" t="str">
        <f aca="false">IF($C34="","",AK34*AJ34*FMS)</f>
        <v/>
      </c>
      <c r="AN34" s="54" t="str">
        <f aca="false">IF($C34="","",AM34*AL34)</f>
        <v/>
      </c>
      <c r="AO34" s="55" t="str">
        <f aca="false">IF($C34="","",IF(N(T34)=0,"No requerido",IF(AND(U34="Apto",V34="Pasa"),"APTO/PASA",IF(AND(U34="Apto con limitaciones",V34="Pasa"),"APTO CON LIMITACIONES",IF(U34="No apto","NO APTO/REPARAR","REVISAR")))))</f>
        <v/>
      </c>
      <c r="AP34" s="54" t="str">
        <f aca="false">IF($C34="","",AK34*FMS*IF(AO34="NO APTO/REPARAR",1,MAX(1,AJ34*INDEX(EffRet,1)*INDEX(FFSfac,MATCH(AO34,FFSlist,0))))*AL34)</f>
        <v/>
      </c>
      <c r="AQ34" s="54" t="str">
        <f aca="false">IF($C34="","",AK34*FMS*IF(AO34="NO APTO/REPARAR",1,MAX(1,AJ34*INDEX(EffRet,2)*INDEX(FFSfac,MATCH(AO34,FFSlist,0))))*AL34)</f>
        <v/>
      </c>
      <c r="AR34" s="54" t="str">
        <f aca="false">IF($C34="","",AK34*FMS*IF(AO34="NO APTO/REPARAR",1,MAX(1,AJ34*INDEX(EffRet,3)*INDEX(FFSfac,MATCH(AO34,FFSlist,0))))*AL34)</f>
        <v/>
      </c>
      <c r="AS34" s="54" t="str">
        <f aca="false">IF($C34="","",AK34*FMS*IF(AO34="NO APTO/REPARAR",1,MAX(1,AJ34*INDEX(EffRet,4)*INDEX(FFSfac,MATCH(AO34,FFSlist,0))))*AL34)</f>
        <v/>
      </c>
      <c r="AT34" s="54" t="str">
        <f aca="false">IF($C34="","",IFERROR(Q34*FInsp/INDEX(CostRel,MATCH(S34,EffList,0)),0))</f>
        <v/>
      </c>
      <c r="AU34" s="52" t="str">
        <f aca="false">IF($C34="","",IF(AO34="NO APTO/REPARAR",1,MAX(1,AJ34*INDEX(EffRet,MATCH(S34,EffList,0))*INDEX(FFSfac,MATCH(AO34,FFSlist,0)))))</f>
        <v/>
      </c>
      <c r="AV34" s="53" t="str">
        <f aca="false">IF($C34="","",AK34*AU34*FMS)</f>
        <v/>
      </c>
      <c r="AW34" s="54" t="str">
        <f aca="false">IF($C34="","",AV34*AL34)</f>
        <v/>
      </c>
      <c r="AX34" s="54" t="str">
        <f aca="false">IF($C34="","",IFERROR(AK34*FMS*INDEX(DFrep,AB34)*INDEX(FCrep,MATCH(AC34,CatLet,0)),AN34))</f>
        <v/>
      </c>
      <c r="AY34" s="54" t="str">
        <f aca="false">IF($C34="","",IFERROR(AK34*FMS*INDEX(DFrep,AD34)*INDEX(FCrep,MATCH(AE34,CatLet,0)),AW34))</f>
        <v/>
      </c>
      <c r="AZ34" s="56" t="str">
        <f aca="false">IF($C34="","",(1+SUMPRODUCT(--(AJ34&gt;PcutDF)))&amp;CHOOSE(1+SUMPRODUCT(--(AL34&gt;CcutFC)),"A","B","C","D","E"))</f>
        <v/>
      </c>
      <c r="BA34" s="56" t="str">
        <f aca="false">IF($C34="","",(1+SUMPRODUCT(--(AU34&gt;PcutDF)))&amp;CHOOSE(1+SUMPRODUCT(--(AL34&gt;CcutFC)),"A","B","C","D","E"))</f>
        <v/>
      </c>
      <c r="BB34" s="56" t="str">
        <f aca="false">IF($C34="","",IF(AND(AB34&amp;AC34=AZ34,AD34&amp;AE34=BA34),"OK","REVISAR"))</f>
        <v/>
      </c>
      <c r="BC34" s="49" t="str">
        <f aca="false">IF($C34="","",IFERROR(INDEX(RAMlev,AB34,MATCH(AC34,CatLet,0)),""))</f>
        <v/>
      </c>
      <c r="BD34" s="49" t="str">
        <f aca="false">IF($C34="","",IFERROR(INDEX(RAMlev,AD34,MATCH(AE34,CatLet,0)),""))</f>
        <v/>
      </c>
      <c r="BE34" s="56" t="str">
        <f aca="false">IF($C34="","",IF(BD34="","",IF(BD34&lt;=ObjNivel,"Cumple","Excede")))</f>
        <v/>
      </c>
      <c r="BF34" s="54" t="str">
        <f aca="false">IF($C34="","",IF(Base="RAM",AX34,AN34))</f>
        <v/>
      </c>
      <c r="BG34" s="54" t="str">
        <f aca="false">IF($C34="","",IF(Base="RAM",AY34,AW34))</f>
        <v/>
      </c>
      <c r="BH34" s="54" t="str">
        <f aca="false">IF($C34="","",BF34-BG34)</f>
        <v/>
      </c>
      <c r="BI34" s="54" t="str">
        <f aca="false">IF($C34="","",BH34*N(P34)*Kpd/((1-N(P34))+N(P34)*Kpd))</f>
        <v/>
      </c>
      <c r="BJ34" s="54" t="str">
        <f aca="false">IF($C34="","",BH34-BI34)</f>
        <v/>
      </c>
      <c r="BK34" s="54" t="str">
        <f aca="false">IF($C34="","",IFERROR(Q34*FInsp*(1/X34-1/Y34),0))</f>
        <v/>
      </c>
      <c r="BL34" s="54" t="str">
        <f aca="false">IF($C34="","",IFERROR(Z34*Kpd*(1/X34-1/Y34),0))</f>
        <v/>
      </c>
      <c r="BM34" s="54" t="str">
        <f aca="false">IF($C34="","",IFERROR((Q34*FInsp+Z34*Kpd)/X34,0))</f>
        <v/>
      </c>
      <c r="BN34" s="54" t="str">
        <f aca="false">IF($C34="","",IFERROR((Q34*FInsp+Z34*Kpd)/Y34,0))</f>
        <v/>
      </c>
      <c r="BO34" s="54" t="str">
        <f aca="false">IF($C34="","",BH34+BK34+BL34-N(AA34))</f>
        <v/>
      </c>
      <c r="BP34" s="57" t="str">
        <f aca="false">IF($C34="","",BK34+BL34-N(AA34))</f>
        <v/>
      </c>
      <c r="BQ34" s="54" t="str">
        <f aca="false">IF($C34="","",BR34+BS34+BT34)</f>
        <v/>
      </c>
      <c r="BR34" s="54" t="str">
        <f aca="false">IF($C34="","",Q34*FInsp)</f>
        <v/>
      </c>
      <c r="BS34" s="54" t="str">
        <f aca="false">IF($C34="","",INDEX(FFScost,N(T34)+1)+RBIimpl)</f>
        <v/>
      </c>
      <c r="BT34" s="54" t="str">
        <f aca="false">IF($C34="","",IF(OR(AO34="NO APTO/REPARAR",AO34="APTO CON LIMITACIONES"),N(W34)*FRep,0))</f>
        <v/>
      </c>
      <c r="BU34" s="51" t="str">
        <f aca="false">IF($C34="","",IF(R34=0,Horiz,(1-(1+R34)^(-Horiz))/R34))</f>
        <v/>
      </c>
      <c r="BV34" s="54" t="str">
        <f aca="false">IF($C34="","",BO34*BU34)</f>
        <v/>
      </c>
      <c r="BW34" s="58" t="str">
        <f aca="false">IF($C34="","",IFERROR(BV34/BQ34,0))</f>
        <v/>
      </c>
      <c r="BX34" s="57" t="str">
        <f aca="false">IF($C34="","",BV34-BQ34)</f>
        <v/>
      </c>
      <c r="BY34" s="57" t="str">
        <f aca="false">IF($C34="","",BO34*IF(R34=0,1,1/(1+R34))-BQ34)</f>
        <v/>
      </c>
      <c r="BZ34" s="57" t="str">
        <f aca="false">IF($C34="","",BO34*IF(R34=0,10,(1-(1+R34)^(-10))/R34)-BQ34)</f>
        <v/>
      </c>
      <c r="CA34" s="57" t="str">
        <f aca="false">IF($C34="","",BP34*BU34-BQ34)</f>
        <v/>
      </c>
      <c r="CB34" s="58" t="str">
        <f aca="false">IF($C34="","",IFERROR(BP34*BU34/BQ34,0))</f>
        <v/>
      </c>
      <c r="CC34" s="50" t="str">
        <f aca="false">IF($C34="","",IF(BP34&gt;0,BQ34/BP34,"No recupera"))</f>
        <v/>
      </c>
      <c r="CD34" s="59" t="str">
        <f aca="false">IF($C34="","",IFERROR((Horiz*BO34-BQ34)/BQ34,0))</f>
        <v/>
      </c>
      <c r="CE34" s="50" t="str">
        <f aca="false">IF($C34="","",IF(BO34&gt;0,BQ34/BO34,"No recupera"))</f>
        <v/>
      </c>
      <c r="CF34" s="50" t="str">
        <f aca="false">IF($C34="","",IF(BO34&lt;=0,"No recupera",IF(R34=0,BQ34/BO34,IFERROR(-LN(1-BQ34*R34/BO34)/LN(1+R34),"No recupera"))))</f>
        <v/>
      </c>
      <c r="CG34" s="57" t="str">
        <f aca="false">IF($C34="","",BO34-BQ34/BU34)</f>
        <v/>
      </c>
      <c r="CH34" s="54" t="str">
        <f aca="false">IF($C34="","",(BM34+BF34)*BU34)</f>
        <v/>
      </c>
      <c r="CI34" s="54" t="str">
        <f aca="false">IF($C34="","",(BN34+BG34+N(AA34))*BU34+BQ34)</f>
        <v/>
      </c>
      <c r="CJ34" s="57" t="str">
        <f aca="false">IF($C34="","",IF(OR(N(T34)=0,AO34="NO APTO/REPARAR",AO34="REVISAR"),"n/a",(AK34*FMS*MAX(1,AJ34*INDEX(EffRet,MATCH(S34,EffList,0)))*AL34-AW34)*BU34-INDEX(FFScost,N(T34)+1)-BT34))</f>
        <v/>
      </c>
      <c r="CK34" s="55" t="str">
        <f aca="false">IF($C34="","",IF(BW34&gt;1,"ACEPTABLE","NO ACEPTABLE"))</f>
        <v/>
      </c>
      <c r="CL34" s="60" t="str">
        <f aca="false">IF($C34="","",IF(ISNUMBER(AG34),IF(AG34&lt;0,IF(LEFT(AO34,4)="APTO","RUL&lt;0 con FFS apto: verificar","RUL&lt;0"),""),""))</f>
        <v/>
      </c>
      <c r="CM34" s="57" t="str">
        <f aca="false">IF($C34="","",-$BQ34+IF($R34=0,$BO34*MIN(CM$15,Horiz),$BO34*(1-(1+$R34)^(-MIN(CM$15,Horiz)))/$R34))</f>
        <v/>
      </c>
      <c r="CN34" s="57" t="str">
        <f aca="false">IF($C34="","",-$BQ34+IF($R34=0,$BO34*MIN(CN$15,Horiz),$BO34*(1-(1+$R34)^(-MIN(CN$15,Horiz)))/$R34))</f>
        <v/>
      </c>
      <c r="CO34" s="57" t="str">
        <f aca="false">IF($C34="","",-$BQ34+IF($R34=0,$BO34*MIN(CO$15,Horiz),$BO34*(1-(1+$R34)^(-MIN(CO$15,Horiz)))/$R34))</f>
        <v/>
      </c>
      <c r="CP34" s="57" t="str">
        <f aca="false">IF($C34="","",-$BQ34+IF($R34=0,$BO34*MIN(CP$15,Horiz),$BO34*(1-(1+$R34)^(-MIN(CP$15,Horiz)))/$R34))</f>
        <v/>
      </c>
      <c r="CQ34" s="57" t="str">
        <f aca="false">IF($C34="","",-$BQ34+IF($R34=0,$BO34*MIN(CQ$15,Horiz),$BO34*(1-(1+$R34)^(-MIN(CQ$15,Horiz)))/$R34))</f>
        <v/>
      </c>
      <c r="CR34" s="57" t="str">
        <f aca="false">IF($C34="","",-$BQ34+IF($R34=0,$BO34*MIN(CR$15,Horiz),$BO34*(1-(1+$R34)^(-MIN(CR$15,Horiz)))/$R34))</f>
        <v/>
      </c>
      <c r="CS34" s="57" t="str">
        <f aca="false">IF($C34="","",-$BQ34+IF($R34=0,$BO34*MIN(CS$15,Horiz),$BO34*(1-(1+$R34)^(-MIN(CS$15,Horiz)))/$R34))</f>
        <v/>
      </c>
      <c r="CT34" s="57" t="str">
        <f aca="false">IF($C34="","",-$BQ34+IF($R34=0,$BO34*MIN(CT$15,Horiz),$BO34*(1-(1+$R34)^(-MIN(CT$15,Horiz)))/$R34))</f>
        <v/>
      </c>
      <c r="CU34" s="57" t="str">
        <f aca="false">IF($C34="","",-$BQ34+IF($R34=0,$BO34*MIN(CU$15,Horiz),$BO34*(1-(1+$R34)^(-MIN(CU$15,Horiz)))/$R34))</f>
        <v/>
      </c>
      <c r="CV34" s="57" t="str">
        <f aca="false">IF($C34="","",-$BQ34+IF($R34=0,$BO34*MIN(CV$15,Horiz),$BO34*(1-(1+$R34)^(-MIN(CV$15,Horiz)))/$R34))</f>
        <v/>
      </c>
      <c r="CW34" s="57" t="str">
        <f aca="false">IF($C34="","",-$BQ34+IF($R34=0,$BO34*MIN(CW$15,Horiz),$BO34*(1-(1+$R34)^(-MIN(CW$15,Horiz)))/$R34))</f>
        <v/>
      </c>
      <c r="CX34" s="57" t="str">
        <f aca="false">IF($C34="","",-$BQ34+IF($R34=0,$BO34*MIN(CX$15,Horiz),$BO34*(1-(1+$R34)^(-MIN(CX$15,Horiz)))/$R34))</f>
        <v/>
      </c>
      <c r="CY34" s="57" t="str">
        <f aca="false">IF($C34="","",-$BQ34+IF($R34=0,$BO34*MIN(CY$15,Horiz),$BO34*(1-(1+$R34)^(-MIN(CY$15,Horiz)))/$R34))</f>
        <v/>
      </c>
      <c r="CZ34" s="57" t="str">
        <f aca="false">IF($C34="","",-$BQ34+IF($R34=0,$BO34*MIN(CZ$15,Horiz),$BO34*(1-(1+$R34)^(-MIN(CZ$15,Horiz)))/$R34))</f>
        <v/>
      </c>
      <c r="DA34" s="57" t="str">
        <f aca="false">IF($C34="","",-$BQ34+IF($R34=0,$BO34*MIN(DA$15,Horiz),$BO34*(1-(1+$R34)^(-MIN(DA$15,Horiz)))/$R34))</f>
        <v/>
      </c>
      <c r="DB34" s="57" t="str">
        <f aca="false">IF($C34="","",-$BQ34+IF($R34=0,$BO34*MIN(DB$15,Horiz),$BO34*(1-(1+$R34)^(-MIN(DB$15,Horiz)))/$R34))</f>
        <v/>
      </c>
    </row>
    <row r="35" customFormat="false" ht="15" hidden="false" customHeight="false" outlineLevel="0" collapsed="false">
      <c r="A35" s="38" t="n">
        <v>20</v>
      </c>
      <c r="B35" s="39"/>
      <c r="C35" s="40"/>
      <c r="D35" s="39"/>
      <c r="E35" s="39"/>
      <c r="F35" s="41"/>
      <c r="G35" s="41"/>
      <c r="H35" s="42"/>
      <c r="I35" s="43"/>
      <c r="J35" s="44"/>
      <c r="K35" s="41"/>
      <c r="L35" s="39"/>
      <c r="M35" s="40"/>
      <c r="N35" s="45"/>
      <c r="O35" s="46"/>
      <c r="P35" s="47"/>
      <c r="Q35" s="46"/>
      <c r="R35" s="48"/>
      <c r="S35" s="40"/>
      <c r="T35" s="41"/>
      <c r="U35" s="40"/>
      <c r="V35" s="40"/>
      <c r="W35" s="46"/>
      <c r="X35" s="41"/>
      <c r="Y35" s="41"/>
      <c r="Z35" s="46"/>
      <c r="AA35" s="46"/>
      <c r="AB35" s="41"/>
      <c r="AC35" s="40"/>
      <c r="AD35" s="41"/>
      <c r="AE35" s="40"/>
      <c r="AF35" s="49" t="str">
        <f aca="false">IF($C35="","",AnioEval-K35)</f>
        <v/>
      </c>
      <c r="AG35" s="50" t="str">
        <f aca="false">IF($C35="","",IF(AND(ISNUMBER(J35),I35&gt;0),(H35-J35)/(I35*SensCR)-AF35,"n/d"))</f>
        <v/>
      </c>
      <c r="AH35" s="51" t="str">
        <f aca="false">IF($C35="","",IFERROR(I35*SensCR*AF35/H35,0))</f>
        <v/>
      </c>
      <c r="AI35" s="52" t="str">
        <f aca="false">IF($C35="","",IF(INDEX(MecTipo,MATCH(L35,MecList,0))="F",IFERROR(INDEX(SusDF,MATCH(M35,SusList,0)),1),LOOKUP(AH35,ArtLim,ArtDF)))</f>
        <v/>
      </c>
      <c r="AJ35" s="52" t="str">
        <f aca="false">IF($C35="","",IF(ISNUMBER(N35),N35,AI35))</f>
        <v/>
      </c>
      <c r="AK35" s="53" t="str">
        <f aca="false">IF($C35="","",INDEX(GFFval,MATCH(D35,GFFtipo,0)))</f>
        <v/>
      </c>
      <c r="AL35" s="54" t="str">
        <f aca="false">IF($C35="","",O35*((1-N(P35))+N(P35)*Kpd))</f>
        <v/>
      </c>
      <c r="AM35" s="53" t="str">
        <f aca="false">IF($C35="","",AK35*AJ35*FMS)</f>
        <v/>
      </c>
      <c r="AN35" s="54" t="str">
        <f aca="false">IF($C35="","",AM35*AL35)</f>
        <v/>
      </c>
      <c r="AO35" s="55" t="str">
        <f aca="false">IF($C35="","",IF(N(T35)=0,"No requerido",IF(AND(U35="Apto",V35="Pasa"),"APTO/PASA",IF(AND(U35="Apto con limitaciones",V35="Pasa"),"APTO CON LIMITACIONES",IF(U35="No apto","NO APTO/REPARAR","REVISAR")))))</f>
        <v/>
      </c>
      <c r="AP35" s="54" t="str">
        <f aca="false">IF($C35="","",AK35*FMS*IF(AO35="NO APTO/REPARAR",1,MAX(1,AJ35*INDEX(EffRet,1)*INDEX(FFSfac,MATCH(AO35,FFSlist,0))))*AL35)</f>
        <v/>
      </c>
      <c r="AQ35" s="54" t="str">
        <f aca="false">IF($C35="","",AK35*FMS*IF(AO35="NO APTO/REPARAR",1,MAX(1,AJ35*INDEX(EffRet,2)*INDEX(FFSfac,MATCH(AO35,FFSlist,0))))*AL35)</f>
        <v/>
      </c>
      <c r="AR35" s="54" t="str">
        <f aca="false">IF($C35="","",AK35*FMS*IF(AO35="NO APTO/REPARAR",1,MAX(1,AJ35*INDEX(EffRet,3)*INDEX(FFSfac,MATCH(AO35,FFSlist,0))))*AL35)</f>
        <v/>
      </c>
      <c r="AS35" s="54" t="str">
        <f aca="false">IF($C35="","",AK35*FMS*IF(AO35="NO APTO/REPARAR",1,MAX(1,AJ35*INDEX(EffRet,4)*INDEX(FFSfac,MATCH(AO35,FFSlist,0))))*AL35)</f>
        <v/>
      </c>
      <c r="AT35" s="54" t="str">
        <f aca="false">IF($C35="","",IFERROR(Q35*FInsp/INDEX(CostRel,MATCH(S35,EffList,0)),0))</f>
        <v/>
      </c>
      <c r="AU35" s="52" t="str">
        <f aca="false">IF($C35="","",IF(AO35="NO APTO/REPARAR",1,MAX(1,AJ35*INDEX(EffRet,MATCH(S35,EffList,0))*INDEX(FFSfac,MATCH(AO35,FFSlist,0)))))</f>
        <v/>
      </c>
      <c r="AV35" s="53" t="str">
        <f aca="false">IF($C35="","",AK35*AU35*FMS)</f>
        <v/>
      </c>
      <c r="AW35" s="54" t="str">
        <f aca="false">IF($C35="","",AV35*AL35)</f>
        <v/>
      </c>
      <c r="AX35" s="54" t="str">
        <f aca="false">IF($C35="","",IFERROR(AK35*FMS*INDEX(DFrep,AB35)*INDEX(FCrep,MATCH(AC35,CatLet,0)),AN35))</f>
        <v/>
      </c>
      <c r="AY35" s="54" t="str">
        <f aca="false">IF($C35="","",IFERROR(AK35*FMS*INDEX(DFrep,AD35)*INDEX(FCrep,MATCH(AE35,CatLet,0)),AW35))</f>
        <v/>
      </c>
      <c r="AZ35" s="56" t="str">
        <f aca="false">IF($C35="","",(1+SUMPRODUCT(--(AJ35&gt;PcutDF)))&amp;CHOOSE(1+SUMPRODUCT(--(AL35&gt;CcutFC)),"A","B","C","D","E"))</f>
        <v/>
      </c>
      <c r="BA35" s="56" t="str">
        <f aca="false">IF($C35="","",(1+SUMPRODUCT(--(AU35&gt;PcutDF)))&amp;CHOOSE(1+SUMPRODUCT(--(AL35&gt;CcutFC)),"A","B","C","D","E"))</f>
        <v/>
      </c>
      <c r="BB35" s="56" t="str">
        <f aca="false">IF($C35="","",IF(AND(AB35&amp;AC35=AZ35,AD35&amp;AE35=BA35),"OK","REVISAR"))</f>
        <v/>
      </c>
      <c r="BC35" s="49" t="str">
        <f aca="false">IF($C35="","",IFERROR(INDEX(RAMlev,AB35,MATCH(AC35,CatLet,0)),""))</f>
        <v/>
      </c>
      <c r="BD35" s="49" t="str">
        <f aca="false">IF($C35="","",IFERROR(INDEX(RAMlev,AD35,MATCH(AE35,CatLet,0)),""))</f>
        <v/>
      </c>
      <c r="BE35" s="56" t="str">
        <f aca="false">IF($C35="","",IF(BD35="","",IF(BD35&lt;=ObjNivel,"Cumple","Excede")))</f>
        <v/>
      </c>
      <c r="BF35" s="54" t="str">
        <f aca="false">IF($C35="","",IF(Base="RAM",AX35,AN35))</f>
        <v/>
      </c>
      <c r="BG35" s="54" t="str">
        <f aca="false">IF($C35="","",IF(Base="RAM",AY35,AW35))</f>
        <v/>
      </c>
      <c r="BH35" s="54" t="str">
        <f aca="false">IF($C35="","",BF35-BG35)</f>
        <v/>
      </c>
      <c r="BI35" s="54" t="str">
        <f aca="false">IF($C35="","",BH35*N(P35)*Kpd/((1-N(P35))+N(P35)*Kpd))</f>
        <v/>
      </c>
      <c r="BJ35" s="54" t="str">
        <f aca="false">IF($C35="","",BH35-BI35)</f>
        <v/>
      </c>
      <c r="BK35" s="54" t="str">
        <f aca="false">IF($C35="","",IFERROR(Q35*FInsp*(1/X35-1/Y35),0))</f>
        <v/>
      </c>
      <c r="BL35" s="54" t="str">
        <f aca="false">IF($C35="","",IFERROR(Z35*Kpd*(1/X35-1/Y35),0))</f>
        <v/>
      </c>
      <c r="BM35" s="54" t="str">
        <f aca="false">IF($C35="","",IFERROR((Q35*FInsp+Z35*Kpd)/X35,0))</f>
        <v/>
      </c>
      <c r="BN35" s="54" t="str">
        <f aca="false">IF($C35="","",IFERROR((Q35*FInsp+Z35*Kpd)/Y35,0))</f>
        <v/>
      </c>
      <c r="BO35" s="54" t="str">
        <f aca="false">IF($C35="","",BH35+BK35+BL35-N(AA35))</f>
        <v/>
      </c>
      <c r="BP35" s="57" t="str">
        <f aca="false">IF($C35="","",BK35+BL35-N(AA35))</f>
        <v/>
      </c>
      <c r="BQ35" s="54" t="str">
        <f aca="false">IF($C35="","",BR35+BS35+BT35)</f>
        <v/>
      </c>
      <c r="BR35" s="54" t="str">
        <f aca="false">IF($C35="","",Q35*FInsp)</f>
        <v/>
      </c>
      <c r="BS35" s="54" t="str">
        <f aca="false">IF($C35="","",INDEX(FFScost,N(T35)+1)+RBIimpl)</f>
        <v/>
      </c>
      <c r="BT35" s="54" t="str">
        <f aca="false">IF($C35="","",IF(OR(AO35="NO APTO/REPARAR",AO35="APTO CON LIMITACIONES"),N(W35)*FRep,0))</f>
        <v/>
      </c>
      <c r="BU35" s="51" t="str">
        <f aca="false">IF($C35="","",IF(R35=0,Horiz,(1-(1+R35)^(-Horiz))/R35))</f>
        <v/>
      </c>
      <c r="BV35" s="54" t="str">
        <f aca="false">IF($C35="","",BO35*BU35)</f>
        <v/>
      </c>
      <c r="BW35" s="58" t="str">
        <f aca="false">IF($C35="","",IFERROR(BV35/BQ35,0))</f>
        <v/>
      </c>
      <c r="BX35" s="57" t="str">
        <f aca="false">IF($C35="","",BV35-BQ35)</f>
        <v/>
      </c>
      <c r="BY35" s="57" t="str">
        <f aca="false">IF($C35="","",BO35*IF(R35=0,1,1/(1+R35))-BQ35)</f>
        <v/>
      </c>
      <c r="BZ35" s="57" t="str">
        <f aca="false">IF($C35="","",BO35*IF(R35=0,10,(1-(1+R35)^(-10))/R35)-BQ35)</f>
        <v/>
      </c>
      <c r="CA35" s="57" t="str">
        <f aca="false">IF($C35="","",BP35*BU35-BQ35)</f>
        <v/>
      </c>
      <c r="CB35" s="58" t="str">
        <f aca="false">IF($C35="","",IFERROR(BP35*BU35/BQ35,0))</f>
        <v/>
      </c>
      <c r="CC35" s="50" t="str">
        <f aca="false">IF($C35="","",IF(BP35&gt;0,BQ35/BP35,"No recupera"))</f>
        <v/>
      </c>
      <c r="CD35" s="59" t="str">
        <f aca="false">IF($C35="","",IFERROR((Horiz*BO35-BQ35)/BQ35,0))</f>
        <v/>
      </c>
      <c r="CE35" s="50" t="str">
        <f aca="false">IF($C35="","",IF(BO35&gt;0,BQ35/BO35,"No recupera"))</f>
        <v/>
      </c>
      <c r="CF35" s="50" t="str">
        <f aca="false">IF($C35="","",IF(BO35&lt;=0,"No recupera",IF(R35=0,BQ35/BO35,IFERROR(-LN(1-BQ35*R35/BO35)/LN(1+R35),"No recupera"))))</f>
        <v/>
      </c>
      <c r="CG35" s="57" t="str">
        <f aca="false">IF($C35="","",BO35-BQ35/BU35)</f>
        <v/>
      </c>
      <c r="CH35" s="54" t="str">
        <f aca="false">IF($C35="","",(BM35+BF35)*BU35)</f>
        <v/>
      </c>
      <c r="CI35" s="54" t="str">
        <f aca="false">IF($C35="","",(BN35+BG35+N(AA35))*BU35+BQ35)</f>
        <v/>
      </c>
      <c r="CJ35" s="57" t="str">
        <f aca="false">IF($C35="","",IF(OR(N(T35)=0,AO35="NO APTO/REPARAR",AO35="REVISAR"),"n/a",(AK35*FMS*MAX(1,AJ35*INDEX(EffRet,MATCH(S35,EffList,0)))*AL35-AW35)*BU35-INDEX(FFScost,N(T35)+1)-BT35))</f>
        <v/>
      </c>
      <c r="CK35" s="55" t="str">
        <f aca="false">IF($C35="","",IF(BW35&gt;1,"ACEPTABLE","NO ACEPTABLE"))</f>
        <v/>
      </c>
      <c r="CL35" s="60" t="str">
        <f aca="false">IF($C35="","",IF(ISNUMBER(AG35),IF(AG35&lt;0,IF(LEFT(AO35,4)="APTO","RUL&lt;0 con FFS apto: verificar","RUL&lt;0"),""),""))</f>
        <v/>
      </c>
      <c r="CM35" s="57" t="str">
        <f aca="false">IF($C35="","",-$BQ35+IF($R35=0,$BO35*MIN(CM$15,Horiz),$BO35*(1-(1+$R35)^(-MIN(CM$15,Horiz)))/$R35))</f>
        <v/>
      </c>
      <c r="CN35" s="57" t="str">
        <f aca="false">IF($C35="","",-$BQ35+IF($R35=0,$BO35*MIN(CN$15,Horiz),$BO35*(1-(1+$R35)^(-MIN(CN$15,Horiz)))/$R35))</f>
        <v/>
      </c>
      <c r="CO35" s="57" t="str">
        <f aca="false">IF($C35="","",-$BQ35+IF($R35=0,$BO35*MIN(CO$15,Horiz),$BO35*(1-(1+$R35)^(-MIN(CO$15,Horiz)))/$R35))</f>
        <v/>
      </c>
      <c r="CP35" s="57" t="str">
        <f aca="false">IF($C35="","",-$BQ35+IF($R35=0,$BO35*MIN(CP$15,Horiz),$BO35*(1-(1+$R35)^(-MIN(CP$15,Horiz)))/$R35))</f>
        <v/>
      </c>
      <c r="CQ35" s="57" t="str">
        <f aca="false">IF($C35="","",-$BQ35+IF($R35=0,$BO35*MIN(CQ$15,Horiz),$BO35*(1-(1+$R35)^(-MIN(CQ$15,Horiz)))/$R35))</f>
        <v/>
      </c>
      <c r="CR35" s="57" t="str">
        <f aca="false">IF($C35="","",-$BQ35+IF($R35=0,$BO35*MIN(CR$15,Horiz),$BO35*(1-(1+$R35)^(-MIN(CR$15,Horiz)))/$R35))</f>
        <v/>
      </c>
      <c r="CS35" s="57" t="str">
        <f aca="false">IF($C35="","",-$BQ35+IF($R35=0,$BO35*MIN(CS$15,Horiz),$BO35*(1-(1+$R35)^(-MIN(CS$15,Horiz)))/$R35))</f>
        <v/>
      </c>
      <c r="CT35" s="57" t="str">
        <f aca="false">IF($C35="","",-$BQ35+IF($R35=0,$BO35*MIN(CT$15,Horiz),$BO35*(1-(1+$R35)^(-MIN(CT$15,Horiz)))/$R35))</f>
        <v/>
      </c>
      <c r="CU35" s="57" t="str">
        <f aca="false">IF($C35="","",-$BQ35+IF($R35=0,$BO35*MIN(CU$15,Horiz),$BO35*(1-(1+$R35)^(-MIN(CU$15,Horiz)))/$R35))</f>
        <v/>
      </c>
      <c r="CV35" s="57" t="str">
        <f aca="false">IF($C35="","",-$BQ35+IF($R35=0,$BO35*MIN(CV$15,Horiz),$BO35*(1-(1+$R35)^(-MIN(CV$15,Horiz)))/$R35))</f>
        <v/>
      </c>
      <c r="CW35" s="57" t="str">
        <f aca="false">IF($C35="","",-$BQ35+IF($R35=0,$BO35*MIN(CW$15,Horiz),$BO35*(1-(1+$R35)^(-MIN(CW$15,Horiz)))/$R35))</f>
        <v/>
      </c>
      <c r="CX35" s="57" t="str">
        <f aca="false">IF($C35="","",-$BQ35+IF($R35=0,$BO35*MIN(CX$15,Horiz),$BO35*(1-(1+$R35)^(-MIN(CX$15,Horiz)))/$R35))</f>
        <v/>
      </c>
      <c r="CY35" s="57" t="str">
        <f aca="false">IF($C35="","",-$BQ35+IF($R35=0,$BO35*MIN(CY$15,Horiz),$BO35*(1-(1+$R35)^(-MIN(CY$15,Horiz)))/$R35))</f>
        <v/>
      </c>
      <c r="CZ35" s="57" t="str">
        <f aca="false">IF($C35="","",-$BQ35+IF($R35=0,$BO35*MIN(CZ$15,Horiz),$BO35*(1-(1+$R35)^(-MIN(CZ$15,Horiz)))/$R35))</f>
        <v/>
      </c>
      <c r="DA35" s="57" t="str">
        <f aca="false">IF($C35="","",-$BQ35+IF($R35=0,$BO35*MIN(DA$15,Horiz),$BO35*(1-(1+$R35)^(-MIN(DA$15,Horiz)))/$R35))</f>
        <v/>
      </c>
      <c r="DB35" s="57" t="str">
        <f aca="false">IF($C35="","",-$BQ35+IF($R35=0,$BO35*MIN(DB$15,Horiz),$BO35*(1-(1+$R35)^(-MIN(DB$15,Horiz)))/$R35))</f>
        <v/>
      </c>
    </row>
    <row r="36" customFormat="false" ht="15" hidden="false" customHeight="false" outlineLevel="0" collapsed="false">
      <c r="A36" s="38" t="n">
        <v>21</v>
      </c>
      <c r="B36" s="39"/>
      <c r="C36" s="40"/>
      <c r="D36" s="39"/>
      <c r="E36" s="39"/>
      <c r="F36" s="41"/>
      <c r="G36" s="41"/>
      <c r="H36" s="42"/>
      <c r="I36" s="43"/>
      <c r="J36" s="44"/>
      <c r="K36" s="41"/>
      <c r="L36" s="39"/>
      <c r="M36" s="40"/>
      <c r="N36" s="45"/>
      <c r="O36" s="46"/>
      <c r="P36" s="47"/>
      <c r="Q36" s="46"/>
      <c r="R36" s="48"/>
      <c r="S36" s="40"/>
      <c r="T36" s="41"/>
      <c r="U36" s="40"/>
      <c r="V36" s="40"/>
      <c r="W36" s="46"/>
      <c r="X36" s="41"/>
      <c r="Y36" s="41"/>
      <c r="Z36" s="46"/>
      <c r="AA36" s="46"/>
      <c r="AB36" s="41"/>
      <c r="AC36" s="40"/>
      <c r="AD36" s="41"/>
      <c r="AE36" s="40"/>
      <c r="AF36" s="49" t="str">
        <f aca="false">IF($C36="","",AnioEval-K36)</f>
        <v/>
      </c>
      <c r="AG36" s="50" t="str">
        <f aca="false">IF($C36="","",IF(AND(ISNUMBER(J36),I36&gt;0),(H36-J36)/(I36*SensCR)-AF36,"n/d"))</f>
        <v/>
      </c>
      <c r="AH36" s="51" t="str">
        <f aca="false">IF($C36="","",IFERROR(I36*SensCR*AF36/H36,0))</f>
        <v/>
      </c>
      <c r="AI36" s="52" t="str">
        <f aca="false">IF($C36="","",IF(INDEX(MecTipo,MATCH(L36,MecList,0))="F",IFERROR(INDEX(SusDF,MATCH(M36,SusList,0)),1),LOOKUP(AH36,ArtLim,ArtDF)))</f>
        <v/>
      </c>
      <c r="AJ36" s="52" t="str">
        <f aca="false">IF($C36="","",IF(ISNUMBER(N36),N36,AI36))</f>
        <v/>
      </c>
      <c r="AK36" s="53" t="str">
        <f aca="false">IF($C36="","",INDEX(GFFval,MATCH(D36,GFFtipo,0)))</f>
        <v/>
      </c>
      <c r="AL36" s="54" t="str">
        <f aca="false">IF($C36="","",O36*((1-N(P36))+N(P36)*Kpd))</f>
        <v/>
      </c>
      <c r="AM36" s="53" t="str">
        <f aca="false">IF($C36="","",AK36*AJ36*FMS)</f>
        <v/>
      </c>
      <c r="AN36" s="54" t="str">
        <f aca="false">IF($C36="","",AM36*AL36)</f>
        <v/>
      </c>
      <c r="AO36" s="55" t="str">
        <f aca="false">IF($C36="","",IF(N(T36)=0,"No requerido",IF(AND(U36="Apto",V36="Pasa"),"APTO/PASA",IF(AND(U36="Apto con limitaciones",V36="Pasa"),"APTO CON LIMITACIONES",IF(U36="No apto","NO APTO/REPARAR","REVISAR")))))</f>
        <v/>
      </c>
      <c r="AP36" s="54" t="str">
        <f aca="false">IF($C36="","",AK36*FMS*IF(AO36="NO APTO/REPARAR",1,MAX(1,AJ36*INDEX(EffRet,1)*INDEX(FFSfac,MATCH(AO36,FFSlist,0))))*AL36)</f>
        <v/>
      </c>
      <c r="AQ36" s="54" t="str">
        <f aca="false">IF($C36="","",AK36*FMS*IF(AO36="NO APTO/REPARAR",1,MAX(1,AJ36*INDEX(EffRet,2)*INDEX(FFSfac,MATCH(AO36,FFSlist,0))))*AL36)</f>
        <v/>
      </c>
      <c r="AR36" s="54" t="str">
        <f aca="false">IF($C36="","",AK36*FMS*IF(AO36="NO APTO/REPARAR",1,MAX(1,AJ36*INDEX(EffRet,3)*INDEX(FFSfac,MATCH(AO36,FFSlist,0))))*AL36)</f>
        <v/>
      </c>
      <c r="AS36" s="54" t="str">
        <f aca="false">IF($C36="","",AK36*FMS*IF(AO36="NO APTO/REPARAR",1,MAX(1,AJ36*INDEX(EffRet,4)*INDEX(FFSfac,MATCH(AO36,FFSlist,0))))*AL36)</f>
        <v/>
      </c>
      <c r="AT36" s="54" t="str">
        <f aca="false">IF($C36="","",IFERROR(Q36*FInsp/INDEX(CostRel,MATCH(S36,EffList,0)),0))</f>
        <v/>
      </c>
      <c r="AU36" s="52" t="str">
        <f aca="false">IF($C36="","",IF(AO36="NO APTO/REPARAR",1,MAX(1,AJ36*INDEX(EffRet,MATCH(S36,EffList,0))*INDEX(FFSfac,MATCH(AO36,FFSlist,0)))))</f>
        <v/>
      </c>
      <c r="AV36" s="53" t="str">
        <f aca="false">IF($C36="","",AK36*AU36*FMS)</f>
        <v/>
      </c>
      <c r="AW36" s="54" t="str">
        <f aca="false">IF($C36="","",AV36*AL36)</f>
        <v/>
      </c>
      <c r="AX36" s="54" t="str">
        <f aca="false">IF($C36="","",IFERROR(AK36*FMS*INDEX(DFrep,AB36)*INDEX(FCrep,MATCH(AC36,CatLet,0)),AN36))</f>
        <v/>
      </c>
      <c r="AY36" s="54" t="str">
        <f aca="false">IF($C36="","",IFERROR(AK36*FMS*INDEX(DFrep,AD36)*INDEX(FCrep,MATCH(AE36,CatLet,0)),AW36))</f>
        <v/>
      </c>
      <c r="AZ36" s="56" t="str">
        <f aca="false">IF($C36="","",(1+SUMPRODUCT(--(AJ36&gt;PcutDF)))&amp;CHOOSE(1+SUMPRODUCT(--(AL36&gt;CcutFC)),"A","B","C","D","E"))</f>
        <v/>
      </c>
      <c r="BA36" s="56" t="str">
        <f aca="false">IF($C36="","",(1+SUMPRODUCT(--(AU36&gt;PcutDF)))&amp;CHOOSE(1+SUMPRODUCT(--(AL36&gt;CcutFC)),"A","B","C","D","E"))</f>
        <v/>
      </c>
      <c r="BB36" s="56" t="str">
        <f aca="false">IF($C36="","",IF(AND(AB36&amp;AC36=AZ36,AD36&amp;AE36=BA36),"OK","REVISAR"))</f>
        <v/>
      </c>
      <c r="BC36" s="49" t="str">
        <f aca="false">IF($C36="","",IFERROR(INDEX(RAMlev,AB36,MATCH(AC36,CatLet,0)),""))</f>
        <v/>
      </c>
      <c r="BD36" s="49" t="str">
        <f aca="false">IF($C36="","",IFERROR(INDEX(RAMlev,AD36,MATCH(AE36,CatLet,0)),""))</f>
        <v/>
      </c>
      <c r="BE36" s="56" t="str">
        <f aca="false">IF($C36="","",IF(BD36="","",IF(BD36&lt;=ObjNivel,"Cumple","Excede")))</f>
        <v/>
      </c>
      <c r="BF36" s="54" t="str">
        <f aca="false">IF($C36="","",IF(Base="RAM",AX36,AN36))</f>
        <v/>
      </c>
      <c r="BG36" s="54" t="str">
        <f aca="false">IF($C36="","",IF(Base="RAM",AY36,AW36))</f>
        <v/>
      </c>
      <c r="BH36" s="54" t="str">
        <f aca="false">IF($C36="","",BF36-BG36)</f>
        <v/>
      </c>
      <c r="BI36" s="54" t="str">
        <f aca="false">IF($C36="","",BH36*N(P36)*Kpd/((1-N(P36))+N(P36)*Kpd))</f>
        <v/>
      </c>
      <c r="BJ36" s="54" t="str">
        <f aca="false">IF($C36="","",BH36-BI36)</f>
        <v/>
      </c>
      <c r="BK36" s="54" t="str">
        <f aca="false">IF($C36="","",IFERROR(Q36*FInsp*(1/X36-1/Y36),0))</f>
        <v/>
      </c>
      <c r="BL36" s="54" t="str">
        <f aca="false">IF($C36="","",IFERROR(Z36*Kpd*(1/X36-1/Y36),0))</f>
        <v/>
      </c>
      <c r="BM36" s="54" t="str">
        <f aca="false">IF($C36="","",IFERROR((Q36*FInsp+Z36*Kpd)/X36,0))</f>
        <v/>
      </c>
      <c r="BN36" s="54" t="str">
        <f aca="false">IF($C36="","",IFERROR((Q36*FInsp+Z36*Kpd)/Y36,0))</f>
        <v/>
      </c>
      <c r="BO36" s="54" t="str">
        <f aca="false">IF($C36="","",BH36+BK36+BL36-N(AA36))</f>
        <v/>
      </c>
      <c r="BP36" s="57" t="str">
        <f aca="false">IF($C36="","",BK36+BL36-N(AA36))</f>
        <v/>
      </c>
      <c r="BQ36" s="54" t="str">
        <f aca="false">IF($C36="","",BR36+BS36+BT36)</f>
        <v/>
      </c>
      <c r="BR36" s="54" t="str">
        <f aca="false">IF($C36="","",Q36*FInsp)</f>
        <v/>
      </c>
      <c r="BS36" s="54" t="str">
        <f aca="false">IF($C36="","",INDEX(FFScost,N(T36)+1)+RBIimpl)</f>
        <v/>
      </c>
      <c r="BT36" s="54" t="str">
        <f aca="false">IF($C36="","",IF(OR(AO36="NO APTO/REPARAR",AO36="APTO CON LIMITACIONES"),N(W36)*FRep,0))</f>
        <v/>
      </c>
      <c r="BU36" s="51" t="str">
        <f aca="false">IF($C36="","",IF(R36=0,Horiz,(1-(1+R36)^(-Horiz))/R36))</f>
        <v/>
      </c>
      <c r="BV36" s="54" t="str">
        <f aca="false">IF($C36="","",BO36*BU36)</f>
        <v/>
      </c>
      <c r="BW36" s="58" t="str">
        <f aca="false">IF($C36="","",IFERROR(BV36/BQ36,0))</f>
        <v/>
      </c>
      <c r="BX36" s="57" t="str">
        <f aca="false">IF($C36="","",BV36-BQ36)</f>
        <v/>
      </c>
      <c r="BY36" s="57" t="str">
        <f aca="false">IF($C36="","",BO36*IF(R36=0,1,1/(1+R36))-BQ36)</f>
        <v/>
      </c>
      <c r="BZ36" s="57" t="str">
        <f aca="false">IF($C36="","",BO36*IF(R36=0,10,(1-(1+R36)^(-10))/R36)-BQ36)</f>
        <v/>
      </c>
      <c r="CA36" s="57" t="str">
        <f aca="false">IF($C36="","",BP36*BU36-BQ36)</f>
        <v/>
      </c>
      <c r="CB36" s="58" t="str">
        <f aca="false">IF($C36="","",IFERROR(BP36*BU36/BQ36,0))</f>
        <v/>
      </c>
      <c r="CC36" s="50" t="str">
        <f aca="false">IF($C36="","",IF(BP36&gt;0,BQ36/BP36,"No recupera"))</f>
        <v/>
      </c>
      <c r="CD36" s="59" t="str">
        <f aca="false">IF($C36="","",IFERROR((Horiz*BO36-BQ36)/BQ36,0))</f>
        <v/>
      </c>
      <c r="CE36" s="50" t="str">
        <f aca="false">IF($C36="","",IF(BO36&gt;0,BQ36/BO36,"No recupera"))</f>
        <v/>
      </c>
      <c r="CF36" s="50" t="str">
        <f aca="false">IF($C36="","",IF(BO36&lt;=0,"No recupera",IF(R36=0,BQ36/BO36,IFERROR(-LN(1-BQ36*R36/BO36)/LN(1+R36),"No recupera"))))</f>
        <v/>
      </c>
      <c r="CG36" s="57" t="str">
        <f aca="false">IF($C36="","",BO36-BQ36/BU36)</f>
        <v/>
      </c>
      <c r="CH36" s="54" t="str">
        <f aca="false">IF($C36="","",(BM36+BF36)*BU36)</f>
        <v/>
      </c>
      <c r="CI36" s="54" t="str">
        <f aca="false">IF($C36="","",(BN36+BG36+N(AA36))*BU36+BQ36)</f>
        <v/>
      </c>
      <c r="CJ36" s="57" t="str">
        <f aca="false">IF($C36="","",IF(OR(N(T36)=0,AO36="NO APTO/REPARAR",AO36="REVISAR"),"n/a",(AK36*FMS*MAX(1,AJ36*INDEX(EffRet,MATCH(S36,EffList,0)))*AL36-AW36)*BU36-INDEX(FFScost,N(T36)+1)-BT36))</f>
        <v/>
      </c>
      <c r="CK36" s="55" t="str">
        <f aca="false">IF($C36="","",IF(BW36&gt;1,"ACEPTABLE","NO ACEPTABLE"))</f>
        <v/>
      </c>
      <c r="CL36" s="60" t="str">
        <f aca="false">IF($C36="","",IF(ISNUMBER(AG36),IF(AG36&lt;0,IF(LEFT(AO36,4)="APTO","RUL&lt;0 con FFS apto: verificar","RUL&lt;0"),""),""))</f>
        <v/>
      </c>
      <c r="CM36" s="57" t="str">
        <f aca="false">IF($C36="","",-$BQ36+IF($R36=0,$BO36*MIN(CM$15,Horiz),$BO36*(1-(1+$R36)^(-MIN(CM$15,Horiz)))/$R36))</f>
        <v/>
      </c>
      <c r="CN36" s="57" t="str">
        <f aca="false">IF($C36="","",-$BQ36+IF($R36=0,$BO36*MIN(CN$15,Horiz),$BO36*(1-(1+$R36)^(-MIN(CN$15,Horiz)))/$R36))</f>
        <v/>
      </c>
      <c r="CO36" s="57" t="str">
        <f aca="false">IF($C36="","",-$BQ36+IF($R36=0,$BO36*MIN(CO$15,Horiz),$BO36*(1-(1+$R36)^(-MIN(CO$15,Horiz)))/$R36))</f>
        <v/>
      </c>
      <c r="CP36" s="57" t="str">
        <f aca="false">IF($C36="","",-$BQ36+IF($R36=0,$BO36*MIN(CP$15,Horiz),$BO36*(1-(1+$R36)^(-MIN(CP$15,Horiz)))/$R36))</f>
        <v/>
      </c>
      <c r="CQ36" s="57" t="str">
        <f aca="false">IF($C36="","",-$BQ36+IF($R36=0,$BO36*MIN(CQ$15,Horiz),$BO36*(1-(1+$R36)^(-MIN(CQ$15,Horiz)))/$R36))</f>
        <v/>
      </c>
      <c r="CR36" s="57" t="str">
        <f aca="false">IF($C36="","",-$BQ36+IF($R36=0,$BO36*MIN(CR$15,Horiz),$BO36*(1-(1+$R36)^(-MIN(CR$15,Horiz)))/$R36))</f>
        <v/>
      </c>
      <c r="CS36" s="57" t="str">
        <f aca="false">IF($C36="","",-$BQ36+IF($R36=0,$BO36*MIN(CS$15,Horiz),$BO36*(1-(1+$R36)^(-MIN(CS$15,Horiz)))/$R36))</f>
        <v/>
      </c>
      <c r="CT36" s="57" t="str">
        <f aca="false">IF($C36="","",-$BQ36+IF($R36=0,$BO36*MIN(CT$15,Horiz),$BO36*(1-(1+$R36)^(-MIN(CT$15,Horiz)))/$R36))</f>
        <v/>
      </c>
      <c r="CU36" s="57" t="str">
        <f aca="false">IF($C36="","",-$BQ36+IF($R36=0,$BO36*MIN(CU$15,Horiz),$BO36*(1-(1+$R36)^(-MIN(CU$15,Horiz)))/$R36))</f>
        <v/>
      </c>
      <c r="CV36" s="57" t="str">
        <f aca="false">IF($C36="","",-$BQ36+IF($R36=0,$BO36*MIN(CV$15,Horiz),$BO36*(1-(1+$R36)^(-MIN(CV$15,Horiz)))/$R36))</f>
        <v/>
      </c>
      <c r="CW36" s="57" t="str">
        <f aca="false">IF($C36="","",-$BQ36+IF($R36=0,$BO36*MIN(CW$15,Horiz),$BO36*(1-(1+$R36)^(-MIN(CW$15,Horiz)))/$R36))</f>
        <v/>
      </c>
      <c r="CX36" s="57" t="str">
        <f aca="false">IF($C36="","",-$BQ36+IF($R36=0,$BO36*MIN(CX$15,Horiz),$BO36*(1-(1+$R36)^(-MIN(CX$15,Horiz)))/$R36))</f>
        <v/>
      </c>
      <c r="CY36" s="57" t="str">
        <f aca="false">IF($C36="","",-$BQ36+IF($R36=0,$BO36*MIN(CY$15,Horiz),$BO36*(1-(1+$R36)^(-MIN(CY$15,Horiz)))/$R36))</f>
        <v/>
      </c>
      <c r="CZ36" s="57" t="str">
        <f aca="false">IF($C36="","",-$BQ36+IF($R36=0,$BO36*MIN(CZ$15,Horiz),$BO36*(1-(1+$R36)^(-MIN(CZ$15,Horiz)))/$R36))</f>
        <v/>
      </c>
      <c r="DA36" s="57" t="str">
        <f aca="false">IF($C36="","",-$BQ36+IF($R36=0,$BO36*MIN(DA$15,Horiz),$BO36*(1-(1+$R36)^(-MIN(DA$15,Horiz)))/$R36))</f>
        <v/>
      </c>
      <c r="DB36" s="57" t="str">
        <f aca="false">IF($C36="","",-$BQ36+IF($R36=0,$BO36*MIN(DB$15,Horiz),$BO36*(1-(1+$R36)^(-MIN(DB$15,Horiz)))/$R36))</f>
        <v/>
      </c>
    </row>
    <row r="37" customFormat="false" ht="15" hidden="false" customHeight="false" outlineLevel="0" collapsed="false">
      <c r="A37" s="38" t="n">
        <v>22</v>
      </c>
      <c r="B37" s="39"/>
      <c r="C37" s="40"/>
      <c r="D37" s="39"/>
      <c r="E37" s="39"/>
      <c r="F37" s="41"/>
      <c r="G37" s="41"/>
      <c r="H37" s="42"/>
      <c r="I37" s="43"/>
      <c r="J37" s="44"/>
      <c r="K37" s="41"/>
      <c r="L37" s="39"/>
      <c r="M37" s="40"/>
      <c r="N37" s="45"/>
      <c r="O37" s="46"/>
      <c r="P37" s="47"/>
      <c r="Q37" s="46"/>
      <c r="R37" s="48"/>
      <c r="S37" s="40"/>
      <c r="T37" s="41"/>
      <c r="U37" s="40"/>
      <c r="V37" s="40"/>
      <c r="W37" s="46"/>
      <c r="X37" s="41"/>
      <c r="Y37" s="41"/>
      <c r="Z37" s="46"/>
      <c r="AA37" s="46"/>
      <c r="AB37" s="41"/>
      <c r="AC37" s="40"/>
      <c r="AD37" s="41"/>
      <c r="AE37" s="40"/>
      <c r="AF37" s="49" t="str">
        <f aca="false">IF($C37="","",AnioEval-K37)</f>
        <v/>
      </c>
      <c r="AG37" s="50" t="str">
        <f aca="false">IF($C37="","",IF(AND(ISNUMBER(J37),I37&gt;0),(H37-J37)/(I37*SensCR)-AF37,"n/d"))</f>
        <v/>
      </c>
      <c r="AH37" s="51" t="str">
        <f aca="false">IF($C37="","",IFERROR(I37*SensCR*AF37/H37,0))</f>
        <v/>
      </c>
      <c r="AI37" s="52" t="str">
        <f aca="false">IF($C37="","",IF(INDEX(MecTipo,MATCH(L37,MecList,0))="F",IFERROR(INDEX(SusDF,MATCH(M37,SusList,0)),1),LOOKUP(AH37,ArtLim,ArtDF)))</f>
        <v/>
      </c>
      <c r="AJ37" s="52" t="str">
        <f aca="false">IF($C37="","",IF(ISNUMBER(N37),N37,AI37))</f>
        <v/>
      </c>
      <c r="AK37" s="53" t="str">
        <f aca="false">IF($C37="","",INDEX(GFFval,MATCH(D37,GFFtipo,0)))</f>
        <v/>
      </c>
      <c r="AL37" s="54" t="str">
        <f aca="false">IF($C37="","",O37*((1-N(P37))+N(P37)*Kpd))</f>
        <v/>
      </c>
      <c r="AM37" s="53" t="str">
        <f aca="false">IF($C37="","",AK37*AJ37*FMS)</f>
        <v/>
      </c>
      <c r="AN37" s="54" t="str">
        <f aca="false">IF($C37="","",AM37*AL37)</f>
        <v/>
      </c>
      <c r="AO37" s="55" t="str">
        <f aca="false">IF($C37="","",IF(N(T37)=0,"No requerido",IF(AND(U37="Apto",V37="Pasa"),"APTO/PASA",IF(AND(U37="Apto con limitaciones",V37="Pasa"),"APTO CON LIMITACIONES",IF(U37="No apto","NO APTO/REPARAR","REVISAR")))))</f>
        <v/>
      </c>
      <c r="AP37" s="54" t="str">
        <f aca="false">IF($C37="","",AK37*FMS*IF(AO37="NO APTO/REPARAR",1,MAX(1,AJ37*INDEX(EffRet,1)*INDEX(FFSfac,MATCH(AO37,FFSlist,0))))*AL37)</f>
        <v/>
      </c>
      <c r="AQ37" s="54" t="str">
        <f aca="false">IF($C37="","",AK37*FMS*IF(AO37="NO APTO/REPARAR",1,MAX(1,AJ37*INDEX(EffRet,2)*INDEX(FFSfac,MATCH(AO37,FFSlist,0))))*AL37)</f>
        <v/>
      </c>
      <c r="AR37" s="54" t="str">
        <f aca="false">IF($C37="","",AK37*FMS*IF(AO37="NO APTO/REPARAR",1,MAX(1,AJ37*INDEX(EffRet,3)*INDEX(FFSfac,MATCH(AO37,FFSlist,0))))*AL37)</f>
        <v/>
      </c>
      <c r="AS37" s="54" t="str">
        <f aca="false">IF($C37="","",AK37*FMS*IF(AO37="NO APTO/REPARAR",1,MAX(1,AJ37*INDEX(EffRet,4)*INDEX(FFSfac,MATCH(AO37,FFSlist,0))))*AL37)</f>
        <v/>
      </c>
      <c r="AT37" s="54" t="str">
        <f aca="false">IF($C37="","",IFERROR(Q37*FInsp/INDEX(CostRel,MATCH(S37,EffList,0)),0))</f>
        <v/>
      </c>
      <c r="AU37" s="52" t="str">
        <f aca="false">IF($C37="","",IF(AO37="NO APTO/REPARAR",1,MAX(1,AJ37*INDEX(EffRet,MATCH(S37,EffList,0))*INDEX(FFSfac,MATCH(AO37,FFSlist,0)))))</f>
        <v/>
      </c>
      <c r="AV37" s="53" t="str">
        <f aca="false">IF($C37="","",AK37*AU37*FMS)</f>
        <v/>
      </c>
      <c r="AW37" s="54" t="str">
        <f aca="false">IF($C37="","",AV37*AL37)</f>
        <v/>
      </c>
      <c r="AX37" s="54" t="str">
        <f aca="false">IF($C37="","",IFERROR(AK37*FMS*INDEX(DFrep,AB37)*INDEX(FCrep,MATCH(AC37,CatLet,0)),AN37))</f>
        <v/>
      </c>
      <c r="AY37" s="54" t="str">
        <f aca="false">IF($C37="","",IFERROR(AK37*FMS*INDEX(DFrep,AD37)*INDEX(FCrep,MATCH(AE37,CatLet,0)),AW37))</f>
        <v/>
      </c>
      <c r="AZ37" s="56" t="str">
        <f aca="false">IF($C37="","",(1+SUMPRODUCT(--(AJ37&gt;PcutDF)))&amp;CHOOSE(1+SUMPRODUCT(--(AL37&gt;CcutFC)),"A","B","C","D","E"))</f>
        <v/>
      </c>
      <c r="BA37" s="56" t="str">
        <f aca="false">IF($C37="","",(1+SUMPRODUCT(--(AU37&gt;PcutDF)))&amp;CHOOSE(1+SUMPRODUCT(--(AL37&gt;CcutFC)),"A","B","C","D","E"))</f>
        <v/>
      </c>
      <c r="BB37" s="56" t="str">
        <f aca="false">IF($C37="","",IF(AND(AB37&amp;AC37=AZ37,AD37&amp;AE37=BA37),"OK","REVISAR"))</f>
        <v/>
      </c>
      <c r="BC37" s="49" t="str">
        <f aca="false">IF($C37="","",IFERROR(INDEX(RAMlev,AB37,MATCH(AC37,CatLet,0)),""))</f>
        <v/>
      </c>
      <c r="BD37" s="49" t="str">
        <f aca="false">IF($C37="","",IFERROR(INDEX(RAMlev,AD37,MATCH(AE37,CatLet,0)),""))</f>
        <v/>
      </c>
      <c r="BE37" s="56" t="str">
        <f aca="false">IF($C37="","",IF(BD37="","",IF(BD37&lt;=ObjNivel,"Cumple","Excede")))</f>
        <v/>
      </c>
      <c r="BF37" s="54" t="str">
        <f aca="false">IF($C37="","",IF(Base="RAM",AX37,AN37))</f>
        <v/>
      </c>
      <c r="BG37" s="54" t="str">
        <f aca="false">IF($C37="","",IF(Base="RAM",AY37,AW37))</f>
        <v/>
      </c>
      <c r="BH37" s="54" t="str">
        <f aca="false">IF($C37="","",BF37-BG37)</f>
        <v/>
      </c>
      <c r="BI37" s="54" t="str">
        <f aca="false">IF($C37="","",BH37*N(P37)*Kpd/((1-N(P37))+N(P37)*Kpd))</f>
        <v/>
      </c>
      <c r="BJ37" s="54" t="str">
        <f aca="false">IF($C37="","",BH37-BI37)</f>
        <v/>
      </c>
      <c r="BK37" s="54" t="str">
        <f aca="false">IF($C37="","",IFERROR(Q37*FInsp*(1/X37-1/Y37),0))</f>
        <v/>
      </c>
      <c r="BL37" s="54" t="str">
        <f aca="false">IF($C37="","",IFERROR(Z37*Kpd*(1/X37-1/Y37),0))</f>
        <v/>
      </c>
      <c r="BM37" s="54" t="str">
        <f aca="false">IF($C37="","",IFERROR((Q37*FInsp+Z37*Kpd)/X37,0))</f>
        <v/>
      </c>
      <c r="BN37" s="54" t="str">
        <f aca="false">IF($C37="","",IFERROR((Q37*FInsp+Z37*Kpd)/Y37,0))</f>
        <v/>
      </c>
      <c r="BO37" s="54" t="str">
        <f aca="false">IF($C37="","",BH37+BK37+BL37-N(AA37))</f>
        <v/>
      </c>
      <c r="BP37" s="57" t="str">
        <f aca="false">IF($C37="","",BK37+BL37-N(AA37))</f>
        <v/>
      </c>
      <c r="BQ37" s="54" t="str">
        <f aca="false">IF($C37="","",BR37+BS37+BT37)</f>
        <v/>
      </c>
      <c r="BR37" s="54" t="str">
        <f aca="false">IF($C37="","",Q37*FInsp)</f>
        <v/>
      </c>
      <c r="BS37" s="54" t="str">
        <f aca="false">IF($C37="","",INDEX(FFScost,N(T37)+1)+RBIimpl)</f>
        <v/>
      </c>
      <c r="BT37" s="54" t="str">
        <f aca="false">IF($C37="","",IF(OR(AO37="NO APTO/REPARAR",AO37="APTO CON LIMITACIONES"),N(W37)*FRep,0))</f>
        <v/>
      </c>
      <c r="BU37" s="51" t="str">
        <f aca="false">IF($C37="","",IF(R37=0,Horiz,(1-(1+R37)^(-Horiz))/R37))</f>
        <v/>
      </c>
      <c r="BV37" s="54" t="str">
        <f aca="false">IF($C37="","",BO37*BU37)</f>
        <v/>
      </c>
      <c r="BW37" s="58" t="str">
        <f aca="false">IF($C37="","",IFERROR(BV37/BQ37,0))</f>
        <v/>
      </c>
      <c r="BX37" s="57" t="str">
        <f aca="false">IF($C37="","",BV37-BQ37)</f>
        <v/>
      </c>
      <c r="BY37" s="57" t="str">
        <f aca="false">IF($C37="","",BO37*IF(R37=0,1,1/(1+R37))-BQ37)</f>
        <v/>
      </c>
      <c r="BZ37" s="57" t="str">
        <f aca="false">IF($C37="","",BO37*IF(R37=0,10,(1-(1+R37)^(-10))/R37)-BQ37)</f>
        <v/>
      </c>
      <c r="CA37" s="57" t="str">
        <f aca="false">IF($C37="","",BP37*BU37-BQ37)</f>
        <v/>
      </c>
      <c r="CB37" s="58" t="str">
        <f aca="false">IF($C37="","",IFERROR(BP37*BU37/BQ37,0))</f>
        <v/>
      </c>
      <c r="CC37" s="50" t="str">
        <f aca="false">IF($C37="","",IF(BP37&gt;0,BQ37/BP37,"No recupera"))</f>
        <v/>
      </c>
      <c r="CD37" s="59" t="str">
        <f aca="false">IF($C37="","",IFERROR((Horiz*BO37-BQ37)/BQ37,0))</f>
        <v/>
      </c>
      <c r="CE37" s="50" t="str">
        <f aca="false">IF($C37="","",IF(BO37&gt;0,BQ37/BO37,"No recupera"))</f>
        <v/>
      </c>
      <c r="CF37" s="50" t="str">
        <f aca="false">IF($C37="","",IF(BO37&lt;=0,"No recupera",IF(R37=0,BQ37/BO37,IFERROR(-LN(1-BQ37*R37/BO37)/LN(1+R37),"No recupera"))))</f>
        <v/>
      </c>
      <c r="CG37" s="57" t="str">
        <f aca="false">IF($C37="","",BO37-BQ37/BU37)</f>
        <v/>
      </c>
      <c r="CH37" s="54" t="str">
        <f aca="false">IF($C37="","",(BM37+BF37)*BU37)</f>
        <v/>
      </c>
      <c r="CI37" s="54" t="str">
        <f aca="false">IF($C37="","",(BN37+BG37+N(AA37))*BU37+BQ37)</f>
        <v/>
      </c>
      <c r="CJ37" s="57" t="str">
        <f aca="false">IF($C37="","",IF(OR(N(T37)=0,AO37="NO APTO/REPARAR",AO37="REVISAR"),"n/a",(AK37*FMS*MAX(1,AJ37*INDEX(EffRet,MATCH(S37,EffList,0)))*AL37-AW37)*BU37-INDEX(FFScost,N(T37)+1)-BT37))</f>
        <v/>
      </c>
      <c r="CK37" s="55" t="str">
        <f aca="false">IF($C37="","",IF(BW37&gt;1,"ACEPTABLE","NO ACEPTABLE"))</f>
        <v/>
      </c>
      <c r="CL37" s="60" t="str">
        <f aca="false">IF($C37="","",IF(ISNUMBER(AG37),IF(AG37&lt;0,IF(LEFT(AO37,4)="APTO","RUL&lt;0 con FFS apto: verificar","RUL&lt;0"),""),""))</f>
        <v/>
      </c>
      <c r="CM37" s="57" t="str">
        <f aca="false">IF($C37="","",-$BQ37+IF($R37=0,$BO37*MIN(CM$15,Horiz),$BO37*(1-(1+$R37)^(-MIN(CM$15,Horiz)))/$R37))</f>
        <v/>
      </c>
      <c r="CN37" s="57" t="str">
        <f aca="false">IF($C37="","",-$BQ37+IF($R37=0,$BO37*MIN(CN$15,Horiz),$BO37*(1-(1+$R37)^(-MIN(CN$15,Horiz)))/$R37))</f>
        <v/>
      </c>
      <c r="CO37" s="57" t="str">
        <f aca="false">IF($C37="","",-$BQ37+IF($R37=0,$BO37*MIN(CO$15,Horiz),$BO37*(1-(1+$R37)^(-MIN(CO$15,Horiz)))/$R37))</f>
        <v/>
      </c>
      <c r="CP37" s="57" t="str">
        <f aca="false">IF($C37="","",-$BQ37+IF($R37=0,$BO37*MIN(CP$15,Horiz),$BO37*(1-(1+$R37)^(-MIN(CP$15,Horiz)))/$R37))</f>
        <v/>
      </c>
      <c r="CQ37" s="57" t="str">
        <f aca="false">IF($C37="","",-$BQ37+IF($R37=0,$BO37*MIN(CQ$15,Horiz),$BO37*(1-(1+$R37)^(-MIN(CQ$15,Horiz)))/$R37))</f>
        <v/>
      </c>
      <c r="CR37" s="57" t="str">
        <f aca="false">IF($C37="","",-$BQ37+IF($R37=0,$BO37*MIN(CR$15,Horiz),$BO37*(1-(1+$R37)^(-MIN(CR$15,Horiz)))/$R37))</f>
        <v/>
      </c>
      <c r="CS37" s="57" t="str">
        <f aca="false">IF($C37="","",-$BQ37+IF($R37=0,$BO37*MIN(CS$15,Horiz),$BO37*(1-(1+$R37)^(-MIN(CS$15,Horiz)))/$R37))</f>
        <v/>
      </c>
      <c r="CT37" s="57" t="str">
        <f aca="false">IF($C37="","",-$BQ37+IF($R37=0,$BO37*MIN(CT$15,Horiz),$BO37*(1-(1+$R37)^(-MIN(CT$15,Horiz)))/$R37))</f>
        <v/>
      </c>
      <c r="CU37" s="57" t="str">
        <f aca="false">IF($C37="","",-$BQ37+IF($R37=0,$BO37*MIN(CU$15,Horiz),$BO37*(1-(1+$R37)^(-MIN(CU$15,Horiz)))/$R37))</f>
        <v/>
      </c>
      <c r="CV37" s="57" t="str">
        <f aca="false">IF($C37="","",-$BQ37+IF($R37=0,$BO37*MIN(CV$15,Horiz),$BO37*(1-(1+$R37)^(-MIN(CV$15,Horiz)))/$R37))</f>
        <v/>
      </c>
      <c r="CW37" s="57" t="str">
        <f aca="false">IF($C37="","",-$BQ37+IF($R37=0,$BO37*MIN(CW$15,Horiz),$BO37*(1-(1+$R37)^(-MIN(CW$15,Horiz)))/$R37))</f>
        <v/>
      </c>
      <c r="CX37" s="57" t="str">
        <f aca="false">IF($C37="","",-$BQ37+IF($R37=0,$BO37*MIN(CX$15,Horiz),$BO37*(1-(1+$R37)^(-MIN(CX$15,Horiz)))/$R37))</f>
        <v/>
      </c>
      <c r="CY37" s="57" t="str">
        <f aca="false">IF($C37="","",-$BQ37+IF($R37=0,$BO37*MIN(CY$15,Horiz),$BO37*(1-(1+$R37)^(-MIN(CY$15,Horiz)))/$R37))</f>
        <v/>
      </c>
      <c r="CZ37" s="57" t="str">
        <f aca="false">IF($C37="","",-$BQ37+IF($R37=0,$BO37*MIN(CZ$15,Horiz),$BO37*(1-(1+$R37)^(-MIN(CZ$15,Horiz)))/$R37))</f>
        <v/>
      </c>
      <c r="DA37" s="57" t="str">
        <f aca="false">IF($C37="","",-$BQ37+IF($R37=0,$BO37*MIN(DA$15,Horiz),$BO37*(1-(1+$R37)^(-MIN(DA$15,Horiz)))/$R37))</f>
        <v/>
      </c>
      <c r="DB37" s="57" t="str">
        <f aca="false">IF($C37="","",-$BQ37+IF($R37=0,$BO37*MIN(DB$15,Horiz),$BO37*(1-(1+$R37)^(-MIN(DB$15,Horiz)))/$R37))</f>
        <v/>
      </c>
    </row>
    <row r="38" customFormat="false" ht="15" hidden="false" customHeight="false" outlineLevel="0" collapsed="false">
      <c r="A38" s="38" t="n">
        <v>23</v>
      </c>
      <c r="B38" s="39"/>
      <c r="C38" s="40"/>
      <c r="D38" s="39"/>
      <c r="E38" s="39"/>
      <c r="F38" s="41"/>
      <c r="G38" s="41"/>
      <c r="H38" s="42"/>
      <c r="I38" s="43"/>
      <c r="J38" s="44"/>
      <c r="K38" s="41"/>
      <c r="L38" s="39"/>
      <c r="M38" s="40"/>
      <c r="N38" s="45"/>
      <c r="O38" s="46"/>
      <c r="P38" s="47"/>
      <c r="Q38" s="46"/>
      <c r="R38" s="48"/>
      <c r="S38" s="40"/>
      <c r="T38" s="41"/>
      <c r="U38" s="40"/>
      <c r="V38" s="40"/>
      <c r="W38" s="46"/>
      <c r="X38" s="41"/>
      <c r="Y38" s="41"/>
      <c r="Z38" s="46"/>
      <c r="AA38" s="46"/>
      <c r="AB38" s="41"/>
      <c r="AC38" s="40"/>
      <c r="AD38" s="41"/>
      <c r="AE38" s="40"/>
      <c r="AF38" s="49" t="str">
        <f aca="false">IF($C38="","",AnioEval-K38)</f>
        <v/>
      </c>
      <c r="AG38" s="50" t="str">
        <f aca="false">IF($C38="","",IF(AND(ISNUMBER(J38),I38&gt;0),(H38-J38)/(I38*SensCR)-AF38,"n/d"))</f>
        <v/>
      </c>
      <c r="AH38" s="51" t="str">
        <f aca="false">IF($C38="","",IFERROR(I38*SensCR*AF38/H38,0))</f>
        <v/>
      </c>
      <c r="AI38" s="52" t="str">
        <f aca="false">IF($C38="","",IF(INDEX(MecTipo,MATCH(L38,MecList,0))="F",IFERROR(INDEX(SusDF,MATCH(M38,SusList,0)),1),LOOKUP(AH38,ArtLim,ArtDF)))</f>
        <v/>
      </c>
      <c r="AJ38" s="52" t="str">
        <f aca="false">IF($C38="","",IF(ISNUMBER(N38),N38,AI38))</f>
        <v/>
      </c>
      <c r="AK38" s="53" t="str">
        <f aca="false">IF($C38="","",INDEX(GFFval,MATCH(D38,GFFtipo,0)))</f>
        <v/>
      </c>
      <c r="AL38" s="54" t="str">
        <f aca="false">IF($C38="","",O38*((1-N(P38))+N(P38)*Kpd))</f>
        <v/>
      </c>
      <c r="AM38" s="53" t="str">
        <f aca="false">IF($C38="","",AK38*AJ38*FMS)</f>
        <v/>
      </c>
      <c r="AN38" s="54" t="str">
        <f aca="false">IF($C38="","",AM38*AL38)</f>
        <v/>
      </c>
      <c r="AO38" s="55" t="str">
        <f aca="false">IF($C38="","",IF(N(T38)=0,"No requerido",IF(AND(U38="Apto",V38="Pasa"),"APTO/PASA",IF(AND(U38="Apto con limitaciones",V38="Pasa"),"APTO CON LIMITACIONES",IF(U38="No apto","NO APTO/REPARAR","REVISAR")))))</f>
        <v/>
      </c>
      <c r="AP38" s="54" t="str">
        <f aca="false">IF($C38="","",AK38*FMS*IF(AO38="NO APTO/REPARAR",1,MAX(1,AJ38*INDEX(EffRet,1)*INDEX(FFSfac,MATCH(AO38,FFSlist,0))))*AL38)</f>
        <v/>
      </c>
      <c r="AQ38" s="54" t="str">
        <f aca="false">IF($C38="","",AK38*FMS*IF(AO38="NO APTO/REPARAR",1,MAX(1,AJ38*INDEX(EffRet,2)*INDEX(FFSfac,MATCH(AO38,FFSlist,0))))*AL38)</f>
        <v/>
      </c>
      <c r="AR38" s="54" t="str">
        <f aca="false">IF($C38="","",AK38*FMS*IF(AO38="NO APTO/REPARAR",1,MAX(1,AJ38*INDEX(EffRet,3)*INDEX(FFSfac,MATCH(AO38,FFSlist,0))))*AL38)</f>
        <v/>
      </c>
      <c r="AS38" s="54" t="str">
        <f aca="false">IF($C38="","",AK38*FMS*IF(AO38="NO APTO/REPARAR",1,MAX(1,AJ38*INDEX(EffRet,4)*INDEX(FFSfac,MATCH(AO38,FFSlist,0))))*AL38)</f>
        <v/>
      </c>
      <c r="AT38" s="54" t="str">
        <f aca="false">IF($C38="","",IFERROR(Q38*FInsp/INDEX(CostRel,MATCH(S38,EffList,0)),0))</f>
        <v/>
      </c>
      <c r="AU38" s="52" t="str">
        <f aca="false">IF($C38="","",IF(AO38="NO APTO/REPARAR",1,MAX(1,AJ38*INDEX(EffRet,MATCH(S38,EffList,0))*INDEX(FFSfac,MATCH(AO38,FFSlist,0)))))</f>
        <v/>
      </c>
      <c r="AV38" s="53" t="str">
        <f aca="false">IF($C38="","",AK38*AU38*FMS)</f>
        <v/>
      </c>
      <c r="AW38" s="54" t="str">
        <f aca="false">IF($C38="","",AV38*AL38)</f>
        <v/>
      </c>
      <c r="AX38" s="54" t="str">
        <f aca="false">IF($C38="","",IFERROR(AK38*FMS*INDEX(DFrep,AB38)*INDEX(FCrep,MATCH(AC38,CatLet,0)),AN38))</f>
        <v/>
      </c>
      <c r="AY38" s="54" t="str">
        <f aca="false">IF($C38="","",IFERROR(AK38*FMS*INDEX(DFrep,AD38)*INDEX(FCrep,MATCH(AE38,CatLet,0)),AW38))</f>
        <v/>
      </c>
      <c r="AZ38" s="56" t="str">
        <f aca="false">IF($C38="","",(1+SUMPRODUCT(--(AJ38&gt;PcutDF)))&amp;CHOOSE(1+SUMPRODUCT(--(AL38&gt;CcutFC)),"A","B","C","D","E"))</f>
        <v/>
      </c>
      <c r="BA38" s="56" t="str">
        <f aca="false">IF($C38="","",(1+SUMPRODUCT(--(AU38&gt;PcutDF)))&amp;CHOOSE(1+SUMPRODUCT(--(AL38&gt;CcutFC)),"A","B","C","D","E"))</f>
        <v/>
      </c>
      <c r="BB38" s="56" t="str">
        <f aca="false">IF($C38="","",IF(AND(AB38&amp;AC38=AZ38,AD38&amp;AE38=BA38),"OK","REVISAR"))</f>
        <v/>
      </c>
      <c r="BC38" s="49" t="str">
        <f aca="false">IF($C38="","",IFERROR(INDEX(RAMlev,AB38,MATCH(AC38,CatLet,0)),""))</f>
        <v/>
      </c>
      <c r="BD38" s="49" t="str">
        <f aca="false">IF($C38="","",IFERROR(INDEX(RAMlev,AD38,MATCH(AE38,CatLet,0)),""))</f>
        <v/>
      </c>
      <c r="BE38" s="56" t="str">
        <f aca="false">IF($C38="","",IF(BD38="","",IF(BD38&lt;=ObjNivel,"Cumple","Excede")))</f>
        <v/>
      </c>
      <c r="BF38" s="54" t="str">
        <f aca="false">IF($C38="","",IF(Base="RAM",AX38,AN38))</f>
        <v/>
      </c>
      <c r="BG38" s="54" t="str">
        <f aca="false">IF($C38="","",IF(Base="RAM",AY38,AW38))</f>
        <v/>
      </c>
      <c r="BH38" s="54" t="str">
        <f aca="false">IF($C38="","",BF38-BG38)</f>
        <v/>
      </c>
      <c r="BI38" s="54" t="str">
        <f aca="false">IF($C38="","",BH38*N(P38)*Kpd/((1-N(P38))+N(P38)*Kpd))</f>
        <v/>
      </c>
      <c r="BJ38" s="54" t="str">
        <f aca="false">IF($C38="","",BH38-BI38)</f>
        <v/>
      </c>
      <c r="BK38" s="54" t="str">
        <f aca="false">IF($C38="","",IFERROR(Q38*FInsp*(1/X38-1/Y38),0))</f>
        <v/>
      </c>
      <c r="BL38" s="54" t="str">
        <f aca="false">IF($C38="","",IFERROR(Z38*Kpd*(1/X38-1/Y38),0))</f>
        <v/>
      </c>
      <c r="BM38" s="54" t="str">
        <f aca="false">IF($C38="","",IFERROR((Q38*FInsp+Z38*Kpd)/X38,0))</f>
        <v/>
      </c>
      <c r="BN38" s="54" t="str">
        <f aca="false">IF($C38="","",IFERROR((Q38*FInsp+Z38*Kpd)/Y38,0))</f>
        <v/>
      </c>
      <c r="BO38" s="54" t="str">
        <f aca="false">IF($C38="","",BH38+BK38+BL38-N(AA38))</f>
        <v/>
      </c>
      <c r="BP38" s="57" t="str">
        <f aca="false">IF($C38="","",BK38+BL38-N(AA38))</f>
        <v/>
      </c>
      <c r="BQ38" s="54" t="str">
        <f aca="false">IF($C38="","",BR38+BS38+BT38)</f>
        <v/>
      </c>
      <c r="BR38" s="54" t="str">
        <f aca="false">IF($C38="","",Q38*FInsp)</f>
        <v/>
      </c>
      <c r="BS38" s="54" t="str">
        <f aca="false">IF($C38="","",INDEX(FFScost,N(T38)+1)+RBIimpl)</f>
        <v/>
      </c>
      <c r="BT38" s="54" t="str">
        <f aca="false">IF($C38="","",IF(OR(AO38="NO APTO/REPARAR",AO38="APTO CON LIMITACIONES"),N(W38)*FRep,0))</f>
        <v/>
      </c>
      <c r="BU38" s="51" t="str">
        <f aca="false">IF($C38="","",IF(R38=0,Horiz,(1-(1+R38)^(-Horiz))/R38))</f>
        <v/>
      </c>
      <c r="BV38" s="54" t="str">
        <f aca="false">IF($C38="","",BO38*BU38)</f>
        <v/>
      </c>
      <c r="BW38" s="58" t="str">
        <f aca="false">IF($C38="","",IFERROR(BV38/BQ38,0))</f>
        <v/>
      </c>
      <c r="BX38" s="57" t="str">
        <f aca="false">IF($C38="","",BV38-BQ38)</f>
        <v/>
      </c>
      <c r="BY38" s="57" t="str">
        <f aca="false">IF($C38="","",BO38*IF(R38=0,1,1/(1+R38))-BQ38)</f>
        <v/>
      </c>
      <c r="BZ38" s="57" t="str">
        <f aca="false">IF($C38="","",BO38*IF(R38=0,10,(1-(1+R38)^(-10))/R38)-BQ38)</f>
        <v/>
      </c>
      <c r="CA38" s="57" t="str">
        <f aca="false">IF($C38="","",BP38*BU38-BQ38)</f>
        <v/>
      </c>
      <c r="CB38" s="58" t="str">
        <f aca="false">IF($C38="","",IFERROR(BP38*BU38/BQ38,0))</f>
        <v/>
      </c>
      <c r="CC38" s="50" t="str">
        <f aca="false">IF($C38="","",IF(BP38&gt;0,BQ38/BP38,"No recupera"))</f>
        <v/>
      </c>
      <c r="CD38" s="59" t="str">
        <f aca="false">IF($C38="","",IFERROR((Horiz*BO38-BQ38)/BQ38,0))</f>
        <v/>
      </c>
      <c r="CE38" s="50" t="str">
        <f aca="false">IF($C38="","",IF(BO38&gt;0,BQ38/BO38,"No recupera"))</f>
        <v/>
      </c>
      <c r="CF38" s="50" t="str">
        <f aca="false">IF($C38="","",IF(BO38&lt;=0,"No recupera",IF(R38=0,BQ38/BO38,IFERROR(-LN(1-BQ38*R38/BO38)/LN(1+R38),"No recupera"))))</f>
        <v/>
      </c>
      <c r="CG38" s="57" t="str">
        <f aca="false">IF($C38="","",BO38-BQ38/BU38)</f>
        <v/>
      </c>
      <c r="CH38" s="54" t="str">
        <f aca="false">IF($C38="","",(BM38+BF38)*BU38)</f>
        <v/>
      </c>
      <c r="CI38" s="54" t="str">
        <f aca="false">IF($C38="","",(BN38+BG38+N(AA38))*BU38+BQ38)</f>
        <v/>
      </c>
      <c r="CJ38" s="57" t="str">
        <f aca="false">IF($C38="","",IF(OR(N(T38)=0,AO38="NO APTO/REPARAR",AO38="REVISAR"),"n/a",(AK38*FMS*MAX(1,AJ38*INDEX(EffRet,MATCH(S38,EffList,0)))*AL38-AW38)*BU38-INDEX(FFScost,N(T38)+1)-BT38))</f>
        <v/>
      </c>
      <c r="CK38" s="55" t="str">
        <f aca="false">IF($C38="","",IF(BW38&gt;1,"ACEPTABLE","NO ACEPTABLE"))</f>
        <v/>
      </c>
      <c r="CL38" s="60" t="str">
        <f aca="false">IF($C38="","",IF(ISNUMBER(AG38),IF(AG38&lt;0,IF(LEFT(AO38,4)="APTO","RUL&lt;0 con FFS apto: verificar","RUL&lt;0"),""),""))</f>
        <v/>
      </c>
      <c r="CM38" s="57" t="str">
        <f aca="false">IF($C38="","",-$BQ38+IF($R38=0,$BO38*MIN(CM$15,Horiz),$BO38*(1-(1+$R38)^(-MIN(CM$15,Horiz)))/$R38))</f>
        <v/>
      </c>
      <c r="CN38" s="57" t="str">
        <f aca="false">IF($C38="","",-$BQ38+IF($R38=0,$BO38*MIN(CN$15,Horiz),$BO38*(1-(1+$R38)^(-MIN(CN$15,Horiz)))/$R38))</f>
        <v/>
      </c>
      <c r="CO38" s="57" t="str">
        <f aca="false">IF($C38="","",-$BQ38+IF($R38=0,$BO38*MIN(CO$15,Horiz),$BO38*(1-(1+$R38)^(-MIN(CO$15,Horiz)))/$R38))</f>
        <v/>
      </c>
      <c r="CP38" s="57" t="str">
        <f aca="false">IF($C38="","",-$BQ38+IF($R38=0,$BO38*MIN(CP$15,Horiz),$BO38*(1-(1+$R38)^(-MIN(CP$15,Horiz)))/$R38))</f>
        <v/>
      </c>
      <c r="CQ38" s="57" t="str">
        <f aca="false">IF($C38="","",-$BQ38+IF($R38=0,$BO38*MIN(CQ$15,Horiz),$BO38*(1-(1+$R38)^(-MIN(CQ$15,Horiz)))/$R38))</f>
        <v/>
      </c>
      <c r="CR38" s="57" t="str">
        <f aca="false">IF($C38="","",-$BQ38+IF($R38=0,$BO38*MIN(CR$15,Horiz),$BO38*(1-(1+$R38)^(-MIN(CR$15,Horiz)))/$R38))</f>
        <v/>
      </c>
      <c r="CS38" s="57" t="str">
        <f aca="false">IF($C38="","",-$BQ38+IF($R38=0,$BO38*MIN(CS$15,Horiz),$BO38*(1-(1+$R38)^(-MIN(CS$15,Horiz)))/$R38))</f>
        <v/>
      </c>
      <c r="CT38" s="57" t="str">
        <f aca="false">IF($C38="","",-$BQ38+IF($R38=0,$BO38*MIN(CT$15,Horiz),$BO38*(1-(1+$R38)^(-MIN(CT$15,Horiz)))/$R38))</f>
        <v/>
      </c>
      <c r="CU38" s="57" t="str">
        <f aca="false">IF($C38="","",-$BQ38+IF($R38=0,$BO38*MIN(CU$15,Horiz),$BO38*(1-(1+$R38)^(-MIN(CU$15,Horiz)))/$R38))</f>
        <v/>
      </c>
      <c r="CV38" s="57" t="str">
        <f aca="false">IF($C38="","",-$BQ38+IF($R38=0,$BO38*MIN(CV$15,Horiz),$BO38*(1-(1+$R38)^(-MIN(CV$15,Horiz)))/$R38))</f>
        <v/>
      </c>
      <c r="CW38" s="57" t="str">
        <f aca="false">IF($C38="","",-$BQ38+IF($R38=0,$BO38*MIN(CW$15,Horiz),$BO38*(1-(1+$R38)^(-MIN(CW$15,Horiz)))/$R38))</f>
        <v/>
      </c>
      <c r="CX38" s="57" t="str">
        <f aca="false">IF($C38="","",-$BQ38+IF($R38=0,$BO38*MIN(CX$15,Horiz),$BO38*(1-(1+$R38)^(-MIN(CX$15,Horiz)))/$R38))</f>
        <v/>
      </c>
      <c r="CY38" s="57" t="str">
        <f aca="false">IF($C38="","",-$BQ38+IF($R38=0,$BO38*MIN(CY$15,Horiz),$BO38*(1-(1+$R38)^(-MIN(CY$15,Horiz)))/$R38))</f>
        <v/>
      </c>
      <c r="CZ38" s="57" t="str">
        <f aca="false">IF($C38="","",-$BQ38+IF($R38=0,$BO38*MIN(CZ$15,Horiz),$BO38*(1-(1+$R38)^(-MIN(CZ$15,Horiz)))/$R38))</f>
        <v/>
      </c>
      <c r="DA38" s="57" t="str">
        <f aca="false">IF($C38="","",-$BQ38+IF($R38=0,$BO38*MIN(DA$15,Horiz),$BO38*(1-(1+$R38)^(-MIN(DA$15,Horiz)))/$R38))</f>
        <v/>
      </c>
      <c r="DB38" s="57" t="str">
        <f aca="false">IF($C38="","",-$BQ38+IF($R38=0,$BO38*MIN(DB$15,Horiz),$BO38*(1-(1+$R38)^(-MIN(DB$15,Horiz)))/$R38))</f>
        <v/>
      </c>
    </row>
    <row r="39" customFormat="false" ht="15" hidden="false" customHeight="false" outlineLevel="0" collapsed="false">
      <c r="A39" s="38" t="n">
        <v>24</v>
      </c>
      <c r="B39" s="39"/>
      <c r="C39" s="40"/>
      <c r="D39" s="39"/>
      <c r="E39" s="39"/>
      <c r="F39" s="41"/>
      <c r="G39" s="41"/>
      <c r="H39" s="42"/>
      <c r="I39" s="43"/>
      <c r="J39" s="44"/>
      <c r="K39" s="41"/>
      <c r="L39" s="39"/>
      <c r="M39" s="40"/>
      <c r="N39" s="45"/>
      <c r="O39" s="46"/>
      <c r="P39" s="47"/>
      <c r="Q39" s="46"/>
      <c r="R39" s="48"/>
      <c r="S39" s="40"/>
      <c r="T39" s="41"/>
      <c r="U39" s="40"/>
      <c r="V39" s="40"/>
      <c r="W39" s="46"/>
      <c r="X39" s="41"/>
      <c r="Y39" s="41"/>
      <c r="Z39" s="46"/>
      <c r="AA39" s="46"/>
      <c r="AB39" s="41"/>
      <c r="AC39" s="40"/>
      <c r="AD39" s="41"/>
      <c r="AE39" s="40"/>
      <c r="AF39" s="49" t="str">
        <f aca="false">IF($C39="","",AnioEval-K39)</f>
        <v/>
      </c>
      <c r="AG39" s="50" t="str">
        <f aca="false">IF($C39="","",IF(AND(ISNUMBER(J39),I39&gt;0),(H39-J39)/(I39*SensCR)-AF39,"n/d"))</f>
        <v/>
      </c>
      <c r="AH39" s="51" t="str">
        <f aca="false">IF($C39="","",IFERROR(I39*SensCR*AF39/H39,0))</f>
        <v/>
      </c>
      <c r="AI39" s="52" t="str">
        <f aca="false">IF($C39="","",IF(INDEX(MecTipo,MATCH(L39,MecList,0))="F",IFERROR(INDEX(SusDF,MATCH(M39,SusList,0)),1),LOOKUP(AH39,ArtLim,ArtDF)))</f>
        <v/>
      </c>
      <c r="AJ39" s="52" t="str">
        <f aca="false">IF($C39="","",IF(ISNUMBER(N39),N39,AI39))</f>
        <v/>
      </c>
      <c r="AK39" s="53" t="str">
        <f aca="false">IF($C39="","",INDEX(GFFval,MATCH(D39,GFFtipo,0)))</f>
        <v/>
      </c>
      <c r="AL39" s="54" t="str">
        <f aca="false">IF($C39="","",O39*((1-N(P39))+N(P39)*Kpd))</f>
        <v/>
      </c>
      <c r="AM39" s="53" t="str">
        <f aca="false">IF($C39="","",AK39*AJ39*FMS)</f>
        <v/>
      </c>
      <c r="AN39" s="54" t="str">
        <f aca="false">IF($C39="","",AM39*AL39)</f>
        <v/>
      </c>
      <c r="AO39" s="55" t="str">
        <f aca="false">IF($C39="","",IF(N(T39)=0,"No requerido",IF(AND(U39="Apto",V39="Pasa"),"APTO/PASA",IF(AND(U39="Apto con limitaciones",V39="Pasa"),"APTO CON LIMITACIONES",IF(U39="No apto","NO APTO/REPARAR","REVISAR")))))</f>
        <v/>
      </c>
      <c r="AP39" s="54" t="str">
        <f aca="false">IF($C39="","",AK39*FMS*IF(AO39="NO APTO/REPARAR",1,MAX(1,AJ39*INDEX(EffRet,1)*INDEX(FFSfac,MATCH(AO39,FFSlist,0))))*AL39)</f>
        <v/>
      </c>
      <c r="AQ39" s="54" t="str">
        <f aca="false">IF($C39="","",AK39*FMS*IF(AO39="NO APTO/REPARAR",1,MAX(1,AJ39*INDEX(EffRet,2)*INDEX(FFSfac,MATCH(AO39,FFSlist,0))))*AL39)</f>
        <v/>
      </c>
      <c r="AR39" s="54" t="str">
        <f aca="false">IF($C39="","",AK39*FMS*IF(AO39="NO APTO/REPARAR",1,MAX(1,AJ39*INDEX(EffRet,3)*INDEX(FFSfac,MATCH(AO39,FFSlist,0))))*AL39)</f>
        <v/>
      </c>
      <c r="AS39" s="54" t="str">
        <f aca="false">IF($C39="","",AK39*FMS*IF(AO39="NO APTO/REPARAR",1,MAX(1,AJ39*INDEX(EffRet,4)*INDEX(FFSfac,MATCH(AO39,FFSlist,0))))*AL39)</f>
        <v/>
      </c>
      <c r="AT39" s="54" t="str">
        <f aca="false">IF($C39="","",IFERROR(Q39*FInsp/INDEX(CostRel,MATCH(S39,EffList,0)),0))</f>
        <v/>
      </c>
      <c r="AU39" s="52" t="str">
        <f aca="false">IF($C39="","",IF(AO39="NO APTO/REPARAR",1,MAX(1,AJ39*INDEX(EffRet,MATCH(S39,EffList,0))*INDEX(FFSfac,MATCH(AO39,FFSlist,0)))))</f>
        <v/>
      </c>
      <c r="AV39" s="53" t="str">
        <f aca="false">IF($C39="","",AK39*AU39*FMS)</f>
        <v/>
      </c>
      <c r="AW39" s="54" t="str">
        <f aca="false">IF($C39="","",AV39*AL39)</f>
        <v/>
      </c>
      <c r="AX39" s="54" t="str">
        <f aca="false">IF($C39="","",IFERROR(AK39*FMS*INDEX(DFrep,AB39)*INDEX(FCrep,MATCH(AC39,CatLet,0)),AN39))</f>
        <v/>
      </c>
      <c r="AY39" s="54" t="str">
        <f aca="false">IF($C39="","",IFERROR(AK39*FMS*INDEX(DFrep,AD39)*INDEX(FCrep,MATCH(AE39,CatLet,0)),AW39))</f>
        <v/>
      </c>
      <c r="AZ39" s="56" t="str">
        <f aca="false">IF($C39="","",(1+SUMPRODUCT(--(AJ39&gt;PcutDF)))&amp;CHOOSE(1+SUMPRODUCT(--(AL39&gt;CcutFC)),"A","B","C","D","E"))</f>
        <v/>
      </c>
      <c r="BA39" s="56" t="str">
        <f aca="false">IF($C39="","",(1+SUMPRODUCT(--(AU39&gt;PcutDF)))&amp;CHOOSE(1+SUMPRODUCT(--(AL39&gt;CcutFC)),"A","B","C","D","E"))</f>
        <v/>
      </c>
      <c r="BB39" s="56" t="str">
        <f aca="false">IF($C39="","",IF(AND(AB39&amp;AC39=AZ39,AD39&amp;AE39=BA39),"OK","REVISAR"))</f>
        <v/>
      </c>
      <c r="BC39" s="49" t="str">
        <f aca="false">IF($C39="","",IFERROR(INDEX(RAMlev,AB39,MATCH(AC39,CatLet,0)),""))</f>
        <v/>
      </c>
      <c r="BD39" s="49" t="str">
        <f aca="false">IF($C39="","",IFERROR(INDEX(RAMlev,AD39,MATCH(AE39,CatLet,0)),""))</f>
        <v/>
      </c>
      <c r="BE39" s="56" t="str">
        <f aca="false">IF($C39="","",IF(BD39="","",IF(BD39&lt;=ObjNivel,"Cumple","Excede")))</f>
        <v/>
      </c>
      <c r="BF39" s="54" t="str">
        <f aca="false">IF($C39="","",IF(Base="RAM",AX39,AN39))</f>
        <v/>
      </c>
      <c r="BG39" s="54" t="str">
        <f aca="false">IF($C39="","",IF(Base="RAM",AY39,AW39))</f>
        <v/>
      </c>
      <c r="BH39" s="54" t="str">
        <f aca="false">IF($C39="","",BF39-BG39)</f>
        <v/>
      </c>
      <c r="BI39" s="54" t="str">
        <f aca="false">IF($C39="","",BH39*N(P39)*Kpd/((1-N(P39))+N(P39)*Kpd))</f>
        <v/>
      </c>
      <c r="BJ39" s="54" t="str">
        <f aca="false">IF($C39="","",BH39-BI39)</f>
        <v/>
      </c>
      <c r="BK39" s="54" t="str">
        <f aca="false">IF($C39="","",IFERROR(Q39*FInsp*(1/X39-1/Y39),0))</f>
        <v/>
      </c>
      <c r="BL39" s="54" t="str">
        <f aca="false">IF($C39="","",IFERROR(Z39*Kpd*(1/X39-1/Y39),0))</f>
        <v/>
      </c>
      <c r="BM39" s="54" t="str">
        <f aca="false">IF($C39="","",IFERROR((Q39*FInsp+Z39*Kpd)/X39,0))</f>
        <v/>
      </c>
      <c r="BN39" s="54" t="str">
        <f aca="false">IF($C39="","",IFERROR((Q39*FInsp+Z39*Kpd)/Y39,0))</f>
        <v/>
      </c>
      <c r="BO39" s="54" t="str">
        <f aca="false">IF($C39="","",BH39+BK39+BL39-N(AA39))</f>
        <v/>
      </c>
      <c r="BP39" s="57" t="str">
        <f aca="false">IF($C39="","",BK39+BL39-N(AA39))</f>
        <v/>
      </c>
      <c r="BQ39" s="54" t="str">
        <f aca="false">IF($C39="","",BR39+BS39+BT39)</f>
        <v/>
      </c>
      <c r="BR39" s="54" t="str">
        <f aca="false">IF($C39="","",Q39*FInsp)</f>
        <v/>
      </c>
      <c r="BS39" s="54" t="str">
        <f aca="false">IF($C39="","",INDEX(FFScost,N(T39)+1)+RBIimpl)</f>
        <v/>
      </c>
      <c r="BT39" s="54" t="str">
        <f aca="false">IF($C39="","",IF(OR(AO39="NO APTO/REPARAR",AO39="APTO CON LIMITACIONES"),N(W39)*FRep,0))</f>
        <v/>
      </c>
      <c r="BU39" s="51" t="str">
        <f aca="false">IF($C39="","",IF(R39=0,Horiz,(1-(1+R39)^(-Horiz))/R39))</f>
        <v/>
      </c>
      <c r="BV39" s="54" t="str">
        <f aca="false">IF($C39="","",BO39*BU39)</f>
        <v/>
      </c>
      <c r="BW39" s="58" t="str">
        <f aca="false">IF($C39="","",IFERROR(BV39/BQ39,0))</f>
        <v/>
      </c>
      <c r="BX39" s="57" t="str">
        <f aca="false">IF($C39="","",BV39-BQ39)</f>
        <v/>
      </c>
      <c r="BY39" s="57" t="str">
        <f aca="false">IF($C39="","",BO39*IF(R39=0,1,1/(1+R39))-BQ39)</f>
        <v/>
      </c>
      <c r="BZ39" s="57" t="str">
        <f aca="false">IF($C39="","",BO39*IF(R39=0,10,(1-(1+R39)^(-10))/R39)-BQ39)</f>
        <v/>
      </c>
      <c r="CA39" s="57" t="str">
        <f aca="false">IF($C39="","",BP39*BU39-BQ39)</f>
        <v/>
      </c>
      <c r="CB39" s="58" t="str">
        <f aca="false">IF($C39="","",IFERROR(BP39*BU39/BQ39,0))</f>
        <v/>
      </c>
      <c r="CC39" s="50" t="str">
        <f aca="false">IF($C39="","",IF(BP39&gt;0,BQ39/BP39,"No recupera"))</f>
        <v/>
      </c>
      <c r="CD39" s="59" t="str">
        <f aca="false">IF($C39="","",IFERROR((Horiz*BO39-BQ39)/BQ39,0))</f>
        <v/>
      </c>
      <c r="CE39" s="50" t="str">
        <f aca="false">IF($C39="","",IF(BO39&gt;0,BQ39/BO39,"No recupera"))</f>
        <v/>
      </c>
      <c r="CF39" s="50" t="str">
        <f aca="false">IF($C39="","",IF(BO39&lt;=0,"No recupera",IF(R39=0,BQ39/BO39,IFERROR(-LN(1-BQ39*R39/BO39)/LN(1+R39),"No recupera"))))</f>
        <v/>
      </c>
      <c r="CG39" s="57" t="str">
        <f aca="false">IF($C39="","",BO39-BQ39/BU39)</f>
        <v/>
      </c>
      <c r="CH39" s="54" t="str">
        <f aca="false">IF($C39="","",(BM39+BF39)*BU39)</f>
        <v/>
      </c>
      <c r="CI39" s="54" t="str">
        <f aca="false">IF($C39="","",(BN39+BG39+N(AA39))*BU39+BQ39)</f>
        <v/>
      </c>
      <c r="CJ39" s="57" t="str">
        <f aca="false">IF($C39="","",IF(OR(N(T39)=0,AO39="NO APTO/REPARAR",AO39="REVISAR"),"n/a",(AK39*FMS*MAX(1,AJ39*INDEX(EffRet,MATCH(S39,EffList,0)))*AL39-AW39)*BU39-INDEX(FFScost,N(T39)+1)-BT39))</f>
        <v/>
      </c>
      <c r="CK39" s="55" t="str">
        <f aca="false">IF($C39="","",IF(BW39&gt;1,"ACEPTABLE","NO ACEPTABLE"))</f>
        <v/>
      </c>
      <c r="CL39" s="60" t="str">
        <f aca="false">IF($C39="","",IF(ISNUMBER(AG39),IF(AG39&lt;0,IF(LEFT(AO39,4)="APTO","RUL&lt;0 con FFS apto: verificar","RUL&lt;0"),""),""))</f>
        <v/>
      </c>
      <c r="CM39" s="57" t="str">
        <f aca="false">IF($C39="","",-$BQ39+IF($R39=0,$BO39*MIN(CM$15,Horiz),$BO39*(1-(1+$R39)^(-MIN(CM$15,Horiz)))/$R39))</f>
        <v/>
      </c>
      <c r="CN39" s="57" t="str">
        <f aca="false">IF($C39="","",-$BQ39+IF($R39=0,$BO39*MIN(CN$15,Horiz),$BO39*(1-(1+$R39)^(-MIN(CN$15,Horiz)))/$R39))</f>
        <v/>
      </c>
      <c r="CO39" s="57" t="str">
        <f aca="false">IF($C39="","",-$BQ39+IF($R39=0,$BO39*MIN(CO$15,Horiz),$BO39*(1-(1+$R39)^(-MIN(CO$15,Horiz)))/$R39))</f>
        <v/>
      </c>
      <c r="CP39" s="57" t="str">
        <f aca="false">IF($C39="","",-$BQ39+IF($R39=0,$BO39*MIN(CP$15,Horiz),$BO39*(1-(1+$R39)^(-MIN(CP$15,Horiz)))/$R39))</f>
        <v/>
      </c>
      <c r="CQ39" s="57" t="str">
        <f aca="false">IF($C39="","",-$BQ39+IF($R39=0,$BO39*MIN(CQ$15,Horiz),$BO39*(1-(1+$R39)^(-MIN(CQ$15,Horiz)))/$R39))</f>
        <v/>
      </c>
      <c r="CR39" s="57" t="str">
        <f aca="false">IF($C39="","",-$BQ39+IF($R39=0,$BO39*MIN(CR$15,Horiz),$BO39*(1-(1+$R39)^(-MIN(CR$15,Horiz)))/$R39))</f>
        <v/>
      </c>
      <c r="CS39" s="57" t="str">
        <f aca="false">IF($C39="","",-$BQ39+IF($R39=0,$BO39*MIN(CS$15,Horiz),$BO39*(1-(1+$R39)^(-MIN(CS$15,Horiz)))/$R39))</f>
        <v/>
      </c>
      <c r="CT39" s="57" t="str">
        <f aca="false">IF($C39="","",-$BQ39+IF($R39=0,$BO39*MIN(CT$15,Horiz),$BO39*(1-(1+$R39)^(-MIN(CT$15,Horiz)))/$R39))</f>
        <v/>
      </c>
      <c r="CU39" s="57" t="str">
        <f aca="false">IF($C39="","",-$BQ39+IF($R39=0,$BO39*MIN(CU$15,Horiz),$BO39*(1-(1+$R39)^(-MIN(CU$15,Horiz)))/$R39))</f>
        <v/>
      </c>
      <c r="CV39" s="57" t="str">
        <f aca="false">IF($C39="","",-$BQ39+IF($R39=0,$BO39*MIN(CV$15,Horiz),$BO39*(1-(1+$R39)^(-MIN(CV$15,Horiz)))/$R39))</f>
        <v/>
      </c>
      <c r="CW39" s="57" t="str">
        <f aca="false">IF($C39="","",-$BQ39+IF($R39=0,$BO39*MIN(CW$15,Horiz),$BO39*(1-(1+$R39)^(-MIN(CW$15,Horiz)))/$R39))</f>
        <v/>
      </c>
      <c r="CX39" s="57" t="str">
        <f aca="false">IF($C39="","",-$BQ39+IF($R39=0,$BO39*MIN(CX$15,Horiz),$BO39*(1-(1+$R39)^(-MIN(CX$15,Horiz)))/$R39))</f>
        <v/>
      </c>
      <c r="CY39" s="57" t="str">
        <f aca="false">IF($C39="","",-$BQ39+IF($R39=0,$BO39*MIN(CY$15,Horiz),$BO39*(1-(1+$R39)^(-MIN(CY$15,Horiz)))/$R39))</f>
        <v/>
      </c>
      <c r="CZ39" s="57" t="str">
        <f aca="false">IF($C39="","",-$BQ39+IF($R39=0,$BO39*MIN(CZ$15,Horiz),$BO39*(1-(1+$R39)^(-MIN(CZ$15,Horiz)))/$R39))</f>
        <v/>
      </c>
      <c r="DA39" s="57" t="str">
        <f aca="false">IF($C39="","",-$BQ39+IF($R39=0,$BO39*MIN(DA$15,Horiz),$BO39*(1-(1+$R39)^(-MIN(DA$15,Horiz)))/$R39))</f>
        <v/>
      </c>
      <c r="DB39" s="57" t="str">
        <f aca="false">IF($C39="","",-$BQ39+IF($R39=0,$BO39*MIN(DB$15,Horiz),$BO39*(1-(1+$R39)^(-MIN(DB$15,Horiz)))/$R39))</f>
        <v/>
      </c>
    </row>
    <row r="40" customFormat="false" ht="15" hidden="false" customHeight="false" outlineLevel="0" collapsed="false">
      <c r="A40" s="38" t="n">
        <v>25</v>
      </c>
      <c r="B40" s="39"/>
      <c r="C40" s="40"/>
      <c r="D40" s="39"/>
      <c r="E40" s="39"/>
      <c r="F40" s="41"/>
      <c r="G40" s="41"/>
      <c r="H40" s="42"/>
      <c r="I40" s="43"/>
      <c r="J40" s="44"/>
      <c r="K40" s="41"/>
      <c r="L40" s="39"/>
      <c r="M40" s="40"/>
      <c r="N40" s="45"/>
      <c r="O40" s="46"/>
      <c r="P40" s="47"/>
      <c r="Q40" s="46"/>
      <c r="R40" s="48"/>
      <c r="S40" s="40"/>
      <c r="T40" s="41"/>
      <c r="U40" s="40"/>
      <c r="V40" s="40"/>
      <c r="W40" s="46"/>
      <c r="X40" s="41"/>
      <c r="Y40" s="41"/>
      <c r="Z40" s="46"/>
      <c r="AA40" s="46"/>
      <c r="AB40" s="41"/>
      <c r="AC40" s="40"/>
      <c r="AD40" s="41"/>
      <c r="AE40" s="40"/>
      <c r="AF40" s="49" t="str">
        <f aca="false">IF($C40="","",AnioEval-K40)</f>
        <v/>
      </c>
      <c r="AG40" s="50" t="str">
        <f aca="false">IF($C40="","",IF(AND(ISNUMBER(J40),I40&gt;0),(H40-J40)/(I40*SensCR)-AF40,"n/d"))</f>
        <v/>
      </c>
      <c r="AH40" s="51" t="str">
        <f aca="false">IF($C40="","",IFERROR(I40*SensCR*AF40/H40,0))</f>
        <v/>
      </c>
      <c r="AI40" s="52" t="str">
        <f aca="false">IF($C40="","",IF(INDEX(MecTipo,MATCH(L40,MecList,0))="F",IFERROR(INDEX(SusDF,MATCH(M40,SusList,0)),1),LOOKUP(AH40,ArtLim,ArtDF)))</f>
        <v/>
      </c>
      <c r="AJ40" s="52" t="str">
        <f aca="false">IF($C40="","",IF(ISNUMBER(N40),N40,AI40))</f>
        <v/>
      </c>
      <c r="AK40" s="53" t="str">
        <f aca="false">IF($C40="","",INDEX(GFFval,MATCH(D40,GFFtipo,0)))</f>
        <v/>
      </c>
      <c r="AL40" s="54" t="str">
        <f aca="false">IF($C40="","",O40*((1-N(P40))+N(P40)*Kpd))</f>
        <v/>
      </c>
      <c r="AM40" s="53" t="str">
        <f aca="false">IF($C40="","",AK40*AJ40*FMS)</f>
        <v/>
      </c>
      <c r="AN40" s="54" t="str">
        <f aca="false">IF($C40="","",AM40*AL40)</f>
        <v/>
      </c>
      <c r="AO40" s="55" t="str">
        <f aca="false">IF($C40="","",IF(N(T40)=0,"No requerido",IF(AND(U40="Apto",V40="Pasa"),"APTO/PASA",IF(AND(U40="Apto con limitaciones",V40="Pasa"),"APTO CON LIMITACIONES",IF(U40="No apto","NO APTO/REPARAR","REVISAR")))))</f>
        <v/>
      </c>
      <c r="AP40" s="54" t="str">
        <f aca="false">IF($C40="","",AK40*FMS*IF(AO40="NO APTO/REPARAR",1,MAX(1,AJ40*INDEX(EffRet,1)*INDEX(FFSfac,MATCH(AO40,FFSlist,0))))*AL40)</f>
        <v/>
      </c>
      <c r="AQ40" s="54" t="str">
        <f aca="false">IF($C40="","",AK40*FMS*IF(AO40="NO APTO/REPARAR",1,MAX(1,AJ40*INDEX(EffRet,2)*INDEX(FFSfac,MATCH(AO40,FFSlist,0))))*AL40)</f>
        <v/>
      </c>
      <c r="AR40" s="54" t="str">
        <f aca="false">IF($C40="","",AK40*FMS*IF(AO40="NO APTO/REPARAR",1,MAX(1,AJ40*INDEX(EffRet,3)*INDEX(FFSfac,MATCH(AO40,FFSlist,0))))*AL40)</f>
        <v/>
      </c>
      <c r="AS40" s="54" t="str">
        <f aca="false">IF($C40="","",AK40*FMS*IF(AO40="NO APTO/REPARAR",1,MAX(1,AJ40*INDEX(EffRet,4)*INDEX(FFSfac,MATCH(AO40,FFSlist,0))))*AL40)</f>
        <v/>
      </c>
      <c r="AT40" s="54" t="str">
        <f aca="false">IF($C40="","",IFERROR(Q40*FInsp/INDEX(CostRel,MATCH(S40,EffList,0)),0))</f>
        <v/>
      </c>
      <c r="AU40" s="52" t="str">
        <f aca="false">IF($C40="","",IF(AO40="NO APTO/REPARAR",1,MAX(1,AJ40*INDEX(EffRet,MATCH(S40,EffList,0))*INDEX(FFSfac,MATCH(AO40,FFSlist,0)))))</f>
        <v/>
      </c>
      <c r="AV40" s="53" t="str">
        <f aca="false">IF($C40="","",AK40*AU40*FMS)</f>
        <v/>
      </c>
      <c r="AW40" s="54" t="str">
        <f aca="false">IF($C40="","",AV40*AL40)</f>
        <v/>
      </c>
      <c r="AX40" s="54" t="str">
        <f aca="false">IF($C40="","",IFERROR(AK40*FMS*INDEX(DFrep,AB40)*INDEX(FCrep,MATCH(AC40,CatLet,0)),AN40))</f>
        <v/>
      </c>
      <c r="AY40" s="54" t="str">
        <f aca="false">IF($C40="","",IFERROR(AK40*FMS*INDEX(DFrep,AD40)*INDEX(FCrep,MATCH(AE40,CatLet,0)),AW40))</f>
        <v/>
      </c>
      <c r="AZ40" s="56" t="str">
        <f aca="false">IF($C40="","",(1+SUMPRODUCT(--(AJ40&gt;PcutDF)))&amp;CHOOSE(1+SUMPRODUCT(--(AL40&gt;CcutFC)),"A","B","C","D","E"))</f>
        <v/>
      </c>
      <c r="BA40" s="56" t="str">
        <f aca="false">IF($C40="","",(1+SUMPRODUCT(--(AU40&gt;PcutDF)))&amp;CHOOSE(1+SUMPRODUCT(--(AL40&gt;CcutFC)),"A","B","C","D","E"))</f>
        <v/>
      </c>
      <c r="BB40" s="56" t="str">
        <f aca="false">IF($C40="","",IF(AND(AB40&amp;AC40=AZ40,AD40&amp;AE40=BA40),"OK","REVISAR"))</f>
        <v/>
      </c>
      <c r="BC40" s="49" t="str">
        <f aca="false">IF($C40="","",IFERROR(INDEX(RAMlev,AB40,MATCH(AC40,CatLet,0)),""))</f>
        <v/>
      </c>
      <c r="BD40" s="49" t="str">
        <f aca="false">IF($C40="","",IFERROR(INDEX(RAMlev,AD40,MATCH(AE40,CatLet,0)),""))</f>
        <v/>
      </c>
      <c r="BE40" s="56" t="str">
        <f aca="false">IF($C40="","",IF(BD40="","",IF(BD40&lt;=ObjNivel,"Cumple","Excede")))</f>
        <v/>
      </c>
      <c r="BF40" s="54" t="str">
        <f aca="false">IF($C40="","",IF(Base="RAM",AX40,AN40))</f>
        <v/>
      </c>
      <c r="BG40" s="54" t="str">
        <f aca="false">IF($C40="","",IF(Base="RAM",AY40,AW40))</f>
        <v/>
      </c>
      <c r="BH40" s="54" t="str">
        <f aca="false">IF($C40="","",BF40-BG40)</f>
        <v/>
      </c>
      <c r="BI40" s="54" t="str">
        <f aca="false">IF($C40="","",BH40*N(P40)*Kpd/((1-N(P40))+N(P40)*Kpd))</f>
        <v/>
      </c>
      <c r="BJ40" s="54" t="str">
        <f aca="false">IF($C40="","",BH40-BI40)</f>
        <v/>
      </c>
      <c r="BK40" s="54" t="str">
        <f aca="false">IF($C40="","",IFERROR(Q40*FInsp*(1/X40-1/Y40),0))</f>
        <v/>
      </c>
      <c r="BL40" s="54" t="str">
        <f aca="false">IF($C40="","",IFERROR(Z40*Kpd*(1/X40-1/Y40),0))</f>
        <v/>
      </c>
      <c r="BM40" s="54" t="str">
        <f aca="false">IF($C40="","",IFERROR((Q40*FInsp+Z40*Kpd)/X40,0))</f>
        <v/>
      </c>
      <c r="BN40" s="54" t="str">
        <f aca="false">IF($C40="","",IFERROR((Q40*FInsp+Z40*Kpd)/Y40,0))</f>
        <v/>
      </c>
      <c r="BO40" s="54" t="str">
        <f aca="false">IF($C40="","",BH40+BK40+BL40-N(AA40))</f>
        <v/>
      </c>
      <c r="BP40" s="57" t="str">
        <f aca="false">IF($C40="","",BK40+BL40-N(AA40))</f>
        <v/>
      </c>
      <c r="BQ40" s="54" t="str">
        <f aca="false">IF($C40="","",BR40+BS40+BT40)</f>
        <v/>
      </c>
      <c r="BR40" s="54" t="str">
        <f aca="false">IF($C40="","",Q40*FInsp)</f>
        <v/>
      </c>
      <c r="BS40" s="54" t="str">
        <f aca="false">IF($C40="","",INDEX(FFScost,N(T40)+1)+RBIimpl)</f>
        <v/>
      </c>
      <c r="BT40" s="54" t="str">
        <f aca="false">IF($C40="","",IF(OR(AO40="NO APTO/REPARAR",AO40="APTO CON LIMITACIONES"),N(W40)*FRep,0))</f>
        <v/>
      </c>
      <c r="BU40" s="51" t="str">
        <f aca="false">IF($C40="","",IF(R40=0,Horiz,(1-(1+R40)^(-Horiz))/R40))</f>
        <v/>
      </c>
      <c r="BV40" s="54" t="str">
        <f aca="false">IF($C40="","",BO40*BU40)</f>
        <v/>
      </c>
      <c r="BW40" s="58" t="str">
        <f aca="false">IF($C40="","",IFERROR(BV40/BQ40,0))</f>
        <v/>
      </c>
      <c r="BX40" s="57" t="str">
        <f aca="false">IF($C40="","",BV40-BQ40)</f>
        <v/>
      </c>
      <c r="BY40" s="57" t="str">
        <f aca="false">IF($C40="","",BO40*IF(R40=0,1,1/(1+R40))-BQ40)</f>
        <v/>
      </c>
      <c r="BZ40" s="57" t="str">
        <f aca="false">IF($C40="","",BO40*IF(R40=0,10,(1-(1+R40)^(-10))/R40)-BQ40)</f>
        <v/>
      </c>
      <c r="CA40" s="57" t="str">
        <f aca="false">IF($C40="","",BP40*BU40-BQ40)</f>
        <v/>
      </c>
      <c r="CB40" s="58" t="str">
        <f aca="false">IF($C40="","",IFERROR(BP40*BU40/BQ40,0))</f>
        <v/>
      </c>
      <c r="CC40" s="50" t="str">
        <f aca="false">IF($C40="","",IF(BP40&gt;0,BQ40/BP40,"No recupera"))</f>
        <v/>
      </c>
      <c r="CD40" s="59" t="str">
        <f aca="false">IF($C40="","",IFERROR((Horiz*BO40-BQ40)/BQ40,0))</f>
        <v/>
      </c>
      <c r="CE40" s="50" t="str">
        <f aca="false">IF($C40="","",IF(BO40&gt;0,BQ40/BO40,"No recupera"))</f>
        <v/>
      </c>
      <c r="CF40" s="50" t="str">
        <f aca="false">IF($C40="","",IF(BO40&lt;=0,"No recupera",IF(R40=0,BQ40/BO40,IFERROR(-LN(1-BQ40*R40/BO40)/LN(1+R40),"No recupera"))))</f>
        <v/>
      </c>
      <c r="CG40" s="57" t="str">
        <f aca="false">IF($C40="","",BO40-BQ40/BU40)</f>
        <v/>
      </c>
      <c r="CH40" s="54" t="str">
        <f aca="false">IF($C40="","",(BM40+BF40)*BU40)</f>
        <v/>
      </c>
      <c r="CI40" s="54" t="str">
        <f aca="false">IF($C40="","",(BN40+BG40+N(AA40))*BU40+BQ40)</f>
        <v/>
      </c>
      <c r="CJ40" s="57" t="str">
        <f aca="false">IF($C40="","",IF(OR(N(T40)=0,AO40="NO APTO/REPARAR",AO40="REVISAR"),"n/a",(AK40*FMS*MAX(1,AJ40*INDEX(EffRet,MATCH(S40,EffList,0)))*AL40-AW40)*BU40-INDEX(FFScost,N(T40)+1)-BT40))</f>
        <v/>
      </c>
      <c r="CK40" s="55" t="str">
        <f aca="false">IF($C40="","",IF(BW40&gt;1,"ACEPTABLE","NO ACEPTABLE"))</f>
        <v/>
      </c>
      <c r="CL40" s="60" t="str">
        <f aca="false">IF($C40="","",IF(ISNUMBER(AG40),IF(AG40&lt;0,IF(LEFT(AO40,4)="APTO","RUL&lt;0 con FFS apto: verificar","RUL&lt;0"),""),""))</f>
        <v/>
      </c>
      <c r="CM40" s="57" t="str">
        <f aca="false">IF($C40="","",-$BQ40+IF($R40=0,$BO40*MIN(CM$15,Horiz),$BO40*(1-(1+$R40)^(-MIN(CM$15,Horiz)))/$R40))</f>
        <v/>
      </c>
      <c r="CN40" s="57" t="str">
        <f aca="false">IF($C40="","",-$BQ40+IF($R40=0,$BO40*MIN(CN$15,Horiz),$BO40*(1-(1+$R40)^(-MIN(CN$15,Horiz)))/$R40))</f>
        <v/>
      </c>
      <c r="CO40" s="57" t="str">
        <f aca="false">IF($C40="","",-$BQ40+IF($R40=0,$BO40*MIN(CO$15,Horiz),$BO40*(1-(1+$R40)^(-MIN(CO$15,Horiz)))/$R40))</f>
        <v/>
      </c>
      <c r="CP40" s="57" t="str">
        <f aca="false">IF($C40="","",-$BQ40+IF($R40=0,$BO40*MIN(CP$15,Horiz),$BO40*(1-(1+$R40)^(-MIN(CP$15,Horiz)))/$R40))</f>
        <v/>
      </c>
      <c r="CQ40" s="57" t="str">
        <f aca="false">IF($C40="","",-$BQ40+IF($R40=0,$BO40*MIN(CQ$15,Horiz),$BO40*(1-(1+$R40)^(-MIN(CQ$15,Horiz)))/$R40))</f>
        <v/>
      </c>
      <c r="CR40" s="57" t="str">
        <f aca="false">IF($C40="","",-$BQ40+IF($R40=0,$BO40*MIN(CR$15,Horiz),$BO40*(1-(1+$R40)^(-MIN(CR$15,Horiz)))/$R40))</f>
        <v/>
      </c>
      <c r="CS40" s="57" t="str">
        <f aca="false">IF($C40="","",-$BQ40+IF($R40=0,$BO40*MIN(CS$15,Horiz),$BO40*(1-(1+$R40)^(-MIN(CS$15,Horiz)))/$R40))</f>
        <v/>
      </c>
      <c r="CT40" s="57" t="str">
        <f aca="false">IF($C40="","",-$BQ40+IF($R40=0,$BO40*MIN(CT$15,Horiz),$BO40*(1-(1+$R40)^(-MIN(CT$15,Horiz)))/$R40))</f>
        <v/>
      </c>
      <c r="CU40" s="57" t="str">
        <f aca="false">IF($C40="","",-$BQ40+IF($R40=0,$BO40*MIN(CU$15,Horiz),$BO40*(1-(1+$R40)^(-MIN(CU$15,Horiz)))/$R40))</f>
        <v/>
      </c>
      <c r="CV40" s="57" t="str">
        <f aca="false">IF($C40="","",-$BQ40+IF($R40=0,$BO40*MIN(CV$15,Horiz),$BO40*(1-(1+$R40)^(-MIN(CV$15,Horiz)))/$R40))</f>
        <v/>
      </c>
      <c r="CW40" s="57" t="str">
        <f aca="false">IF($C40="","",-$BQ40+IF($R40=0,$BO40*MIN(CW$15,Horiz),$BO40*(1-(1+$R40)^(-MIN(CW$15,Horiz)))/$R40))</f>
        <v/>
      </c>
      <c r="CX40" s="57" t="str">
        <f aca="false">IF($C40="","",-$BQ40+IF($R40=0,$BO40*MIN(CX$15,Horiz),$BO40*(1-(1+$R40)^(-MIN(CX$15,Horiz)))/$R40))</f>
        <v/>
      </c>
      <c r="CY40" s="57" t="str">
        <f aca="false">IF($C40="","",-$BQ40+IF($R40=0,$BO40*MIN(CY$15,Horiz),$BO40*(1-(1+$R40)^(-MIN(CY$15,Horiz)))/$R40))</f>
        <v/>
      </c>
      <c r="CZ40" s="57" t="str">
        <f aca="false">IF($C40="","",-$BQ40+IF($R40=0,$BO40*MIN(CZ$15,Horiz),$BO40*(1-(1+$R40)^(-MIN(CZ$15,Horiz)))/$R40))</f>
        <v/>
      </c>
      <c r="DA40" s="57" t="str">
        <f aca="false">IF($C40="","",-$BQ40+IF($R40=0,$BO40*MIN(DA$15,Horiz),$BO40*(1-(1+$R40)^(-MIN(DA$15,Horiz)))/$R40))</f>
        <v/>
      </c>
      <c r="DB40" s="57" t="str">
        <f aca="false">IF($C40="","",-$BQ40+IF($R40=0,$BO40*MIN(DB$15,Horiz),$BO40*(1-(1+$R40)^(-MIN(DB$15,Horiz)))/$R40))</f>
        <v/>
      </c>
    </row>
    <row r="41" customFormat="false" ht="15" hidden="false" customHeight="false" outlineLevel="0" collapsed="false">
      <c r="A41" s="38" t="n">
        <v>26</v>
      </c>
      <c r="B41" s="39"/>
      <c r="C41" s="40"/>
      <c r="D41" s="39"/>
      <c r="E41" s="39"/>
      <c r="F41" s="41"/>
      <c r="G41" s="41"/>
      <c r="H41" s="42"/>
      <c r="I41" s="43"/>
      <c r="J41" s="44"/>
      <c r="K41" s="41"/>
      <c r="L41" s="39"/>
      <c r="M41" s="40"/>
      <c r="N41" s="45"/>
      <c r="O41" s="46"/>
      <c r="P41" s="47"/>
      <c r="Q41" s="46"/>
      <c r="R41" s="48"/>
      <c r="S41" s="40"/>
      <c r="T41" s="41"/>
      <c r="U41" s="40"/>
      <c r="V41" s="40"/>
      <c r="W41" s="46"/>
      <c r="X41" s="41"/>
      <c r="Y41" s="41"/>
      <c r="Z41" s="46"/>
      <c r="AA41" s="46"/>
      <c r="AB41" s="41"/>
      <c r="AC41" s="40"/>
      <c r="AD41" s="41"/>
      <c r="AE41" s="40"/>
      <c r="AF41" s="49" t="str">
        <f aca="false">IF($C41="","",AnioEval-K41)</f>
        <v/>
      </c>
      <c r="AG41" s="50" t="str">
        <f aca="false">IF($C41="","",IF(AND(ISNUMBER(J41),I41&gt;0),(H41-J41)/(I41*SensCR)-AF41,"n/d"))</f>
        <v/>
      </c>
      <c r="AH41" s="51" t="str">
        <f aca="false">IF($C41="","",IFERROR(I41*SensCR*AF41/H41,0))</f>
        <v/>
      </c>
      <c r="AI41" s="52" t="str">
        <f aca="false">IF($C41="","",IF(INDEX(MecTipo,MATCH(L41,MecList,0))="F",IFERROR(INDEX(SusDF,MATCH(M41,SusList,0)),1),LOOKUP(AH41,ArtLim,ArtDF)))</f>
        <v/>
      </c>
      <c r="AJ41" s="52" t="str">
        <f aca="false">IF($C41="","",IF(ISNUMBER(N41),N41,AI41))</f>
        <v/>
      </c>
      <c r="AK41" s="53" t="str">
        <f aca="false">IF($C41="","",INDEX(GFFval,MATCH(D41,GFFtipo,0)))</f>
        <v/>
      </c>
      <c r="AL41" s="54" t="str">
        <f aca="false">IF($C41="","",O41*((1-N(P41))+N(P41)*Kpd))</f>
        <v/>
      </c>
      <c r="AM41" s="53" t="str">
        <f aca="false">IF($C41="","",AK41*AJ41*FMS)</f>
        <v/>
      </c>
      <c r="AN41" s="54" t="str">
        <f aca="false">IF($C41="","",AM41*AL41)</f>
        <v/>
      </c>
      <c r="AO41" s="55" t="str">
        <f aca="false">IF($C41="","",IF(N(T41)=0,"No requerido",IF(AND(U41="Apto",V41="Pasa"),"APTO/PASA",IF(AND(U41="Apto con limitaciones",V41="Pasa"),"APTO CON LIMITACIONES",IF(U41="No apto","NO APTO/REPARAR","REVISAR")))))</f>
        <v/>
      </c>
      <c r="AP41" s="54" t="str">
        <f aca="false">IF($C41="","",AK41*FMS*IF(AO41="NO APTO/REPARAR",1,MAX(1,AJ41*INDEX(EffRet,1)*INDEX(FFSfac,MATCH(AO41,FFSlist,0))))*AL41)</f>
        <v/>
      </c>
      <c r="AQ41" s="54" t="str">
        <f aca="false">IF($C41="","",AK41*FMS*IF(AO41="NO APTO/REPARAR",1,MAX(1,AJ41*INDEX(EffRet,2)*INDEX(FFSfac,MATCH(AO41,FFSlist,0))))*AL41)</f>
        <v/>
      </c>
      <c r="AR41" s="54" t="str">
        <f aca="false">IF($C41="","",AK41*FMS*IF(AO41="NO APTO/REPARAR",1,MAX(1,AJ41*INDEX(EffRet,3)*INDEX(FFSfac,MATCH(AO41,FFSlist,0))))*AL41)</f>
        <v/>
      </c>
      <c r="AS41" s="54" t="str">
        <f aca="false">IF($C41="","",AK41*FMS*IF(AO41="NO APTO/REPARAR",1,MAX(1,AJ41*INDEX(EffRet,4)*INDEX(FFSfac,MATCH(AO41,FFSlist,0))))*AL41)</f>
        <v/>
      </c>
      <c r="AT41" s="54" t="str">
        <f aca="false">IF($C41="","",IFERROR(Q41*FInsp/INDEX(CostRel,MATCH(S41,EffList,0)),0))</f>
        <v/>
      </c>
      <c r="AU41" s="52" t="str">
        <f aca="false">IF($C41="","",IF(AO41="NO APTO/REPARAR",1,MAX(1,AJ41*INDEX(EffRet,MATCH(S41,EffList,0))*INDEX(FFSfac,MATCH(AO41,FFSlist,0)))))</f>
        <v/>
      </c>
      <c r="AV41" s="53" t="str">
        <f aca="false">IF($C41="","",AK41*AU41*FMS)</f>
        <v/>
      </c>
      <c r="AW41" s="54" t="str">
        <f aca="false">IF($C41="","",AV41*AL41)</f>
        <v/>
      </c>
      <c r="AX41" s="54" t="str">
        <f aca="false">IF($C41="","",IFERROR(AK41*FMS*INDEX(DFrep,AB41)*INDEX(FCrep,MATCH(AC41,CatLet,0)),AN41))</f>
        <v/>
      </c>
      <c r="AY41" s="54" t="str">
        <f aca="false">IF($C41="","",IFERROR(AK41*FMS*INDEX(DFrep,AD41)*INDEX(FCrep,MATCH(AE41,CatLet,0)),AW41))</f>
        <v/>
      </c>
      <c r="AZ41" s="56" t="str">
        <f aca="false">IF($C41="","",(1+SUMPRODUCT(--(AJ41&gt;PcutDF)))&amp;CHOOSE(1+SUMPRODUCT(--(AL41&gt;CcutFC)),"A","B","C","D","E"))</f>
        <v/>
      </c>
      <c r="BA41" s="56" t="str">
        <f aca="false">IF($C41="","",(1+SUMPRODUCT(--(AU41&gt;PcutDF)))&amp;CHOOSE(1+SUMPRODUCT(--(AL41&gt;CcutFC)),"A","B","C","D","E"))</f>
        <v/>
      </c>
      <c r="BB41" s="56" t="str">
        <f aca="false">IF($C41="","",IF(AND(AB41&amp;AC41=AZ41,AD41&amp;AE41=BA41),"OK","REVISAR"))</f>
        <v/>
      </c>
      <c r="BC41" s="49" t="str">
        <f aca="false">IF($C41="","",IFERROR(INDEX(RAMlev,AB41,MATCH(AC41,CatLet,0)),""))</f>
        <v/>
      </c>
      <c r="BD41" s="49" t="str">
        <f aca="false">IF($C41="","",IFERROR(INDEX(RAMlev,AD41,MATCH(AE41,CatLet,0)),""))</f>
        <v/>
      </c>
      <c r="BE41" s="56" t="str">
        <f aca="false">IF($C41="","",IF(BD41="","",IF(BD41&lt;=ObjNivel,"Cumple","Excede")))</f>
        <v/>
      </c>
      <c r="BF41" s="54" t="str">
        <f aca="false">IF($C41="","",IF(Base="RAM",AX41,AN41))</f>
        <v/>
      </c>
      <c r="BG41" s="54" t="str">
        <f aca="false">IF($C41="","",IF(Base="RAM",AY41,AW41))</f>
        <v/>
      </c>
      <c r="BH41" s="54" t="str">
        <f aca="false">IF($C41="","",BF41-BG41)</f>
        <v/>
      </c>
      <c r="BI41" s="54" t="str">
        <f aca="false">IF($C41="","",BH41*N(P41)*Kpd/((1-N(P41))+N(P41)*Kpd))</f>
        <v/>
      </c>
      <c r="BJ41" s="54" t="str">
        <f aca="false">IF($C41="","",BH41-BI41)</f>
        <v/>
      </c>
      <c r="BK41" s="54" t="str">
        <f aca="false">IF($C41="","",IFERROR(Q41*FInsp*(1/X41-1/Y41),0))</f>
        <v/>
      </c>
      <c r="BL41" s="54" t="str">
        <f aca="false">IF($C41="","",IFERROR(Z41*Kpd*(1/X41-1/Y41),0))</f>
        <v/>
      </c>
      <c r="BM41" s="54" t="str">
        <f aca="false">IF($C41="","",IFERROR((Q41*FInsp+Z41*Kpd)/X41,0))</f>
        <v/>
      </c>
      <c r="BN41" s="54" t="str">
        <f aca="false">IF($C41="","",IFERROR((Q41*FInsp+Z41*Kpd)/Y41,0))</f>
        <v/>
      </c>
      <c r="BO41" s="54" t="str">
        <f aca="false">IF($C41="","",BH41+BK41+BL41-N(AA41))</f>
        <v/>
      </c>
      <c r="BP41" s="57" t="str">
        <f aca="false">IF($C41="","",BK41+BL41-N(AA41))</f>
        <v/>
      </c>
      <c r="BQ41" s="54" t="str">
        <f aca="false">IF($C41="","",BR41+BS41+BT41)</f>
        <v/>
      </c>
      <c r="BR41" s="54" t="str">
        <f aca="false">IF($C41="","",Q41*FInsp)</f>
        <v/>
      </c>
      <c r="BS41" s="54" t="str">
        <f aca="false">IF($C41="","",INDEX(FFScost,N(T41)+1)+RBIimpl)</f>
        <v/>
      </c>
      <c r="BT41" s="54" t="str">
        <f aca="false">IF($C41="","",IF(OR(AO41="NO APTO/REPARAR",AO41="APTO CON LIMITACIONES"),N(W41)*FRep,0))</f>
        <v/>
      </c>
      <c r="BU41" s="51" t="str">
        <f aca="false">IF($C41="","",IF(R41=0,Horiz,(1-(1+R41)^(-Horiz))/R41))</f>
        <v/>
      </c>
      <c r="BV41" s="54" t="str">
        <f aca="false">IF($C41="","",BO41*BU41)</f>
        <v/>
      </c>
      <c r="BW41" s="58" t="str">
        <f aca="false">IF($C41="","",IFERROR(BV41/BQ41,0))</f>
        <v/>
      </c>
      <c r="BX41" s="57" t="str">
        <f aca="false">IF($C41="","",BV41-BQ41)</f>
        <v/>
      </c>
      <c r="BY41" s="57" t="str">
        <f aca="false">IF($C41="","",BO41*IF(R41=0,1,1/(1+R41))-BQ41)</f>
        <v/>
      </c>
      <c r="BZ41" s="57" t="str">
        <f aca="false">IF($C41="","",BO41*IF(R41=0,10,(1-(1+R41)^(-10))/R41)-BQ41)</f>
        <v/>
      </c>
      <c r="CA41" s="57" t="str">
        <f aca="false">IF($C41="","",BP41*BU41-BQ41)</f>
        <v/>
      </c>
      <c r="CB41" s="58" t="str">
        <f aca="false">IF($C41="","",IFERROR(BP41*BU41/BQ41,0))</f>
        <v/>
      </c>
      <c r="CC41" s="50" t="str">
        <f aca="false">IF($C41="","",IF(BP41&gt;0,BQ41/BP41,"No recupera"))</f>
        <v/>
      </c>
      <c r="CD41" s="59" t="str">
        <f aca="false">IF($C41="","",IFERROR((Horiz*BO41-BQ41)/BQ41,0))</f>
        <v/>
      </c>
      <c r="CE41" s="50" t="str">
        <f aca="false">IF($C41="","",IF(BO41&gt;0,BQ41/BO41,"No recupera"))</f>
        <v/>
      </c>
      <c r="CF41" s="50" t="str">
        <f aca="false">IF($C41="","",IF(BO41&lt;=0,"No recupera",IF(R41=0,BQ41/BO41,IFERROR(-LN(1-BQ41*R41/BO41)/LN(1+R41),"No recupera"))))</f>
        <v/>
      </c>
      <c r="CG41" s="57" t="str">
        <f aca="false">IF($C41="","",BO41-BQ41/BU41)</f>
        <v/>
      </c>
      <c r="CH41" s="54" t="str">
        <f aca="false">IF($C41="","",(BM41+BF41)*BU41)</f>
        <v/>
      </c>
      <c r="CI41" s="54" t="str">
        <f aca="false">IF($C41="","",(BN41+BG41+N(AA41))*BU41+BQ41)</f>
        <v/>
      </c>
      <c r="CJ41" s="57" t="str">
        <f aca="false">IF($C41="","",IF(OR(N(T41)=0,AO41="NO APTO/REPARAR",AO41="REVISAR"),"n/a",(AK41*FMS*MAX(1,AJ41*INDEX(EffRet,MATCH(S41,EffList,0)))*AL41-AW41)*BU41-INDEX(FFScost,N(T41)+1)-BT41))</f>
        <v/>
      </c>
      <c r="CK41" s="55" t="str">
        <f aca="false">IF($C41="","",IF(BW41&gt;1,"ACEPTABLE","NO ACEPTABLE"))</f>
        <v/>
      </c>
      <c r="CL41" s="60" t="str">
        <f aca="false">IF($C41="","",IF(ISNUMBER(AG41),IF(AG41&lt;0,IF(LEFT(AO41,4)="APTO","RUL&lt;0 con FFS apto: verificar","RUL&lt;0"),""),""))</f>
        <v/>
      </c>
      <c r="CM41" s="57" t="str">
        <f aca="false">IF($C41="","",-$BQ41+IF($R41=0,$BO41*MIN(CM$15,Horiz),$BO41*(1-(1+$R41)^(-MIN(CM$15,Horiz)))/$R41))</f>
        <v/>
      </c>
      <c r="CN41" s="57" t="str">
        <f aca="false">IF($C41="","",-$BQ41+IF($R41=0,$BO41*MIN(CN$15,Horiz),$BO41*(1-(1+$R41)^(-MIN(CN$15,Horiz)))/$R41))</f>
        <v/>
      </c>
      <c r="CO41" s="57" t="str">
        <f aca="false">IF($C41="","",-$BQ41+IF($R41=0,$BO41*MIN(CO$15,Horiz),$BO41*(1-(1+$R41)^(-MIN(CO$15,Horiz)))/$R41))</f>
        <v/>
      </c>
      <c r="CP41" s="57" t="str">
        <f aca="false">IF($C41="","",-$BQ41+IF($R41=0,$BO41*MIN(CP$15,Horiz),$BO41*(1-(1+$R41)^(-MIN(CP$15,Horiz)))/$R41))</f>
        <v/>
      </c>
      <c r="CQ41" s="57" t="str">
        <f aca="false">IF($C41="","",-$BQ41+IF($R41=0,$BO41*MIN(CQ$15,Horiz),$BO41*(1-(1+$R41)^(-MIN(CQ$15,Horiz)))/$R41))</f>
        <v/>
      </c>
      <c r="CR41" s="57" t="str">
        <f aca="false">IF($C41="","",-$BQ41+IF($R41=0,$BO41*MIN(CR$15,Horiz),$BO41*(1-(1+$R41)^(-MIN(CR$15,Horiz)))/$R41))</f>
        <v/>
      </c>
      <c r="CS41" s="57" t="str">
        <f aca="false">IF($C41="","",-$BQ41+IF($R41=0,$BO41*MIN(CS$15,Horiz),$BO41*(1-(1+$R41)^(-MIN(CS$15,Horiz)))/$R41))</f>
        <v/>
      </c>
      <c r="CT41" s="57" t="str">
        <f aca="false">IF($C41="","",-$BQ41+IF($R41=0,$BO41*MIN(CT$15,Horiz),$BO41*(1-(1+$R41)^(-MIN(CT$15,Horiz)))/$R41))</f>
        <v/>
      </c>
      <c r="CU41" s="57" t="str">
        <f aca="false">IF($C41="","",-$BQ41+IF($R41=0,$BO41*MIN(CU$15,Horiz),$BO41*(1-(1+$R41)^(-MIN(CU$15,Horiz)))/$R41))</f>
        <v/>
      </c>
      <c r="CV41" s="57" t="str">
        <f aca="false">IF($C41="","",-$BQ41+IF($R41=0,$BO41*MIN(CV$15,Horiz),$BO41*(1-(1+$R41)^(-MIN(CV$15,Horiz)))/$R41))</f>
        <v/>
      </c>
      <c r="CW41" s="57" t="str">
        <f aca="false">IF($C41="","",-$BQ41+IF($R41=0,$BO41*MIN(CW$15,Horiz),$BO41*(1-(1+$R41)^(-MIN(CW$15,Horiz)))/$R41))</f>
        <v/>
      </c>
      <c r="CX41" s="57" t="str">
        <f aca="false">IF($C41="","",-$BQ41+IF($R41=0,$BO41*MIN(CX$15,Horiz),$BO41*(1-(1+$R41)^(-MIN(CX$15,Horiz)))/$R41))</f>
        <v/>
      </c>
      <c r="CY41" s="57" t="str">
        <f aca="false">IF($C41="","",-$BQ41+IF($R41=0,$BO41*MIN(CY$15,Horiz),$BO41*(1-(1+$R41)^(-MIN(CY$15,Horiz)))/$R41))</f>
        <v/>
      </c>
      <c r="CZ41" s="57" t="str">
        <f aca="false">IF($C41="","",-$BQ41+IF($R41=0,$BO41*MIN(CZ$15,Horiz),$BO41*(1-(1+$R41)^(-MIN(CZ$15,Horiz)))/$R41))</f>
        <v/>
      </c>
      <c r="DA41" s="57" t="str">
        <f aca="false">IF($C41="","",-$BQ41+IF($R41=0,$BO41*MIN(DA$15,Horiz),$BO41*(1-(1+$R41)^(-MIN(DA$15,Horiz)))/$R41))</f>
        <v/>
      </c>
      <c r="DB41" s="57" t="str">
        <f aca="false">IF($C41="","",-$BQ41+IF($R41=0,$BO41*MIN(DB$15,Horiz),$BO41*(1-(1+$R41)^(-MIN(DB$15,Horiz)))/$R41))</f>
        <v/>
      </c>
    </row>
    <row r="42" customFormat="false" ht="15" hidden="false" customHeight="false" outlineLevel="0" collapsed="false">
      <c r="A42" s="38" t="n">
        <v>27</v>
      </c>
      <c r="B42" s="39"/>
      <c r="C42" s="40"/>
      <c r="D42" s="39"/>
      <c r="E42" s="39"/>
      <c r="F42" s="41"/>
      <c r="G42" s="41"/>
      <c r="H42" s="42"/>
      <c r="I42" s="43"/>
      <c r="J42" s="44"/>
      <c r="K42" s="41"/>
      <c r="L42" s="39"/>
      <c r="M42" s="40"/>
      <c r="N42" s="45"/>
      <c r="O42" s="46"/>
      <c r="P42" s="47"/>
      <c r="Q42" s="46"/>
      <c r="R42" s="48"/>
      <c r="S42" s="40"/>
      <c r="T42" s="41"/>
      <c r="U42" s="40"/>
      <c r="V42" s="40"/>
      <c r="W42" s="46"/>
      <c r="X42" s="41"/>
      <c r="Y42" s="41"/>
      <c r="Z42" s="46"/>
      <c r="AA42" s="46"/>
      <c r="AB42" s="41"/>
      <c r="AC42" s="40"/>
      <c r="AD42" s="41"/>
      <c r="AE42" s="40"/>
      <c r="AF42" s="49" t="str">
        <f aca="false">IF($C42="","",AnioEval-K42)</f>
        <v/>
      </c>
      <c r="AG42" s="50" t="str">
        <f aca="false">IF($C42="","",IF(AND(ISNUMBER(J42),I42&gt;0),(H42-J42)/(I42*SensCR)-AF42,"n/d"))</f>
        <v/>
      </c>
      <c r="AH42" s="51" t="str">
        <f aca="false">IF($C42="","",IFERROR(I42*SensCR*AF42/H42,0))</f>
        <v/>
      </c>
      <c r="AI42" s="52" t="str">
        <f aca="false">IF($C42="","",IF(INDEX(MecTipo,MATCH(L42,MecList,0))="F",IFERROR(INDEX(SusDF,MATCH(M42,SusList,0)),1),LOOKUP(AH42,ArtLim,ArtDF)))</f>
        <v/>
      </c>
      <c r="AJ42" s="52" t="str">
        <f aca="false">IF($C42="","",IF(ISNUMBER(N42),N42,AI42))</f>
        <v/>
      </c>
      <c r="AK42" s="53" t="str">
        <f aca="false">IF($C42="","",INDEX(GFFval,MATCH(D42,GFFtipo,0)))</f>
        <v/>
      </c>
      <c r="AL42" s="54" t="str">
        <f aca="false">IF($C42="","",O42*((1-N(P42))+N(P42)*Kpd))</f>
        <v/>
      </c>
      <c r="AM42" s="53" t="str">
        <f aca="false">IF($C42="","",AK42*AJ42*FMS)</f>
        <v/>
      </c>
      <c r="AN42" s="54" t="str">
        <f aca="false">IF($C42="","",AM42*AL42)</f>
        <v/>
      </c>
      <c r="AO42" s="55" t="str">
        <f aca="false">IF($C42="","",IF(N(T42)=0,"No requerido",IF(AND(U42="Apto",V42="Pasa"),"APTO/PASA",IF(AND(U42="Apto con limitaciones",V42="Pasa"),"APTO CON LIMITACIONES",IF(U42="No apto","NO APTO/REPARAR","REVISAR")))))</f>
        <v/>
      </c>
      <c r="AP42" s="54" t="str">
        <f aca="false">IF($C42="","",AK42*FMS*IF(AO42="NO APTO/REPARAR",1,MAX(1,AJ42*INDEX(EffRet,1)*INDEX(FFSfac,MATCH(AO42,FFSlist,0))))*AL42)</f>
        <v/>
      </c>
      <c r="AQ42" s="54" t="str">
        <f aca="false">IF($C42="","",AK42*FMS*IF(AO42="NO APTO/REPARAR",1,MAX(1,AJ42*INDEX(EffRet,2)*INDEX(FFSfac,MATCH(AO42,FFSlist,0))))*AL42)</f>
        <v/>
      </c>
      <c r="AR42" s="54" t="str">
        <f aca="false">IF($C42="","",AK42*FMS*IF(AO42="NO APTO/REPARAR",1,MAX(1,AJ42*INDEX(EffRet,3)*INDEX(FFSfac,MATCH(AO42,FFSlist,0))))*AL42)</f>
        <v/>
      </c>
      <c r="AS42" s="54" t="str">
        <f aca="false">IF($C42="","",AK42*FMS*IF(AO42="NO APTO/REPARAR",1,MAX(1,AJ42*INDEX(EffRet,4)*INDEX(FFSfac,MATCH(AO42,FFSlist,0))))*AL42)</f>
        <v/>
      </c>
      <c r="AT42" s="54" t="str">
        <f aca="false">IF($C42="","",IFERROR(Q42*FInsp/INDEX(CostRel,MATCH(S42,EffList,0)),0))</f>
        <v/>
      </c>
      <c r="AU42" s="52" t="str">
        <f aca="false">IF($C42="","",IF(AO42="NO APTO/REPARAR",1,MAX(1,AJ42*INDEX(EffRet,MATCH(S42,EffList,0))*INDEX(FFSfac,MATCH(AO42,FFSlist,0)))))</f>
        <v/>
      </c>
      <c r="AV42" s="53" t="str">
        <f aca="false">IF($C42="","",AK42*AU42*FMS)</f>
        <v/>
      </c>
      <c r="AW42" s="54" t="str">
        <f aca="false">IF($C42="","",AV42*AL42)</f>
        <v/>
      </c>
      <c r="AX42" s="54" t="str">
        <f aca="false">IF($C42="","",IFERROR(AK42*FMS*INDEX(DFrep,AB42)*INDEX(FCrep,MATCH(AC42,CatLet,0)),AN42))</f>
        <v/>
      </c>
      <c r="AY42" s="54" t="str">
        <f aca="false">IF($C42="","",IFERROR(AK42*FMS*INDEX(DFrep,AD42)*INDEX(FCrep,MATCH(AE42,CatLet,0)),AW42))</f>
        <v/>
      </c>
      <c r="AZ42" s="56" t="str">
        <f aca="false">IF($C42="","",(1+SUMPRODUCT(--(AJ42&gt;PcutDF)))&amp;CHOOSE(1+SUMPRODUCT(--(AL42&gt;CcutFC)),"A","B","C","D","E"))</f>
        <v/>
      </c>
      <c r="BA42" s="56" t="str">
        <f aca="false">IF($C42="","",(1+SUMPRODUCT(--(AU42&gt;PcutDF)))&amp;CHOOSE(1+SUMPRODUCT(--(AL42&gt;CcutFC)),"A","B","C","D","E"))</f>
        <v/>
      </c>
      <c r="BB42" s="56" t="str">
        <f aca="false">IF($C42="","",IF(AND(AB42&amp;AC42=AZ42,AD42&amp;AE42=BA42),"OK","REVISAR"))</f>
        <v/>
      </c>
      <c r="BC42" s="49" t="str">
        <f aca="false">IF($C42="","",IFERROR(INDEX(RAMlev,AB42,MATCH(AC42,CatLet,0)),""))</f>
        <v/>
      </c>
      <c r="BD42" s="49" t="str">
        <f aca="false">IF($C42="","",IFERROR(INDEX(RAMlev,AD42,MATCH(AE42,CatLet,0)),""))</f>
        <v/>
      </c>
      <c r="BE42" s="56" t="str">
        <f aca="false">IF($C42="","",IF(BD42="","",IF(BD42&lt;=ObjNivel,"Cumple","Excede")))</f>
        <v/>
      </c>
      <c r="BF42" s="54" t="str">
        <f aca="false">IF($C42="","",IF(Base="RAM",AX42,AN42))</f>
        <v/>
      </c>
      <c r="BG42" s="54" t="str">
        <f aca="false">IF($C42="","",IF(Base="RAM",AY42,AW42))</f>
        <v/>
      </c>
      <c r="BH42" s="54" t="str">
        <f aca="false">IF($C42="","",BF42-BG42)</f>
        <v/>
      </c>
      <c r="BI42" s="54" t="str">
        <f aca="false">IF($C42="","",BH42*N(P42)*Kpd/((1-N(P42))+N(P42)*Kpd))</f>
        <v/>
      </c>
      <c r="BJ42" s="54" t="str">
        <f aca="false">IF($C42="","",BH42-BI42)</f>
        <v/>
      </c>
      <c r="BK42" s="54" t="str">
        <f aca="false">IF($C42="","",IFERROR(Q42*FInsp*(1/X42-1/Y42),0))</f>
        <v/>
      </c>
      <c r="BL42" s="54" t="str">
        <f aca="false">IF($C42="","",IFERROR(Z42*Kpd*(1/X42-1/Y42),0))</f>
        <v/>
      </c>
      <c r="BM42" s="54" t="str">
        <f aca="false">IF($C42="","",IFERROR((Q42*FInsp+Z42*Kpd)/X42,0))</f>
        <v/>
      </c>
      <c r="BN42" s="54" t="str">
        <f aca="false">IF($C42="","",IFERROR((Q42*FInsp+Z42*Kpd)/Y42,0))</f>
        <v/>
      </c>
      <c r="BO42" s="54" t="str">
        <f aca="false">IF($C42="","",BH42+BK42+BL42-N(AA42))</f>
        <v/>
      </c>
      <c r="BP42" s="57" t="str">
        <f aca="false">IF($C42="","",BK42+BL42-N(AA42))</f>
        <v/>
      </c>
      <c r="BQ42" s="54" t="str">
        <f aca="false">IF($C42="","",BR42+BS42+BT42)</f>
        <v/>
      </c>
      <c r="BR42" s="54" t="str">
        <f aca="false">IF($C42="","",Q42*FInsp)</f>
        <v/>
      </c>
      <c r="BS42" s="54" t="str">
        <f aca="false">IF($C42="","",INDEX(FFScost,N(T42)+1)+RBIimpl)</f>
        <v/>
      </c>
      <c r="BT42" s="54" t="str">
        <f aca="false">IF($C42="","",IF(OR(AO42="NO APTO/REPARAR",AO42="APTO CON LIMITACIONES"),N(W42)*FRep,0))</f>
        <v/>
      </c>
      <c r="BU42" s="51" t="str">
        <f aca="false">IF($C42="","",IF(R42=0,Horiz,(1-(1+R42)^(-Horiz))/R42))</f>
        <v/>
      </c>
      <c r="BV42" s="54" t="str">
        <f aca="false">IF($C42="","",BO42*BU42)</f>
        <v/>
      </c>
      <c r="BW42" s="58" t="str">
        <f aca="false">IF($C42="","",IFERROR(BV42/BQ42,0))</f>
        <v/>
      </c>
      <c r="BX42" s="57" t="str">
        <f aca="false">IF($C42="","",BV42-BQ42)</f>
        <v/>
      </c>
      <c r="BY42" s="57" t="str">
        <f aca="false">IF($C42="","",BO42*IF(R42=0,1,1/(1+R42))-BQ42)</f>
        <v/>
      </c>
      <c r="BZ42" s="57" t="str">
        <f aca="false">IF($C42="","",BO42*IF(R42=0,10,(1-(1+R42)^(-10))/R42)-BQ42)</f>
        <v/>
      </c>
      <c r="CA42" s="57" t="str">
        <f aca="false">IF($C42="","",BP42*BU42-BQ42)</f>
        <v/>
      </c>
      <c r="CB42" s="58" t="str">
        <f aca="false">IF($C42="","",IFERROR(BP42*BU42/BQ42,0))</f>
        <v/>
      </c>
      <c r="CC42" s="50" t="str">
        <f aca="false">IF($C42="","",IF(BP42&gt;0,BQ42/BP42,"No recupera"))</f>
        <v/>
      </c>
      <c r="CD42" s="59" t="str">
        <f aca="false">IF($C42="","",IFERROR((Horiz*BO42-BQ42)/BQ42,0))</f>
        <v/>
      </c>
      <c r="CE42" s="50" t="str">
        <f aca="false">IF($C42="","",IF(BO42&gt;0,BQ42/BO42,"No recupera"))</f>
        <v/>
      </c>
      <c r="CF42" s="50" t="str">
        <f aca="false">IF($C42="","",IF(BO42&lt;=0,"No recupera",IF(R42=0,BQ42/BO42,IFERROR(-LN(1-BQ42*R42/BO42)/LN(1+R42),"No recupera"))))</f>
        <v/>
      </c>
      <c r="CG42" s="57" t="str">
        <f aca="false">IF($C42="","",BO42-BQ42/BU42)</f>
        <v/>
      </c>
      <c r="CH42" s="54" t="str">
        <f aca="false">IF($C42="","",(BM42+BF42)*BU42)</f>
        <v/>
      </c>
      <c r="CI42" s="54" t="str">
        <f aca="false">IF($C42="","",(BN42+BG42+N(AA42))*BU42+BQ42)</f>
        <v/>
      </c>
      <c r="CJ42" s="57" t="str">
        <f aca="false">IF($C42="","",IF(OR(N(T42)=0,AO42="NO APTO/REPARAR",AO42="REVISAR"),"n/a",(AK42*FMS*MAX(1,AJ42*INDEX(EffRet,MATCH(S42,EffList,0)))*AL42-AW42)*BU42-INDEX(FFScost,N(T42)+1)-BT42))</f>
        <v/>
      </c>
      <c r="CK42" s="55" t="str">
        <f aca="false">IF($C42="","",IF(BW42&gt;1,"ACEPTABLE","NO ACEPTABLE"))</f>
        <v/>
      </c>
      <c r="CL42" s="60" t="str">
        <f aca="false">IF($C42="","",IF(ISNUMBER(AG42),IF(AG42&lt;0,IF(LEFT(AO42,4)="APTO","RUL&lt;0 con FFS apto: verificar","RUL&lt;0"),""),""))</f>
        <v/>
      </c>
      <c r="CM42" s="57" t="str">
        <f aca="false">IF($C42="","",-$BQ42+IF($R42=0,$BO42*MIN(CM$15,Horiz),$BO42*(1-(1+$R42)^(-MIN(CM$15,Horiz)))/$R42))</f>
        <v/>
      </c>
      <c r="CN42" s="57" t="str">
        <f aca="false">IF($C42="","",-$BQ42+IF($R42=0,$BO42*MIN(CN$15,Horiz),$BO42*(1-(1+$R42)^(-MIN(CN$15,Horiz)))/$R42))</f>
        <v/>
      </c>
      <c r="CO42" s="57" t="str">
        <f aca="false">IF($C42="","",-$BQ42+IF($R42=0,$BO42*MIN(CO$15,Horiz),$BO42*(1-(1+$R42)^(-MIN(CO$15,Horiz)))/$R42))</f>
        <v/>
      </c>
      <c r="CP42" s="57" t="str">
        <f aca="false">IF($C42="","",-$BQ42+IF($R42=0,$BO42*MIN(CP$15,Horiz),$BO42*(1-(1+$R42)^(-MIN(CP$15,Horiz)))/$R42))</f>
        <v/>
      </c>
      <c r="CQ42" s="57" t="str">
        <f aca="false">IF($C42="","",-$BQ42+IF($R42=0,$BO42*MIN(CQ$15,Horiz),$BO42*(1-(1+$R42)^(-MIN(CQ$15,Horiz)))/$R42))</f>
        <v/>
      </c>
      <c r="CR42" s="57" t="str">
        <f aca="false">IF($C42="","",-$BQ42+IF($R42=0,$BO42*MIN(CR$15,Horiz),$BO42*(1-(1+$R42)^(-MIN(CR$15,Horiz)))/$R42))</f>
        <v/>
      </c>
      <c r="CS42" s="57" t="str">
        <f aca="false">IF($C42="","",-$BQ42+IF($R42=0,$BO42*MIN(CS$15,Horiz),$BO42*(1-(1+$R42)^(-MIN(CS$15,Horiz)))/$R42))</f>
        <v/>
      </c>
      <c r="CT42" s="57" t="str">
        <f aca="false">IF($C42="","",-$BQ42+IF($R42=0,$BO42*MIN(CT$15,Horiz),$BO42*(1-(1+$R42)^(-MIN(CT$15,Horiz)))/$R42))</f>
        <v/>
      </c>
      <c r="CU42" s="57" t="str">
        <f aca="false">IF($C42="","",-$BQ42+IF($R42=0,$BO42*MIN(CU$15,Horiz),$BO42*(1-(1+$R42)^(-MIN(CU$15,Horiz)))/$R42))</f>
        <v/>
      </c>
      <c r="CV42" s="57" t="str">
        <f aca="false">IF($C42="","",-$BQ42+IF($R42=0,$BO42*MIN(CV$15,Horiz),$BO42*(1-(1+$R42)^(-MIN(CV$15,Horiz)))/$R42))</f>
        <v/>
      </c>
      <c r="CW42" s="57" t="str">
        <f aca="false">IF($C42="","",-$BQ42+IF($R42=0,$BO42*MIN(CW$15,Horiz),$BO42*(1-(1+$R42)^(-MIN(CW$15,Horiz)))/$R42))</f>
        <v/>
      </c>
      <c r="CX42" s="57" t="str">
        <f aca="false">IF($C42="","",-$BQ42+IF($R42=0,$BO42*MIN(CX$15,Horiz),$BO42*(1-(1+$R42)^(-MIN(CX$15,Horiz)))/$R42))</f>
        <v/>
      </c>
      <c r="CY42" s="57" t="str">
        <f aca="false">IF($C42="","",-$BQ42+IF($R42=0,$BO42*MIN(CY$15,Horiz),$BO42*(1-(1+$R42)^(-MIN(CY$15,Horiz)))/$R42))</f>
        <v/>
      </c>
      <c r="CZ42" s="57" t="str">
        <f aca="false">IF($C42="","",-$BQ42+IF($R42=0,$BO42*MIN(CZ$15,Horiz),$BO42*(1-(1+$R42)^(-MIN(CZ$15,Horiz)))/$R42))</f>
        <v/>
      </c>
      <c r="DA42" s="57" t="str">
        <f aca="false">IF($C42="","",-$BQ42+IF($R42=0,$BO42*MIN(DA$15,Horiz),$BO42*(1-(1+$R42)^(-MIN(DA$15,Horiz)))/$R42))</f>
        <v/>
      </c>
      <c r="DB42" s="57" t="str">
        <f aca="false">IF($C42="","",-$BQ42+IF($R42=0,$BO42*MIN(DB$15,Horiz),$BO42*(1-(1+$R42)^(-MIN(DB$15,Horiz)))/$R42))</f>
        <v/>
      </c>
    </row>
    <row r="43" customFormat="false" ht="15" hidden="false" customHeight="false" outlineLevel="0" collapsed="false">
      <c r="A43" s="38" t="n">
        <v>28</v>
      </c>
      <c r="B43" s="39"/>
      <c r="C43" s="40"/>
      <c r="D43" s="39"/>
      <c r="E43" s="39"/>
      <c r="F43" s="41"/>
      <c r="G43" s="41"/>
      <c r="H43" s="42"/>
      <c r="I43" s="43"/>
      <c r="J43" s="44"/>
      <c r="K43" s="41"/>
      <c r="L43" s="39"/>
      <c r="M43" s="40"/>
      <c r="N43" s="45"/>
      <c r="O43" s="46"/>
      <c r="P43" s="47"/>
      <c r="Q43" s="46"/>
      <c r="R43" s="48"/>
      <c r="S43" s="40"/>
      <c r="T43" s="41"/>
      <c r="U43" s="40"/>
      <c r="V43" s="40"/>
      <c r="W43" s="46"/>
      <c r="X43" s="41"/>
      <c r="Y43" s="41"/>
      <c r="Z43" s="46"/>
      <c r="AA43" s="46"/>
      <c r="AB43" s="41"/>
      <c r="AC43" s="40"/>
      <c r="AD43" s="41"/>
      <c r="AE43" s="40"/>
      <c r="AF43" s="49" t="str">
        <f aca="false">IF($C43="","",AnioEval-K43)</f>
        <v/>
      </c>
      <c r="AG43" s="50" t="str">
        <f aca="false">IF($C43="","",IF(AND(ISNUMBER(J43),I43&gt;0),(H43-J43)/(I43*SensCR)-AF43,"n/d"))</f>
        <v/>
      </c>
      <c r="AH43" s="51" t="str">
        <f aca="false">IF($C43="","",IFERROR(I43*SensCR*AF43/H43,0))</f>
        <v/>
      </c>
      <c r="AI43" s="52" t="str">
        <f aca="false">IF($C43="","",IF(INDEX(MecTipo,MATCH(L43,MecList,0))="F",IFERROR(INDEX(SusDF,MATCH(M43,SusList,0)),1),LOOKUP(AH43,ArtLim,ArtDF)))</f>
        <v/>
      </c>
      <c r="AJ43" s="52" t="str">
        <f aca="false">IF($C43="","",IF(ISNUMBER(N43),N43,AI43))</f>
        <v/>
      </c>
      <c r="AK43" s="53" t="str">
        <f aca="false">IF($C43="","",INDEX(GFFval,MATCH(D43,GFFtipo,0)))</f>
        <v/>
      </c>
      <c r="AL43" s="54" t="str">
        <f aca="false">IF($C43="","",O43*((1-N(P43))+N(P43)*Kpd))</f>
        <v/>
      </c>
      <c r="AM43" s="53" t="str">
        <f aca="false">IF($C43="","",AK43*AJ43*FMS)</f>
        <v/>
      </c>
      <c r="AN43" s="54" t="str">
        <f aca="false">IF($C43="","",AM43*AL43)</f>
        <v/>
      </c>
      <c r="AO43" s="55" t="str">
        <f aca="false">IF($C43="","",IF(N(T43)=0,"No requerido",IF(AND(U43="Apto",V43="Pasa"),"APTO/PASA",IF(AND(U43="Apto con limitaciones",V43="Pasa"),"APTO CON LIMITACIONES",IF(U43="No apto","NO APTO/REPARAR","REVISAR")))))</f>
        <v/>
      </c>
      <c r="AP43" s="54" t="str">
        <f aca="false">IF($C43="","",AK43*FMS*IF(AO43="NO APTO/REPARAR",1,MAX(1,AJ43*INDEX(EffRet,1)*INDEX(FFSfac,MATCH(AO43,FFSlist,0))))*AL43)</f>
        <v/>
      </c>
      <c r="AQ43" s="54" t="str">
        <f aca="false">IF($C43="","",AK43*FMS*IF(AO43="NO APTO/REPARAR",1,MAX(1,AJ43*INDEX(EffRet,2)*INDEX(FFSfac,MATCH(AO43,FFSlist,0))))*AL43)</f>
        <v/>
      </c>
      <c r="AR43" s="54" t="str">
        <f aca="false">IF($C43="","",AK43*FMS*IF(AO43="NO APTO/REPARAR",1,MAX(1,AJ43*INDEX(EffRet,3)*INDEX(FFSfac,MATCH(AO43,FFSlist,0))))*AL43)</f>
        <v/>
      </c>
      <c r="AS43" s="54" t="str">
        <f aca="false">IF($C43="","",AK43*FMS*IF(AO43="NO APTO/REPARAR",1,MAX(1,AJ43*INDEX(EffRet,4)*INDEX(FFSfac,MATCH(AO43,FFSlist,0))))*AL43)</f>
        <v/>
      </c>
      <c r="AT43" s="54" t="str">
        <f aca="false">IF($C43="","",IFERROR(Q43*FInsp/INDEX(CostRel,MATCH(S43,EffList,0)),0))</f>
        <v/>
      </c>
      <c r="AU43" s="52" t="str">
        <f aca="false">IF($C43="","",IF(AO43="NO APTO/REPARAR",1,MAX(1,AJ43*INDEX(EffRet,MATCH(S43,EffList,0))*INDEX(FFSfac,MATCH(AO43,FFSlist,0)))))</f>
        <v/>
      </c>
      <c r="AV43" s="53" t="str">
        <f aca="false">IF($C43="","",AK43*AU43*FMS)</f>
        <v/>
      </c>
      <c r="AW43" s="54" t="str">
        <f aca="false">IF($C43="","",AV43*AL43)</f>
        <v/>
      </c>
      <c r="AX43" s="54" t="str">
        <f aca="false">IF($C43="","",IFERROR(AK43*FMS*INDEX(DFrep,AB43)*INDEX(FCrep,MATCH(AC43,CatLet,0)),AN43))</f>
        <v/>
      </c>
      <c r="AY43" s="54" t="str">
        <f aca="false">IF($C43="","",IFERROR(AK43*FMS*INDEX(DFrep,AD43)*INDEX(FCrep,MATCH(AE43,CatLet,0)),AW43))</f>
        <v/>
      </c>
      <c r="AZ43" s="56" t="str">
        <f aca="false">IF($C43="","",(1+SUMPRODUCT(--(AJ43&gt;PcutDF)))&amp;CHOOSE(1+SUMPRODUCT(--(AL43&gt;CcutFC)),"A","B","C","D","E"))</f>
        <v/>
      </c>
      <c r="BA43" s="56" t="str">
        <f aca="false">IF($C43="","",(1+SUMPRODUCT(--(AU43&gt;PcutDF)))&amp;CHOOSE(1+SUMPRODUCT(--(AL43&gt;CcutFC)),"A","B","C","D","E"))</f>
        <v/>
      </c>
      <c r="BB43" s="56" t="str">
        <f aca="false">IF($C43="","",IF(AND(AB43&amp;AC43=AZ43,AD43&amp;AE43=BA43),"OK","REVISAR"))</f>
        <v/>
      </c>
      <c r="BC43" s="49" t="str">
        <f aca="false">IF($C43="","",IFERROR(INDEX(RAMlev,AB43,MATCH(AC43,CatLet,0)),""))</f>
        <v/>
      </c>
      <c r="BD43" s="49" t="str">
        <f aca="false">IF($C43="","",IFERROR(INDEX(RAMlev,AD43,MATCH(AE43,CatLet,0)),""))</f>
        <v/>
      </c>
      <c r="BE43" s="56" t="str">
        <f aca="false">IF($C43="","",IF(BD43="","",IF(BD43&lt;=ObjNivel,"Cumple","Excede")))</f>
        <v/>
      </c>
      <c r="BF43" s="54" t="str">
        <f aca="false">IF($C43="","",IF(Base="RAM",AX43,AN43))</f>
        <v/>
      </c>
      <c r="BG43" s="54" t="str">
        <f aca="false">IF($C43="","",IF(Base="RAM",AY43,AW43))</f>
        <v/>
      </c>
      <c r="BH43" s="54" t="str">
        <f aca="false">IF($C43="","",BF43-BG43)</f>
        <v/>
      </c>
      <c r="BI43" s="54" t="str">
        <f aca="false">IF($C43="","",BH43*N(P43)*Kpd/((1-N(P43))+N(P43)*Kpd))</f>
        <v/>
      </c>
      <c r="BJ43" s="54" t="str">
        <f aca="false">IF($C43="","",BH43-BI43)</f>
        <v/>
      </c>
      <c r="BK43" s="54" t="str">
        <f aca="false">IF($C43="","",IFERROR(Q43*FInsp*(1/X43-1/Y43),0))</f>
        <v/>
      </c>
      <c r="BL43" s="54" t="str">
        <f aca="false">IF($C43="","",IFERROR(Z43*Kpd*(1/X43-1/Y43),0))</f>
        <v/>
      </c>
      <c r="BM43" s="54" t="str">
        <f aca="false">IF($C43="","",IFERROR((Q43*FInsp+Z43*Kpd)/X43,0))</f>
        <v/>
      </c>
      <c r="BN43" s="54" t="str">
        <f aca="false">IF($C43="","",IFERROR((Q43*FInsp+Z43*Kpd)/Y43,0))</f>
        <v/>
      </c>
      <c r="BO43" s="54" t="str">
        <f aca="false">IF($C43="","",BH43+BK43+BL43-N(AA43))</f>
        <v/>
      </c>
      <c r="BP43" s="57" t="str">
        <f aca="false">IF($C43="","",BK43+BL43-N(AA43))</f>
        <v/>
      </c>
      <c r="BQ43" s="54" t="str">
        <f aca="false">IF($C43="","",BR43+BS43+BT43)</f>
        <v/>
      </c>
      <c r="BR43" s="54" t="str">
        <f aca="false">IF($C43="","",Q43*FInsp)</f>
        <v/>
      </c>
      <c r="BS43" s="54" t="str">
        <f aca="false">IF($C43="","",INDEX(FFScost,N(T43)+1)+RBIimpl)</f>
        <v/>
      </c>
      <c r="BT43" s="54" t="str">
        <f aca="false">IF($C43="","",IF(OR(AO43="NO APTO/REPARAR",AO43="APTO CON LIMITACIONES"),N(W43)*FRep,0))</f>
        <v/>
      </c>
      <c r="BU43" s="51" t="str">
        <f aca="false">IF($C43="","",IF(R43=0,Horiz,(1-(1+R43)^(-Horiz))/R43))</f>
        <v/>
      </c>
      <c r="BV43" s="54" t="str">
        <f aca="false">IF($C43="","",BO43*BU43)</f>
        <v/>
      </c>
      <c r="BW43" s="58" t="str">
        <f aca="false">IF($C43="","",IFERROR(BV43/BQ43,0))</f>
        <v/>
      </c>
      <c r="BX43" s="57" t="str">
        <f aca="false">IF($C43="","",BV43-BQ43)</f>
        <v/>
      </c>
      <c r="BY43" s="57" t="str">
        <f aca="false">IF($C43="","",BO43*IF(R43=0,1,1/(1+R43))-BQ43)</f>
        <v/>
      </c>
      <c r="BZ43" s="57" t="str">
        <f aca="false">IF($C43="","",BO43*IF(R43=0,10,(1-(1+R43)^(-10))/R43)-BQ43)</f>
        <v/>
      </c>
      <c r="CA43" s="57" t="str">
        <f aca="false">IF($C43="","",BP43*BU43-BQ43)</f>
        <v/>
      </c>
      <c r="CB43" s="58" t="str">
        <f aca="false">IF($C43="","",IFERROR(BP43*BU43/BQ43,0))</f>
        <v/>
      </c>
      <c r="CC43" s="50" t="str">
        <f aca="false">IF($C43="","",IF(BP43&gt;0,BQ43/BP43,"No recupera"))</f>
        <v/>
      </c>
      <c r="CD43" s="59" t="str">
        <f aca="false">IF($C43="","",IFERROR((Horiz*BO43-BQ43)/BQ43,0))</f>
        <v/>
      </c>
      <c r="CE43" s="50" t="str">
        <f aca="false">IF($C43="","",IF(BO43&gt;0,BQ43/BO43,"No recupera"))</f>
        <v/>
      </c>
      <c r="CF43" s="50" t="str">
        <f aca="false">IF($C43="","",IF(BO43&lt;=0,"No recupera",IF(R43=0,BQ43/BO43,IFERROR(-LN(1-BQ43*R43/BO43)/LN(1+R43),"No recupera"))))</f>
        <v/>
      </c>
      <c r="CG43" s="57" t="str">
        <f aca="false">IF($C43="","",BO43-BQ43/BU43)</f>
        <v/>
      </c>
      <c r="CH43" s="54" t="str">
        <f aca="false">IF($C43="","",(BM43+BF43)*BU43)</f>
        <v/>
      </c>
      <c r="CI43" s="54" t="str">
        <f aca="false">IF($C43="","",(BN43+BG43+N(AA43))*BU43+BQ43)</f>
        <v/>
      </c>
      <c r="CJ43" s="57" t="str">
        <f aca="false">IF($C43="","",IF(OR(N(T43)=0,AO43="NO APTO/REPARAR",AO43="REVISAR"),"n/a",(AK43*FMS*MAX(1,AJ43*INDEX(EffRet,MATCH(S43,EffList,0)))*AL43-AW43)*BU43-INDEX(FFScost,N(T43)+1)-BT43))</f>
        <v/>
      </c>
      <c r="CK43" s="55" t="str">
        <f aca="false">IF($C43="","",IF(BW43&gt;1,"ACEPTABLE","NO ACEPTABLE"))</f>
        <v/>
      </c>
      <c r="CL43" s="60" t="str">
        <f aca="false">IF($C43="","",IF(ISNUMBER(AG43),IF(AG43&lt;0,IF(LEFT(AO43,4)="APTO","RUL&lt;0 con FFS apto: verificar","RUL&lt;0"),""),""))</f>
        <v/>
      </c>
      <c r="CM43" s="57" t="str">
        <f aca="false">IF($C43="","",-$BQ43+IF($R43=0,$BO43*MIN(CM$15,Horiz),$BO43*(1-(1+$R43)^(-MIN(CM$15,Horiz)))/$R43))</f>
        <v/>
      </c>
      <c r="CN43" s="57" t="str">
        <f aca="false">IF($C43="","",-$BQ43+IF($R43=0,$BO43*MIN(CN$15,Horiz),$BO43*(1-(1+$R43)^(-MIN(CN$15,Horiz)))/$R43))</f>
        <v/>
      </c>
      <c r="CO43" s="57" t="str">
        <f aca="false">IF($C43="","",-$BQ43+IF($R43=0,$BO43*MIN(CO$15,Horiz),$BO43*(1-(1+$R43)^(-MIN(CO$15,Horiz)))/$R43))</f>
        <v/>
      </c>
      <c r="CP43" s="57" t="str">
        <f aca="false">IF($C43="","",-$BQ43+IF($R43=0,$BO43*MIN(CP$15,Horiz),$BO43*(1-(1+$R43)^(-MIN(CP$15,Horiz)))/$R43))</f>
        <v/>
      </c>
      <c r="CQ43" s="57" t="str">
        <f aca="false">IF($C43="","",-$BQ43+IF($R43=0,$BO43*MIN(CQ$15,Horiz),$BO43*(1-(1+$R43)^(-MIN(CQ$15,Horiz)))/$R43))</f>
        <v/>
      </c>
      <c r="CR43" s="57" t="str">
        <f aca="false">IF($C43="","",-$BQ43+IF($R43=0,$BO43*MIN(CR$15,Horiz),$BO43*(1-(1+$R43)^(-MIN(CR$15,Horiz)))/$R43))</f>
        <v/>
      </c>
      <c r="CS43" s="57" t="str">
        <f aca="false">IF($C43="","",-$BQ43+IF($R43=0,$BO43*MIN(CS$15,Horiz),$BO43*(1-(1+$R43)^(-MIN(CS$15,Horiz)))/$R43))</f>
        <v/>
      </c>
      <c r="CT43" s="57" t="str">
        <f aca="false">IF($C43="","",-$BQ43+IF($R43=0,$BO43*MIN(CT$15,Horiz),$BO43*(1-(1+$R43)^(-MIN(CT$15,Horiz)))/$R43))</f>
        <v/>
      </c>
      <c r="CU43" s="57" t="str">
        <f aca="false">IF($C43="","",-$BQ43+IF($R43=0,$BO43*MIN(CU$15,Horiz),$BO43*(1-(1+$R43)^(-MIN(CU$15,Horiz)))/$R43))</f>
        <v/>
      </c>
      <c r="CV43" s="57" t="str">
        <f aca="false">IF($C43="","",-$BQ43+IF($R43=0,$BO43*MIN(CV$15,Horiz),$BO43*(1-(1+$R43)^(-MIN(CV$15,Horiz)))/$R43))</f>
        <v/>
      </c>
      <c r="CW43" s="57" t="str">
        <f aca="false">IF($C43="","",-$BQ43+IF($R43=0,$BO43*MIN(CW$15,Horiz),$BO43*(1-(1+$R43)^(-MIN(CW$15,Horiz)))/$R43))</f>
        <v/>
      </c>
      <c r="CX43" s="57" t="str">
        <f aca="false">IF($C43="","",-$BQ43+IF($R43=0,$BO43*MIN(CX$15,Horiz),$BO43*(1-(1+$R43)^(-MIN(CX$15,Horiz)))/$R43))</f>
        <v/>
      </c>
      <c r="CY43" s="57" t="str">
        <f aca="false">IF($C43="","",-$BQ43+IF($R43=0,$BO43*MIN(CY$15,Horiz),$BO43*(1-(1+$R43)^(-MIN(CY$15,Horiz)))/$R43))</f>
        <v/>
      </c>
      <c r="CZ43" s="57" t="str">
        <f aca="false">IF($C43="","",-$BQ43+IF($R43=0,$BO43*MIN(CZ$15,Horiz),$BO43*(1-(1+$R43)^(-MIN(CZ$15,Horiz)))/$R43))</f>
        <v/>
      </c>
      <c r="DA43" s="57" t="str">
        <f aca="false">IF($C43="","",-$BQ43+IF($R43=0,$BO43*MIN(DA$15,Horiz),$BO43*(1-(1+$R43)^(-MIN(DA$15,Horiz)))/$R43))</f>
        <v/>
      </c>
      <c r="DB43" s="57" t="str">
        <f aca="false">IF($C43="","",-$BQ43+IF($R43=0,$BO43*MIN(DB$15,Horiz),$BO43*(1-(1+$R43)^(-MIN(DB$15,Horiz)))/$R43))</f>
        <v/>
      </c>
    </row>
    <row r="44" customFormat="false" ht="15" hidden="false" customHeight="false" outlineLevel="0" collapsed="false">
      <c r="A44" s="38" t="n">
        <v>29</v>
      </c>
      <c r="B44" s="39"/>
      <c r="C44" s="40"/>
      <c r="D44" s="39"/>
      <c r="E44" s="39"/>
      <c r="F44" s="41"/>
      <c r="G44" s="41"/>
      <c r="H44" s="42"/>
      <c r="I44" s="43"/>
      <c r="J44" s="44"/>
      <c r="K44" s="41"/>
      <c r="L44" s="39"/>
      <c r="M44" s="40"/>
      <c r="N44" s="45"/>
      <c r="O44" s="46"/>
      <c r="P44" s="47"/>
      <c r="Q44" s="46"/>
      <c r="R44" s="48"/>
      <c r="S44" s="40"/>
      <c r="T44" s="41"/>
      <c r="U44" s="40"/>
      <c r="V44" s="40"/>
      <c r="W44" s="46"/>
      <c r="X44" s="41"/>
      <c r="Y44" s="41"/>
      <c r="Z44" s="46"/>
      <c r="AA44" s="46"/>
      <c r="AB44" s="41"/>
      <c r="AC44" s="40"/>
      <c r="AD44" s="41"/>
      <c r="AE44" s="40"/>
      <c r="AF44" s="49" t="str">
        <f aca="false">IF($C44="","",AnioEval-K44)</f>
        <v/>
      </c>
      <c r="AG44" s="50" t="str">
        <f aca="false">IF($C44="","",IF(AND(ISNUMBER(J44),I44&gt;0),(H44-J44)/(I44*SensCR)-AF44,"n/d"))</f>
        <v/>
      </c>
      <c r="AH44" s="51" t="str">
        <f aca="false">IF($C44="","",IFERROR(I44*SensCR*AF44/H44,0))</f>
        <v/>
      </c>
      <c r="AI44" s="52" t="str">
        <f aca="false">IF($C44="","",IF(INDEX(MecTipo,MATCH(L44,MecList,0))="F",IFERROR(INDEX(SusDF,MATCH(M44,SusList,0)),1),LOOKUP(AH44,ArtLim,ArtDF)))</f>
        <v/>
      </c>
      <c r="AJ44" s="52" t="str">
        <f aca="false">IF($C44="","",IF(ISNUMBER(N44),N44,AI44))</f>
        <v/>
      </c>
      <c r="AK44" s="53" t="str">
        <f aca="false">IF($C44="","",INDEX(GFFval,MATCH(D44,GFFtipo,0)))</f>
        <v/>
      </c>
      <c r="AL44" s="54" t="str">
        <f aca="false">IF($C44="","",O44*((1-N(P44))+N(P44)*Kpd))</f>
        <v/>
      </c>
      <c r="AM44" s="53" t="str">
        <f aca="false">IF($C44="","",AK44*AJ44*FMS)</f>
        <v/>
      </c>
      <c r="AN44" s="54" t="str">
        <f aca="false">IF($C44="","",AM44*AL44)</f>
        <v/>
      </c>
      <c r="AO44" s="55" t="str">
        <f aca="false">IF($C44="","",IF(N(T44)=0,"No requerido",IF(AND(U44="Apto",V44="Pasa"),"APTO/PASA",IF(AND(U44="Apto con limitaciones",V44="Pasa"),"APTO CON LIMITACIONES",IF(U44="No apto","NO APTO/REPARAR","REVISAR")))))</f>
        <v/>
      </c>
      <c r="AP44" s="54" t="str">
        <f aca="false">IF($C44="","",AK44*FMS*IF(AO44="NO APTO/REPARAR",1,MAX(1,AJ44*INDEX(EffRet,1)*INDEX(FFSfac,MATCH(AO44,FFSlist,0))))*AL44)</f>
        <v/>
      </c>
      <c r="AQ44" s="54" t="str">
        <f aca="false">IF($C44="","",AK44*FMS*IF(AO44="NO APTO/REPARAR",1,MAX(1,AJ44*INDEX(EffRet,2)*INDEX(FFSfac,MATCH(AO44,FFSlist,0))))*AL44)</f>
        <v/>
      </c>
      <c r="AR44" s="54" t="str">
        <f aca="false">IF($C44="","",AK44*FMS*IF(AO44="NO APTO/REPARAR",1,MAX(1,AJ44*INDEX(EffRet,3)*INDEX(FFSfac,MATCH(AO44,FFSlist,0))))*AL44)</f>
        <v/>
      </c>
      <c r="AS44" s="54" t="str">
        <f aca="false">IF($C44="","",AK44*FMS*IF(AO44="NO APTO/REPARAR",1,MAX(1,AJ44*INDEX(EffRet,4)*INDEX(FFSfac,MATCH(AO44,FFSlist,0))))*AL44)</f>
        <v/>
      </c>
      <c r="AT44" s="54" t="str">
        <f aca="false">IF($C44="","",IFERROR(Q44*FInsp/INDEX(CostRel,MATCH(S44,EffList,0)),0))</f>
        <v/>
      </c>
      <c r="AU44" s="52" t="str">
        <f aca="false">IF($C44="","",IF(AO44="NO APTO/REPARAR",1,MAX(1,AJ44*INDEX(EffRet,MATCH(S44,EffList,0))*INDEX(FFSfac,MATCH(AO44,FFSlist,0)))))</f>
        <v/>
      </c>
      <c r="AV44" s="53" t="str">
        <f aca="false">IF($C44="","",AK44*AU44*FMS)</f>
        <v/>
      </c>
      <c r="AW44" s="54" t="str">
        <f aca="false">IF($C44="","",AV44*AL44)</f>
        <v/>
      </c>
      <c r="AX44" s="54" t="str">
        <f aca="false">IF($C44="","",IFERROR(AK44*FMS*INDEX(DFrep,AB44)*INDEX(FCrep,MATCH(AC44,CatLet,0)),AN44))</f>
        <v/>
      </c>
      <c r="AY44" s="54" t="str">
        <f aca="false">IF($C44="","",IFERROR(AK44*FMS*INDEX(DFrep,AD44)*INDEX(FCrep,MATCH(AE44,CatLet,0)),AW44))</f>
        <v/>
      </c>
      <c r="AZ44" s="56" t="str">
        <f aca="false">IF($C44="","",(1+SUMPRODUCT(--(AJ44&gt;PcutDF)))&amp;CHOOSE(1+SUMPRODUCT(--(AL44&gt;CcutFC)),"A","B","C","D","E"))</f>
        <v/>
      </c>
      <c r="BA44" s="56" t="str">
        <f aca="false">IF($C44="","",(1+SUMPRODUCT(--(AU44&gt;PcutDF)))&amp;CHOOSE(1+SUMPRODUCT(--(AL44&gt;CcutFC)),"A","B","C","D","E"))</f>
        <v/>
      </c>
      <c r="BB44" s="56" t="str">
        <f aca="false">IF($C44="","",IF(AND(AB44&amp;AC44=AZ44,AD44&amp;AE44=BA44),"OK","REVISAR"))</f>
        <v/>
      </c>
      <c r="BC44" s="49" t="str">
        <f aca="false">IF($C44="","",IFERROR(INDEX(RAMlev,AB44,MATCH(AC44,CatLet,0)),""))</f>
        <v/>
      </c>
      <c r="BD44" s="49" t="str">
        <f aca="false">IF($C44="","",IFERROR(INDEX(RAMlev,AD44,MATCH(AE44,CatLet,0)),""))</f>
        <v/>
      </c>
      <c r="BE44" s="56" t="str">
        <f aca="false">IF($C44="","",IF(BD44="","",IF(BD44&lt;=ObjNivel,"Cumple","Excede")))</f>
        <v/>
      </c>
      <c r="BF44" s="54" t="str">
        <f aca="false">IF($C44="","",IF(Base="RAM",AX44,AN44))</f>
        <v/>
      </c>
      <c r="BG44" s="54" t="str">
        <f aca="false">IF($C44="","",IF(Base="RAM",AY44,AW44))</f>
        <v/>
      </c>
      <c r="BH44" s="54" t="str">
        <f aca="false">IF($C44="","",BF44-BG44)</f>
        <v/>
      </c>
      <c r="BI44" s="54" t="str">
        <f aca="false">IF($C44="","",BH44*N(P44)*Kpd/((1-N(P44))+N(P44)*Kpd))</f>
        <v/>
      </c>
      <c r="BJ44" s="54" t="str">
        <f aca="false">IF($C44="","",BH44-BI44)</f>
        <v/>
      </c>
      <c r="BK44" s="54" t="str">
        <f aca="false">IF($C44="","",IFERROR(Q44*FInsp*(1/X44-1/Y44),0))</f>
        <v/>
      </c>
      <c r="BL44" s="54" t="str">
        <f aca="false">IF($C44="","",IFERROR(Z44*Kpd*(1/X44-1/Y44),0))</f>
        <v/>
      </c>
      <c r="BM44" s="54" t="str">
        <f aca="false">IF($C44="","",IFERROR((Q44*FInsp+Z44*Kpd)/X44,0))</f>
        <v/>
      </c>
      <c r="BN44" s="54" t="str">
        <f aca="false">IF($C44="","",IFERROR((Q44*FInsp+Z44*Kpd)/Y44,0))</f>
        <v/>
      </c>
      <c r="BO44" s="54" t="str">
        <f aca="false">IF($C44="","",BH44+BK44+BL44-N(AA44))</f>
        <v/>
      </c>
      <c r="BP44" s="57" t="str">
        <f aca="false">IF($C44="","",BK44+BL44-N(AA44))</f>
        <v/>
      </c>
      <c r="BQ44" s="54" t="str">
        <f aca="false">IF($C44="","",BR44+BS44+BT44)</f>
        <v/>
      </c>
      <c r="BR44" s="54" t="str">
        <f aca="false">IF($C44="","",Q44*FInsp)</f>
        <v/>
      </c>
      <c r="BS44" s="54" t="str">
        <f aca="false">IF($C44="","",INDEX(FFScost,N(T44)+1)+RBIimpl)</f>
        <v/>
      </c>
      <c r="BT44" s="54" t="str">
        <f aca="false">IF($C44="","",IF(OR(AO44="NO APTO/REPARAR",AO44="APTO CON LIMITACIONES"),N(W44)*FRep,0))</f>
        <v/>
      </c>
      <c r="BU44" s="51" t="str">
        <f aca="false">IF($C44="","",IF(R44=0,Horiz,(1-(1+R44)^(-Horiz))/R44))</f>
        <v/>
      </c>
      <c r="BV44" s="54" t="str">
        <f aca="false">IF($C44="","",BO44*BU44)</f>
        <v/>
      </c>
      <c r="BW44" s="58" t="str">
        <f aca="false">IF($C44="","",IFERROR(BV44/BQ44,0))</f>
        <v/>
      </c>
      <c r="BX44" s="57" t="str">
        <f aca="false">IF($C44="","",BV44-BQ44)</f>
        <v/>
      </c>
      <c r="BY44" s="57" t="str">
        <f aca="false">IF($C44="","",BO44*IF(R44=0,1,1/(1+R44))-BQ44)</f>
        <v/>
      </c>
      <c r="BZ44" s="57" t="str">
        <f aca="false">IF($C44="","",BO44*IF(R44=0,10,(1-(1+R44)^(-10))/R44)-BQ44)</f>
        <v/>
      </c>
      <c r="CA44" s="57" t="str">
        <f aca="false">IF($C44="","",BP44*BU44-BQ44)</f>
        <v/>
      </c>
      <c r="CB44" s="58" t="str">
        <f aca="false">IF($C44="","",IFERROR(BP44*BU44/BQ44,0))</f>
        <v/>
      </c>
      <c r="CC44" s="50" t="str">
        <f aca="false">IF($C44="","",IF(BP44&gt;0,BQ44/BP44,"No recupera"))</f>
        <v/>
      </c>
      <c r="CD44" s="59" t="str">
        <f aca="false">IF($C44="","",IFERROR((Horiz*BO44-BQ44)/BQ44,0))</f>
        <v/>
      </c>
      <c r="CE44" s="50" t="str">
        <f aca="false">IF($C44="","",IF(BO44&gt;0,BQ44/BO44,"No recupera"))</f>
        <v/>
      </c>
      <c r="CF44" s="50" t="str">
        <f aca="false">IF($C44="","",IF(BO44&lt;=0,"No recupera",IF(R44=0,BQ44/BO44,IFERROR(-LN(1-BQ44*R44/BO44)/LN(1+R44),"No recupera"))))</f>
        <v/>
      </c>
      <c r="CG44" s="57" t="str">
        <f aca="false">IF($C44="","",BO44-BQ44/BU44)</f>
        <v/>
      </c>
      <c r="CH44" s="54" t="str">
        <f aca="false">IF($C44="","",(BM44+BF44)*BU44)</f>
        <v/>
      </c>
      <c r="CI44" s="54" t="str">
        <f aca="false">IF($C44="","",(BN44+BG44+N(AA44))*BU44+BQ44)</f>
        <v/>
      </c>
      <c r="CJ44" s="57" t="str">
        <f aca="false">IF($C44="","",IF(OR(N(T44)=0,AO44="NO APTO/REPARAR",AO44="REVISAR"),"n/a",(AK44*FMS*MAX(1,AJ44*INDEX(EffRet,MATCH(S44,EffList,0)))*AL44-AW44)*BU44-INDEX(FFScost,N(T44)+1)-BT44))</f>
        <v/>
      </c>
      <c r="CK44" s="55" t="str">
        <f aca="false">IF($C44="","",IF(BW44&gt;1,"ACEPTABLE","NO ACEPTABLE"))</f>
        <v/>
      </c>
      <c r="CL44" s="60" t="str">
        <f aca="false">IF($C44="","",IF(ISNUMBER(AG44),IF(AG44&lt;0,IF(LEFT(AO44,4)="APTO","RUL&lt;0 con FFS apto: verificar","RUL&lt;0"),""),""))</f>
        <v/>
      </c>
      <c r="CM44" s="57" t="str">
        <f aca="false">IF($C44="","",-$BQ44+IF($R44=0,$BO44*MIN(CM$15,Horiz),$BO44*(1-(1+$R44)^(-MIN(CM$15,Horiz)))/$R44))</f>
        <v/>
      </c>
      <c r="CN44" s="57" t="str">
        <f aca="false">IF($C44="","",-$BQ44+IF($R44=0,$BO44*MIN(CN$15,Horiz),$BO44*(1-(1+$R44)^(-MIN(CN$15,Horiz)))/$R44))</f>
        <v/>
      </c>
      <c r="CO44" s="57" t="str">
        <f aca="false">IF($C44="","",-$BQ44+IF($R44=0,$BO44*MIN(CO$15,Horiz),$BO44*(1-(1+$R44)^(-MIN(CO$15,Horiz)))/$R44))</f>
        <v/>
      </c>
      <c r="CP44" s="57" t="str">
        <f aca="false">IF($C44="","",-$BQ44+IF($R44=0,$BO44*MIN(CP$15,Horiz),$BO44*(1-(1+$R44)^(-MIN(CP$15,Horiz)))/$R44))</f>
        <v/>
      </c>
      <c r="CQ44" s="57" t="str">
        <f aca="false">IF($C44="","",-$BQ44+IF($R44=0,$BO44*MIN(CQ$15,Horiz),$BO44*(1-(1+$R44)^(-MIN(CQ$15,Horiz)))/$R44))</f>
        <v/>
      </c>
      <c r="CR44" s="57" t="str">
        <f aca="false">IF($C44="","",-$BQ44+IF($R44=0,$BO44*MIN(CR$15,Horiz),$BO44*(1-(1+$R44)^(-MIN(CR$15,Horiz)))/$R44))</f>
        <v/>
      </c>
      <c r="CS44" s="57" t="str">
        <f aca="false">IF($C44="","",-$BQ44+IF($R44=0,$BO44*MIN(CS$15,Horiz),$BO44*(1-(1+$R44)^(-MIN(CS$15,Horiz)))/$R44))</f>
        <v/>
      </c>
      <c r="CT44" s="57" t="str">
        <f aca="false">IF($C44="","",-$BQ44+IF($R44=0,$BO44*MIN(CT$15,Horiz),$BO44*(1-(1+$R44)^(-MIN(CT$15,Horiz)))/$R44))</f>
        <v/>
      </c>
      <c r="CU44" s="57" t="str">
        <f aca="false">IF($C44="","",-$BQ44+IF($R44=0,$BO44*MIN(CU$15,Horiz),$BO44*(1-(1+$R44)^(-MIN(CU$15,Horiz)))/$R44))</f>
        <v/>
      </c>
      <c r="CV44" s="57" t="str">
        <f aca="false">IF($C44="","",-$BQ44+IF($R44=0,$BO44*MIN(CV$15,Horiz),$BO44*(1-(1+$R44)^(-MIN(CV$15,Horiz)))/$R44))</f>
        <v/>
      </c>
      <c r="CW44" s="57" t="str">
        <f aca="false">IF($C44="","",-$BQ44+IF($R44=0,$BO44*MIN(CW$15,Horiz),$BO44*(1-(1+$R44)^(-MIN(CW$15,Horiz)))/$R44))</f>
        <v/>
      </c>
      <c r="CX44" s="57" t="str">
        <f aca="false">IF($C44="","",-$BQ44+IF($R44=0,$BO44*MIN(CX$15,Horiz),$BO44*(1-(1+$R44)^(-MIN(CX$15,Horiz)))/$R44))</f>
        <v/>
      </c>
      <c r="CY44" s="57" t="str">
        <f aca="false">IF($C44="","",-$BQ44+IF($R44=0,$BO44*MIN(CY$15,Horiz),$BO44*(1-(1+$R44)^(-MIN(CY$15,Horiz)))/$R44))</f>
        <v/>
      </c>
      <c r="CZ44" s="57" t="str">
        <f aca="false">IF($C44="","",-$BQ44+IF($R44=0,$BO44*MIN(CZ$15,Horiz),$BO44*(1-(1+$R44)^(-MIN(CZ$15,Horiz)))/$R44))</f>
        <v/>
      </c>
      <c r="DA44" s="57" t="str">
        <f aca="false">IF($C44="","",-$BQ44+IF($R44=0,$BO44*MIN(DA$15,Horiz),$BO44*(1-(1+$R44)^(-MIN(DA$15,Horiz)))/$R44))</f>
        <v/>
      </c>
      <c r="DB44" s="57" t="str">
        <f aca="false">IF($C44="","",-$BQ44+IF($R44=0,$BO44*MIN(DB$15,Horiz),$BO44*(1-(1+$R44)^(-MIN(DB$15,Horiz)))/$R44))</f>
        <v/>
      </c>
    </row>
    <row r="45" customFormat="false" ht="15" hidden="false" customHeight="false" outlineLevel="0" collapsed="false">
      <c r="A45" s="38" t="n">
        <v>30</v>
      </c>
      <c r="B45" s="39"/>
      <c r="C45" s="40"/>
      <c r="D45" s="39"/>
      <c r="E45" s="39"/>
      <c r="F45" s="41"/>
      <c r="G45" s="41"/>
      <c r="H45" s="42"/>
      <c r="I45" s="43"/>
      <c r="J45" s="44"/>
      <c r="K45" s="41"/>
      <c r="L45" s="39"/>
      <c r="M45" s="40"/>
      <c r="N45" s="45"/>
      <c r="O45" s="46"/>
      <c r="P45" s="47"/>
      <c r="Q45" s="46"/>
      <c r="R45" s="48"/>
      <c r="S45" s="40"/>
      <c r="T45" s="41"/>
      <c r="U45" s="40"/>
      <c r="V45" s="40"/>
      <c r="W45" s="46"/>
      <c r="X45" s="41"/>
      <c r="Y45" s="41"/>
      <c r="Z45" s="46"/>
      <c r="AA45" s="46"/>
      <c r="AB45" s="41"/>
      <c r="AC45" s="40"/>
      <c r="AD45" s="41"/>
      <c r="AE45" s="40"/>
      <c r="AF45" s="49" t="str">
        <f aca="false">IF($C45="","",AnioEval-K45)</f>
        <v/>
      </c>
      <c r="AG45" s="50" t="str">
        <f aca="false">IF($C45="","",IF(AND(ISNUMBER(J45),I45&gt;0),(H45-J45)/(I45*SensCR)-AF45,"n/d"))</f>
        <v/>
      </c>
      <c r="AH45" s="51" t="str">
        <f aca="false">IF($C45="","",IFERROR(I45*SensCR*AF45/H45,0))</f>
        <v/>
      </c>
      <c r="AI45" s="52" t="str">
        <f aca="false">IF($C45="","",IF(INDEX(MecTipo,MATCH(L45,MecList,0))="F",IFERROR(INDEX(SusDF,MATCH(M45,SusList,0)),1),LOOKUP(AH45,ArtLim,ArtDF)))</f>
        <v/>
      </c>
      <c r="AJ45" s="52" t="str">
        <f aca="false">IF($C45="","",IF(ISNUMBER(N45),N45,AI45))</f>
        <v/>
      </c>
      <c r="AK45" s="53" t="str">
        <f aca="false">IF($C45="","",INDEX(GFFval,MATCH(D45,GFFtipo,0)))</f>
        <v/>
      </c>
      <c r="AL45" s="54" t="str">
        <f aca="false">IF($C45="","",O45*((1-N(P45))+N(P45)*Kpd))</f>
        <v/>
      </c>
      <c r="AM45" s="53" t="str">
        <f aca="false">IF($C45="","",AK45*AJ45*FMS)</f>
        <v/>
      </c>
      <c r="AN45" s="54" t="str">
        <f aca="false">IF($C45="","",AM45*AL45)</f>
        <v/>
      </c>
      <c r="AO45" s="55" t="str">
        <f aca="false">IF($C45="","",IF(N(T45)=0,"No requerido",IF(AND(U45="Apto",V45="Pasa"),"APTO/PASA",IF(AND(U45="Apto con limitaciones",V45="Pasa"),"APTO CON LIMITACIONES",IF(U45="No apto","NO APTO/REPARAR","REVISAR")))))</f>
        <v/>
      </c>
      <c r="AP45" s="54" t="str">
        <f aca="false">IF($C45="","",AK45*FMS*IF(AO45="NO APTO/REPARAR",1,MAX(1,AJ45*INDEX(EffRet,1)*INDEX(FFSfac,MATCH(AO45,FFSlist,0))))*AL45)</f>
        <v/>
      </c>
      <c r="AQ45" s="54" t="str">
        <f aca="false">IF($C45="","",AK45*FMS*IF(AO45="NO APTO/REPARAR",1,MAX(1,AJ45*INDEX(EffRet,2)*INDEX(FFSfac,MATCH(AO45,FFSlist,0))))*AL45)</f>
        <v/>
      </c>
      <c r="AR45" s="54" t="str">
        <f aca="false">IF($C45="","",AK45*FMS*IF(AO45="NO APTO/REPARAR",1,MAX(1,AJ45*INDEX(EffRet,3)*INDEX(FFSfac,MATCH(AO45,FFSlist,0))))*AL45)</f>
        <v/>
      </c>
      <c r="AS45" s="54" t="str">
        <f aca="false">IF($C45="","",AK45*FMS*IF(AO45="NO APTO/REPARAR",1,MAX(1,AJ45*INDEX(EffRet,4)*INDEX(FFSfac,MATCH(AO45,FFSlist,0))))*AL45)</f>
        <v/>
      </c>
      <c r="AT45" s="54" t="str">
        <f aca="false">IF($C45="","",IFERROR(Q45*FInsp/INDEX(CostRel,MATCH(S45,EffList,0)),0))</f>
        <v/>
      </c>
      <c r="AU45" s="52" t="str">
        <f aca="false">IF($C45="","",IF(AO45="NO APTO/REPARAR",1,MAX(1,AJ45*INDEX(EffRet,MATCH(S45,EffList,0))*INDEX(FFSfac,MATCH(AO45,FFSlist,0)))))</f>
        <v/>
      </c>
      <c r="AV45" s="53" t="str">
        <f aca="false">IF($C45="","",AK45*AU45*FMS)</f>
        <v/>
      </c>
      <c r="AW45" s="54" t="str">
        <f aca="false">IF($C45="","",AV45*AL45)</f>
        <v/>
      </c>
      <c r="AX45" s="54" t="str">
        <f aca="false">IF($C45="","",IFERROR(AK45*FMS*INDEX(DFrep,AB45)*INDEX(FCrep,MATCH(AC45,CatLet,0)),AN45))</f>
        <v/>
      </c>
      <c r="AY45" s="54" t="str">
        <f aca="false">IF($C45="","",IFERROR(AK45*FMS*INDEX(DFrep,AD45)*INDEX(FCrep,MATCH(AE45,CatLet,0)),AW45))</f>
        <v/>
      </c>
      <c r="AZ45" s="56" t="str">
        <f aca="false">IF($C45="","",(1+SUMPRODUCT(--(AJ45&gt;PcutDF)))&amp;CHOOSE(1+SUMPRODUCT(--(AL45&gt;CcutFC)),"A","B","C","D","E"))</f>
        <v/>
      </c>
      <c r="BA45" s="56" t="str">
        <f aca="false">IF($C45="","",(1+SUMPRODUCT(--(AU45&gt;PcutDF)))&amp;CHOOSE(1+SUMPRODUCT(--(AL45&gt;CcutFC)),"A","B","C","D","E"))</f>
        <v/>
      </c>
      <c r="BB45" s="56" t="str">
        <f aca="false">IF($C45="","",IF(AND(AB45&amp;AC45=AZ45,AD45&amp;AE45=BA45),"OK","REVISAR"))</f>
        <v/>
      </c>
      <c r="BC45" s="49" t="str">
        <f aca="false">IF($C45="","",IFERROR(INDEX(RAMlev,AB45,MATCH(AC45,CatLet,0)),""))</f>
        <v/>
      </c>
      <c r="BD45" s="49" t="str">
        <f aca="false">IF($C45="","",IFERROR(INDEX(RAMlev,AD45,MATCH(AE45,CatLet,0)),""))</f>
        <v/>
      </c>
      <c r="BE45" s="56" t="str">
        <f aca="false">IF($C45="","",IF(BD45="","",IF(BD45&lt;=ObjNivel,"Cumple","Excede")))</f>
        <v/>
      </c>
      <c r="BF45" s="54" t="str">
        <f aca="false">IF($C45="","",IF(Base="RAM",AX45,AN45))</f>
        <v/>
      </c>
      <c r="BG45" s="54" t="str">
        <f aca="false">IF($C45="","",IF(Base="RAM",AY45,AW45))</f>
        <v/>
      </c>
      <c r="BH45" s="54" t="str">
        <f aca="false">IF($C45="","",BF45-BG45)</f>
        <v/>
      </c>
      <c r="BI45" s="54" t="str">
        <f aca="false">IF($C45="","",BH45*N(P45)*Kpd/((1-N(P45))+N(P45)*Kpd))</f>
        <v/>
      </c>
      <c r="BJ45" s="54" t="str">
        <f aca="false">IF($C45="","",BH45-BI45)</f>
        <v/>
      </c>
      <c r="BK45" s="54" t="str">
        <f aca="false">IF($C45="","",IFERROR(Q45*FInsp*(1/X45-1/Y45),0))</f>
        <v/>
      </c>
      <c r="BL45" s="54" t="str">
        <f aca="false">IF($C45="","",IFERROR(Z45*Kpd*(1/X45-1/Y45),0))</f>
        <v/>
      </c>
      <c r="BM45" s="54" t="str">
        <f aca="false">IF($C45="","",IFERROR((Q45*FInsp+Z45*Kpd)/X45,0))</f>
        <v/>
      </c>
      <c r="BN45" s="54" t="str">
        <f aca="false">IF($C45="","",IFERROR((Q45*FInsp+Z45*Kpd)/Y45,0))</f>
        <v/>
      </c>
      <c r="BO45" s="54" t="str">
        <f aca="false">IF($C45="","",BH45+BK45+BL45-N(AA45))</f>
        <v/>
      </c>
      <c r="BP45" s="57" t="str">
        <f aca="false">IF($C45="","",BK45+BL45-N(AA45))</f>
        <v/>
      </c>
      <c r="BQ45" s="54" t="str">
        <f aca="false">IF($C45="","",BR45+BS45+BT45)</f>
        <v/>
      </c>
      <c r="BR45" s="54" t="str">
        <f aca="false">IF($C45="","",Q45*FInsp)</f>
        <v/>
      </c>
      <c r="BS45" s="54" t="str">
        <f aca="false">IF($C45="","",INDEX(FFScost,N(T45)+1)+RBIimpl)</f>
        <v/>
      </c>
      <c r="BT45" s="54" t="str">
        <f aca="false">IF($C45="","",IF(OR(AO45="NO APTO/REPARAR",AO45="APTO CON LIMITACIONES"),N(W45)*FRep,0))</f>
        <v/>
      </c>
      <c r="BU45" s="51" t="str">
        <f aca="false">IF($C45="","",IF(R45=0,Horiz,(1-(1+R45)^(-Horiz))/R45))</f>
        <v/>
      </c>
      <c r="BV45" s="54" t="str">
        <f aca="false">IF($C45="","",BO45*BU45)</f>
        <v/>
      </c>
      <c r="BW45" s="58" t="str">
        <f aca="false">IF($C45="","",IFERROR(BV45/BQ45,0))</f>
        <v/>
      </c>
      <c r="BX45" s="57" t="str">
        <f aca="false">IF($C45="","",BV45-BQ45)</f>
        <v/>
      </c>
      <c r="BY45" s="57" t="str">
        <f aca="false">IF($C45="","",BO45*IF(R45=0,1,1/(1+R45))-BQ45)</f>
        <v/>
      </c>
      <c r="BZ45" s="57" t="str">
        <f aca="false">IF($C45="","",BO45*IF(R45=0,10,(1-(1+R45)^(-10))/R45)-BQ45)</f>
        <v/>
      </c>
      <c r="CA45" s="57" t="str">
        <f aca="false">IF($C45="","",BP45*BU45-BQ45)</f>
        <v/>
      </c>
      <c r="CB45" s="58" t="str">
        <f aca="false">IF($C45="","",IFERROR(BP45*BU45/BQ45,0))</f>
        <v/>
      </c>
      <c r="CC45" s="50" t="str">
        <f aca="false">IF($C45="","",IF(BP45&gt;0,BQ45/BP45,"No recupera"))</f>
        <v/>
      </c>
      <c r="CD45" s="59" t="str">
        <f aca="false">IF($C45="","",IFERROR((Horiz*BO45-BQ45)/BQ45,0))</f>
        <v/>
      </c>
      <c r="CE45" s="50" t="str">
        <f aca="false">IF($C45="","",IF(BO45&gt;0,BQ45/BO45,"No recupera"))</f>
        <v/>
      </c>
      <c r="CF45" s="50" t="str">
        <f aca="false">IF($C45="","",IF(BO45&lt;=0,"No recupera",IF(R45=0,BQ45/BO45,IFERROR(-LN(1-BQ45*R45/BO45)/LN(1+R45),"No recupera"))))</f>
        <v/>
      </c>
      <c r="CG45" s="57" t="str">
        <f aca="false">IF($C45="","",BO45-BQ45/BU45)</f>
        <v/>
      </c>
      <c r="CH45" s="54" t="str">
        <f aca="false">IF($C45="","",(BM45+BF45)*BU45)</f>
        <v/>
      </c>
      <c r="CI45" s="54" t="str">
        <f aca="false">IF($C45="","",(BN45+BG45+N(AA45))*BU45+BQ45)</f>
        <v/>
      </c>
      <c r="CJ45" s="57" t="str">
        <f aca="false">IF($C45="","",IF(OR(N(T45)=0,AO45="NO APTO/REPARAR",AO45="REVISAR"),"n/a",(AK45*FMS*MAX(1,AJ45*INDEX(EffRet,MATCH(S45,EffList,0)))*AL45-AW45)*BU45-INDEX(FFScost,N(T45)+1)-BT45))</f>
        <v/>
      </c>
      <c r="CK45" s="55" t="str">
        <f aca="false">IF($C45="","",IF(BW45&gt;1,"ACEPTABLE","NO ACEPTABLE"))</f>
        <v/>
      </c>
      <c r="CL45" s="60" t="str">
        <f aca="false">IF($C45="","",IF(ISNUMBER(AG45),IF(AG45&lt;0,IF(LEFT(AO45,4)="APTO","RUL&lt;0 con FFS apto: verificar","RUL&lt;0"),""),""))</f>
        <v/>
      </c>
      <c r="CM45" s="57" t="str">
        <f aca="false">IF($C45="","",-$BQ45+IF($R45=0,$BO45*MIN(CM$15,Horiz),$BO45*(1-(1+$R45)^(-MIN(CM$15,Horiz)))/$R45))</f>
        <v/>
      </c>
      <c r="CN45" s="57" t="str">
        <f aca="false">IF($C45="","",-$BQ45+IF($R45=0,$BO45*MIN(CN$15,Horiz),$BO45*(1-(1+$R45)^(-MIN(CN$15,Horiz)))/$R45))</f>
        <v/>
      </c>
      <c r="CO45" s="57" t="str">
        <f aca="false">IF($C45="","",-$BQ45+IF($R45=0,$BO45*MIN(CO$15,Horiz),$BO45*(1-(1+$R45)^(-MIN(CO$15,Horiz)))/$R45))</f>
        <v/>
      </c>
      <c r="CP45" s="57" t="str">
        <f aca="false">IF($C45="","",-$BQ45+IF($R45=0,$BO45*MIN(CP$15,Horiz),$BO45*(1-(1+$R45)^(-MIN(CP$15,Horiz)))/$R45))</f>
        <v/>
      </c>
      <c r="CQ45" s="57" t="str">
        <f aca="false">IF($C45="","",-$BQ45+IF($R45=0,$BO45*MIN(CQ$15,Horiz),$BO45*(1-(1+$R45)^(-MIN(CQ$15,Horiz)))/$R45))</f>
        <v/>
      </c>
      <c r="CR45" s="57" t="str">
        <f aca="false">IF($C45="","",-$BQ45+IF($R45=0,$BO45*MIN(CR$15,Horiz),$BO45*(1-(1+$R45)^(-MIN(CR$15,Horiz)))/$R45))</f>
        <v/>
      </c>
      <c r="CS45" s="57" t="str">
        <f aca="false">IF($C45="","",-$BQ45+IF($R45=0,$BO45*MIN(CS$15,Horiz),$BO45*(1-(1+$R45)^(-MIN(CS$15,Horiz)))/$R45))</f>
        <v/>
      </c>
      <c r="CT45" s="57" t="str">
        <f aca="false">IF($C45="","",-$BQ45+IF($R45=0,$BO45*MIN(CT$15,Horiz),$BO45*(1-(1+$R45)^(-MIN(CT$15,Horiz)))/$R45))</f>
        <v/>
      </c>
      <c r="CU45" s="57" t="str">
        <f aca="false">IF($C45="","",-$BQ45+IF($R45=0,$BO45*MIN(CU$15,Horiz),$BO45*(1-(1+$R45)^(-MIN(CU$15,Horiz)))/$R45))</f>
        <v/>
      </c>
      <c r="CV45" s="57" t="str">
        <f aca="false">IF($C45="","",-$BQ45+IF($R45=0,$BO45*MIN(CV$15,Horiz),$BO45*(1-(1+$R45)^(-MIN(CV$15,Horiz)))/$R45))</f>
        <v/>
      </c>
      <c r="CW45" s="57" t="str">
        <f aca="false">IF($C45="","",-$BQ45+IF($R45=0,$BO45*MIN(CW$15,Horiz),$BO45*(1-(1+$R45)^(-MIN(CW$15,Horiz)))/$R45))</f>
        <v/>
      </c>
      <c r="CX45" s="57" t="str">
        <f aca="false">IF($C45="","",-$BQ45+IF($R45=0,$BO45*MIN(CX$15,Horiz),$BO45*(1-(1+$R45)^(-MIN(CX$15,Horiz)))/$R45))</f>
        <v/>
      </c>
      <c r="CY45" s="57" t="str">
        <f aca="false">IF($C45="","",-$BQ45+IF($R45=0,$BO45*MIN(CY$15,Horiz),$BO45*(1-(1+$R45)^(-MIN(CY$15,Horiz)))/$R45))</f>
        <v/>
      </c>
      <c r="CZ45" s="57" t="str">
        <f aca="false">IF($C45="","",-$BQ45+IF($R45=0,$BO45*MIN(CZ$15,Horiz),$BO45*(1-(1+$R45)^(-MIN(CZ$15,Horiz)))/$R45))</f>
        <v/>
      </c>
      <c r="DA45" s="57" t="str">
        <f aca="false">IF($C45="","",-$BQ45+IF($R45=0,$BO45*MIN(DA$15,Horiz),$BO45*(1-(1+$R45)^(-MIN(DA$15,Horiz)))/$R45))</f>
        <v/>
      </c>
      <c r="DB45" s="57" t="str">
        <f aca="false">IF($C45="","",-$BQ45+IF($R45=0,$BO45*MIN(DB$15,Horiz),$BO45*(1-(1+$R45)^(-MIN(DB$15,Horiz)))/$R45))</f>
        <v/>
      </c>
    </row>
    <row r="46" customFormat="false" ht="15" hidden="false" customHeight="false" outlineLevel="0" collapsed="false">
      <c r="A46" s="61" t="s">
        <v>187</v>
      </c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2" t="n">
        <f aca="false">SUM(O16:O45)</f>
        <v>34850000</v>
      </c>
      <c r="P46" s="61"/>
      <c r="Q46" s="62" t="n">
        <f aca="false">SUM(Q16:Q45)</f>
        <v>149720</v>
      </c>
      <c r="R46" s="61"/>
      <c r="S46" s="61"/>
      <c r="T46" s="61"/>
      <c r="U46" s="61"/>
      <c r="V46" s="61"/>
      <c r="W46" s="62" t="n">
        <f aca="false">SUM(W16:W45)</f>
        <v>270000</v>
      </c>
      <c r="X46" s="61"/>
      <c r="Y46" s="61"/>
      <c r="Z46" s="62" t="n">
        <f aca="false">SUM(Z16:Z45)</f>
        <v>2320000</v>
      </c>
      <c r="AA46" s="62" t="n">
        <f aca="false">SUM(AA16:AA45)</f>
        <v>7500</v>
      </c>
      <c r="AB46" s="61"/>
      <c r="AC46" s="61"/>
      <c r="AD46" s="61"/>
      <c r="AE46" s="61"/>
      <c r="AF46" s="61"/>
      <c r="AG46" s="61"/>
      <c r="AH46" s="61"/>
      <c r="AI46" s="61"/>
      <c r="AJ46" s="61"/>
      <c r="AK46" s="61"/>
      <c r="AL46" s="62" t="n">
        <f aca="false">SUM(AL16:AL45)</f>
        <v>34850000</v>
      </c>
      <c r="AM46" s="61"/>
      <c r="AN46" s="62" t="n">
        <f aca="false">SUM(AN16:AN45)</f>
        <v>35034.0203820372</v>
      </c>
      <c r="AO46" s="61"/>
      <c r="AP46" s="62" t="n">
        <f aca="false">SUM(AP16:AP45)</f>
        <v>1804.31736651999</v>
      </c>
      <c r="AQ46" s="62" t="n">
        <f aca="false">SUM(AQ16:AQ45)</f>
        <v>4967.82989611466</v>
      </c>
      <c r="AR46" s="62" t="n">
        <f aca="false">SUM(AR16:AR45)</f>
        <v>8189.40184355003</v>
      </c>
      <c r="AS46" s="62" t="n">
        <f aca="false">SUM(AS16:AS45)</f>
        <v>11410.9737909854</v>
      </c>
      <c r="AT46" s="62" t="n">
        <f aca="false">SUM(AT16:AT45)</f>
        <v>184920</v>
      </c>
      <c r="AU46" s="61"/>
      <c r="AV46" s="61"/>
      <c r="AW46" s="62" t="n">
        <f aca="false">SUM(AW16:AW45)</f>
        <v>5113.7041834394</v>
      </c>
      <c r="AX46" s="62" t="n">
        <f aca="false">SUM(AX16:AX45)</f>
        <v>27342.8118881237</v>
      </c>
      <c r="AY46" s="62" t="n">
        <f aca="false">SUM(AY16:AY45)</f>
        <v>10234.4432330072</v>
      </c>
      <c r="AZ46" s="61"/>
      <c r="BA46" s="61"/>
      <c r="BB46" s="61"/>
      <c r="BC46" s="61"/>
      <c r="BD46" s="61"/>
      <c r="BE46" s="61"/>
      <c r="BF46" s="62" t="n">
        <f aca="false">SUM(BF16:BF45)</f>
        <v>35034.0203820372</v>
      </c>
      <c r="BG46" s="62" t="n">
        <f aca="false">SUM(BG16:BG45)</f>
        <v>5113.7041834394</v>
      </c>
      <c r="BH46" s="62" t="n">
        <f aca="false">SUM(BH16:BH45)</f>
        <v>29920.3161985978</v>
      </c>
      <c r="BI46" s="62" t="n">
        <f aca="false">SUM(BI16:BI45)</f>
        <v>14998.9550956998</v>
      </c>
      <c r="BJ46" s="62" t="n">
        <f aca="false">SUM(BJ16:BJ45)</f>
        <v>14921.3611028981</v>
      </c>
      <c r="BK46" s="62" t="n">
        <f aca="false">SUM(BK16:BK45)</f>
        <v>10076.5359477124</v>
      </c>
      <c r="BL46" s="62" t="n">
        <f aca="false">SUM(BL16:BL45)</f>
        <v>159189.54248366</v>
      </c>
      <c r="BM46" s="62" t="n">
        <f aca="false">SUM(BM16:BM45)</f>
        <v>435557.777777778</v>
      </c>
      <c r="BN46" s="62" t="n">
        <f aca="false">SUM(BN16:BN45)</f>
        <v>266291.699346405</v>
      </c>
      <c r="BO46" s="62" t="n">
        <f aca="false">SUM(BO16:BO45)</f>
        <v>191686.39462997</v>
      </c>
      <c r="BP46" s="63" t="n">
        <f aca="false">SUM(BP16:BP45)</f>
        <v>161766.078431373</v>
      </c>
      <c r="BQ46" s="62" t="n">
        <f aca="false">SUM(BQ16:BQ45)</f>
        <v>463190</v>
      </c>
      <c r="BR46" s="62" t="n">
        <f aca="false">SUM(BR16:BR45)</f>
        <v>149720</v>
      </c>
      <c r="BS46" s="62" t="n">
        <f aca="false">SUM(BS16:BS45)</f>
        <v>43470</v>
      </c>
      <c r="BT46" s="62" t="n">
        <f aca="false">SUM(BT16:BT45)</f>
        <v>270000</v>
      </c>
      <c r="BU46" s="61"/>
      <c r="BV46" s="62" t="n">
        <f aca="false">SUM(BV16:BV45)</f>
        <v>1177829.91505444</v>
      </c>
      <c r="BW46" s="64" t="n">
        <f aca="false">IFERROR(BV46/BQ46,0)</f>
        <v>2.5428655952297</v>
      </c>
      <c r="BX46" s="63" t="n">
        <f aca="false">SUM(BX16:BX45)</f>
        <v>714639.915054443</v>
      </c>
      <c r="BY46" s="63" t="n">
        <f aca="false">SUM(BY16:BY45)</f>
        <v>-288929.641245482</v>
      </c>
      <c r="BZ46" s="63" t="n">
        <f aca="false">SUM(BZ16:BZ45)</f>
        <v>714639.915054443</v>
      </c>
      <c r="CA46" s="63" t="n">
        <f aca="false">SUM(CA16:CA45)</f>
        <v>530792.524348256</v>
      </c>
      <c r="CB46" s="61"/>
      <c r="CC46" s="61"/>
      <c r="CD46" s="65" t="n">
        <f aca="false">IFERROR((Horiz*BO46-BQ46)/BQ46,0)</f>
        <v>3.1383966542881</v>
      </c>
      <c r="CE46" s="66" t="n">
        <f aca="false">IFERROR(BQ46/BO46,"n/a")</f>
        <v>2.41639476236244</v>
      </c>
      <c r="CF46" s="61"/>
      <c r="CG46" s="63" t="n">
        <f aca="false">SUM(CG16:CG45)</f>
        <v>116304.35517434</v>
      </c>
      <c r="CH46" s="62" t="n">
        <f aca="false">SUM(CH16:CH45)</f>
        <v>2891582.88318722</v>
      </c>
      <c r="CI46" s="62" t="n">
        <f aca="false">SUM(CI16:CI45)</f>
        <v>2176942.96813278</v>
      </c>
      <c r="CJ46" s="63" t="n">
        <f aca="false">SUM(CJ16:CJ45)</f>
        <v>-15032.6441190734</v>
      </c>
      <c r="CK46" s="61" t="str">
        <f aca="false">IF(BW46&gt;1,"ACEPTABLE","NO ACEPTABLE")</f>
        <v>ACEPTABLE</v>
      </c>
      <c r="CL46" s="61"/>
      <c r="CM46" s="63" t="n">
        <f aca="false">SUM(CM16:CM45)</f>
        <v>-463190</v>
      </c>
      <c r="CN46" s="63" t="n">
        <f aca="false">SUM(CN16:CN45)</f>
        <v>-288929.641245481</v>
      </c>
      <c r="CO46" s="63" t="n">
        <f aca="false">SUM(CO16:CO45)</f>
        <v>-130511.133286828</v>
      </c>
      <c r="CP46" s="63" t="n">
        <f aca="false">SUM(CP16:CP45)</f>
        <v>13505.6921301295</v>
      </c>
      <c r="CQ46" s="63" t="n">
        <f aca="false">SUM(CQ16:CQ45)</f>
        <v>144430.078872818</v>
      </c>
      <c r="CR46" s="63" t="n">
        <f aca="false">SUM(CR16:CR45)</f>
        <v>263452.248638899</v>
      </c>
      <c r="CS46" s="63" t="n">
        <f aca="false">SUM(CS16:CS45)</f>
        <v>371654.221153518</v>
      </c>
      <c r="CT46" s="63" t="n">
        <f aca="false">SUM(CT16:CT45)</f>
        <v>470019.650712262</v>
      </c>
      <c r="CU46" s="63" t="n">
        <f aca="false">SUM(CU16:CU45)</f>
        <v>559442.768492939</v>
      </c>
      <c r="CV46" s="63" t="n">
        <f aca="false">SUM(CV16:CV45)</f>
        <v>640736.511929917</v>
      </c>
      <c r="CW46" s="63" t="n">
        <f aca="false">SUM(CW16:CW45)</f>
        <v>714639.915054443</v>
      </c>
      <c r="CX46" s="63" t="n">
        <f aca="false">SUM(CX16:CX45)</f>
        <v>714639.915054443</v>
      </c>
      <c r="CY46" s="63" t="n">
        <f aca="false">SUM(CY16:CY45)</f>
        <v>714639.915054443</v>
      </c>
      <c r="CZ46" s="63" t="n">
        <f aca="false">SUM(CZ16:CZ45)</f>
        <v>714639.915054443</v>
      </c>
      <c r="DA46" s="63" t="n">
        <f aca="false">SUM(DA16:DA45)</f>
        <v>714639.915054443</v>
      </c>
      <c r="DB46" s="63" t="n">
        <f aca="false">SUM(DB16:DB45)</f>
        <v>714639.915054443</v>
      </c>
    </row>
    <row r="47" customFormat="false" ht="15" hidden="false" customHeight="false" outlineLevel="0" collapsed="false">
      <c r="A47" s="67" t="s">
        <v>188</v>
      </c>
    </row>
    <row r="48" customFormat="false" ht="15" hidden="false" customHeight="false" outlineLevel="0" collapsed="false">
      <c r="B48" s="68" t="s">
        <v>189</v>
      </c>
    </row>
    <row r="49" customFormat="false" ht="15" hidden="false" customHeight="false" outlineLevel="0" collapsed="false">
      <c r="B49" s="69" t="s">
        <v>190</v>
      </c>
      <c r="J49" s="69" t="s">
        <v>191</v>
      </c>
    </row>
    <row r="50" customFormat="false" ht="15" hidden="false" customHeight="false" outlineLevel="0" collapsed="false">
      <c r="B50" s="70" t="n">
        <v>5</v>
      </c>
      <c r="C50" s="71" t="n">
        <f aca="false">COUNTIFS(AB16:AB45,5,AC16:AC45,"A")</f>
        <v>0</v>
      </c>
      <c r="D50" s="72" t="n">
        <f aca="false">COUNTIFS(AB16:AB45,5,AC16:AC45,"B")</f>
        <v>0</v>
      </c>
      <c r="E50" s="72" t="n">
        <f aca="false">COUNTIFS(AB16:AB45,5,AC16:AC45,"C")</f>
        <v>0</v>
      </c>
      <c r="F50" s="73" t="n">
        <f aca="false">COUNTIFS(AB16:AB45,5,AC16:AC45,"D")</f>
        <v>0</v>
      </c>
      <c r="G50" s="73" t="n">
        <f aca="false">COUNTIFS(AB16:AB45,5,AC16:AC45,"E")</f>
        <v>0</v>
      </c>
      <c r="J50" s="70" t="n">
        <v>5</v>
      </c>
      <c r="K50" s="71" t="n">
        <f aca="false">COUNTIFS(AD16:AD45,5,AE16:AE45,"A")</f>
        <v>0</v>
      </c>
      <c r="L50" s="72" t="n">
        <f aca="false">COUNTIFS(AD16:AD45,5,AE16:AE45,"B")</f>
        <v>0</v>
      </c>
      <c r="M50" s="72" t="n">
        <f aca="false">COUNTIFS(AD16:AD45,5,AE16:AE45,"C")</f>
        <v>0</v>
      </c>
      <c r="N50" s="73" t="n">
        <f aca="false">COUNTIFS(AD16:AD45,5,AE16:AE45,"D")</f>
        <v>0</v>
      </c>
      <c r="O50" s="73" t="n">
        <f aca="false">COUNTIFS(AD16:AD45,5,AE16:AE45,"E")</f>
        <v>0</v>
      </c>
    </row>
    <row r="51" customFormat="false" ht="15" hidden="false" customHeight="false" outlineLevel="0" collapsed="false">
      <c r="B51" s="70" t="n">
        <v>4</v>
      </c>
      <c r="C51" s="71" t="n">
        <f aca="false">COUNTIFS(AB16:AB45,4,AC16:AC45,"A")</f>
        <v>0</v>
      </c>
      <c r="D51" s="71" t="n">
        <f aca="false">COUNTIFS(AB16:AB45,4,AC16:AC45,"B")</f>
        <v>0</v>
      </c>
      <c r="E51" s="72" t="n">
        <f aca="false">COUNTIFS(AB16:AB45,4,AC16:AC45,"C")</f>
        <v>1</v>
      </c>
      <c r="F51" s="72" t="n">
        <f aca="false">COUNTIFS(AB16:AB45,4,AC16:AC45,"D")</f>
        <v>1</v>
      </c>
      <c r="G51" s="73" t="n">
        <f aca="false">COUNTIFS(AB16:AB45,4,AC16:AC45,"E")</f>
        <v>0</v>
      </c>
      <c r="J51" s="70" t="n">
        <v>4</v>
      </c>
      <c r="K51" s="71" t="n">
        <f aca="false">COUNTIFS(AD16:AD45,4,AE16:AE45,"A")</f>
        <v>0</v>
      </c>
      <c r="L51" s="71" t="n">
        <f aca="false">COUNTIFS(AD16:AD45,4,AE16:AE45,"B")</f>
        <v>0</v>
      </c>
      <c r="M51" s="72" t="n">
        <f aca="false">COUNTIFS(AD16:AD45,4,AE16:AE45,"C")</f>
        <v>0</v>
      </c>
      <c r="N51" s="72" t="n">
        <f aca="false">COUNTIFS(AD16:AD45,4,AE16:AE45,"D")</f>
        <v>1</v>
      </c>
      <c r="O51" s="73" t="n">
        <f aca="false">COUNTIFS(AD16:AD45,4,AE16:AE45,"E")</f>
        <v>0</v>
      </c>
    </row>
    <row r="52" customFormat="false" ht="15" hidden="false" customHeight="false" outlineLevel="0" collapsed="false">
      <c r="B52" s="70" t="n">
        <v>3</v>
      </c>
      <c r="C52" s="74" t="n">
        <f aca="false">COUNTIFS(AB16:AB45,3,AC16:AC45,"A")</f>
        <v>0</v>
      </c>
      <c r="D52" s="71" t="n">
        <f aca="false">COUNTIFS(AB16:AB45,3,AC16:AC45,"B")</f>
        <v>0</v>
      </c>
      <c r="E52" s="71" t="n">
        <f aca="false">COUNTIFS(AB16:AB45,3,AC16:AC45,"C")</f>
        <v>0</v>
      </c>
      <c r="F52" s="72" t="n">
        <f aca="false">COUNTIFS(AB16:AB45,3,AC16:AC45,"D")</f>
        <v>2</v>
      </c>
      <c r="G52" s="72" t="n">
        <f aca="false">COUNTIFS(AB16:AB45,3,AC16:AC45,"E")</f>
        <v>1</v>
      </c>
      <c r="J52" s="70" t="n">
        <v>3</v>
      </c>
      <c r="K52" s="74" t="n">
        <f aca="false">COUNTIFS(AD16:AD45,3,AE16:AE45,"A")</f>
        <v>0</v>
      </c>
      <c r="L52" s="71" t="n">
        <f aca="false">COUNTIFS(AD16:AD45,3,AE16:AE45,"B")</f>
        <v>0</v>
      </c>
      <c r="M52" s="71" t="n">
        <f aca="false">COUNTIFS(AD16:AD45,3,AE16:AE45,"C")</f>
        <v>0</v>
      </c>
      <c r="N52" s="72" t="n">
        <f aca="false">COUNTIFS(AD16:AD45,3,AE16:AE45,"D")</f>
        <v>0</v>
      </c>
      <c r="O52" s="72" t="n">
        <f aca="false">COUNTIFS(AD16:AD45,3,AE16:AE45,"E")</f>
        <v>0</v>
      </c>
    </row>
    <row r="53" customFormat="false" ht="15" hidden="false" customHeight="false" outlineLevel="0" collapsed="false">
      <c r="B53" s="70" t="n">
        <v>2</v>
      </c>
      <c r="C53" s="74" t="n">
        <f aca="false">COUNTIFS(AB16:AB45,2,AC16:AC45,"A")</f>
        <v>0</v>
      </c>
      <c r="D53" s="74" t="n">
        <f aca="false">COUNTIFS(AB16:AB45,2,AC16:AC45,"B")</f>
        <v>0</v>
      </c>
      <c r="E53" s="71" t="n">
        <f aca="false">COUNTIFS(AB16:AB45,2,AC16:AC45,"C")</f>
        <v>1</v>
      </c>
      <c r="F53" s="71" t="n">
        <f aca="false">COUNTIFS(AB16:AB45,2,AC16:AC45,"D")</f>
        <v>1</v>
      </c>
      <c r="G53" s="72" t="n">
        <f aca="false">COUNTIFS(AB16:AB45,2,AC16:AC45,"E")</f>
        <v>0</v>
      </c>
      <c r="J53" s="70" t="n">
        <v>2</v>
      </c>
      <c r="K53" s="74" t="n">
        <f aca="false">COUNTIFS(AD16:AD45,2,AE16:AE45,"A")</f>
        <v>0</v>
      </c>
      <c r="L53" s="74" t="n">
        <f aca="false">COUNTIFS(AD16:AD45,2,AE16:AE45,"B")</f>
        <v>0</v>
      </c>
      <c r="M53" s="71" t="n">
        <f aca="false">COUNTIFS(AD16:AD45,2,AE16:AE45,"C")</f>
        <v>1</v>
      </c>
      <c r="N53" s="71" t="n">
        <f aca="false">COUNTIFS(AD16:AD45,2,AE16:AE45,"D")</f>
        <v>1</v>
      </c>
      <c r="O53" s="72" t="n">
        <f aca="false">COUNTIFS(AD16:AD45,2,AE16:AE45,"E")</f>
        <v>0</v>
      </c>
    </row>
    <row r="54" customFormat="false" ht="15" hidden="false" customHeight="false" outlineLevel="0" collapsed="false">
      <c r="B54" s="70" t="n">
        <v>1</v>
      </c>
      <c r="C54" s="74" t="n">
        <f aca="false">COUNTIFS(AB16:AB45,1,AC16:AC45,"A")</f>
        <v>0</v>
      </c>
      <c r="D54" s="74" t="n">
        <f aca="false">COUNTIFS(AB16:AB45,1,AC16:AC45,"B")</f>
        <v>0</v>
      </c>
      <c r="E54" s="74" t="n">
        <f aca="false">COUNTIFS(AB16:AB45,1,AC16:AC45,"C")</f>
        <v>0</v>
      </c>
      <c r="F54" s="71" t="n">
        <f aca="false">COUNTIFS(AB16:AB45,1,AC16:AC45,"D")</f>
        <v>0</v>
      </c>
      <c r="G54" s="71" t="n">
        <f aca="false">COUNTIFS(AB16:AB45,1,AC16:AC45,"E")</f>
        <v>0</v>
      </c>
      <c r="J54" s="70" t="n">
        <v>1</v>
      </c>
      <c r="K54" s="74" t="n">
        <f aca="false">COUNTIFS(AD16:AD45,1,AE16:AE45,"A")</f>
        <v>0</v>
      </c>
      <c r="L54" s="74" t="n">
        <f aca="false">COUNTIFS(AD16:AD45,1,AE16:AE45,"B")</f>
        <v>0</v>
      </c>
      <c r="M54" s="74" t="n">
        <f aca="false">COUNTIFS(AD16:AD45,1,AE16:AE45,"C")</f>
        <v>1</v>
      </c>
      <c r="N54" s="71" t="n">
        <f aca="false">COUNTIFS(AD16:AD45,1,AE16:AE45,"D")</f>
        <v>2</v>
      </c>
      <c r="O54" s="71" t="n">
        <f aca="false">COUNTIFS(AD16:AD45,1,AE16:AE45,"E")</f>
        <v>1</v>
      </c>
    </row>
    <row r="55" customFormat="false" ht="15" hidden="false" customHeight="false" outlineLevel="0" collapsed="false">
      <c r="C55" s="70" t="s">
        <v>151</v>
      </c>
      <c r="D55" s="70" t="s">
        <v>161</v>
      </c>
      <c r="E55" s="70" t="s">
        <v>154</v>
      </c>
      <c r="F55" s="70" t="s">
        <v>169</v>
      </c>
      <c r="G55" s="70" t="s">
        <v>162</v>
      </c>
      <c r="K55" s="70" t="s">
        <v>151</v>
      </c>
      <c r="L55" s="70" t="s">
        <v>161</v>
      </c>
      <c r="M55" s="70" t="s">
        <v>154</v>
      </c>
      <c r="N55" s="70" t="s">
        <v>169</v>
      </c>
      <c r="O55" s="70" t="s">
        <v>162</v>
      </c>
    </row>
    <row r="56" customFormat="false" ht="15" hidden="false" customHeight="false" outlineLevel="0" collapsed="false">
      <c r="C56" s="75" t="s">
        <v>192</v>
      </c>
      <c r="K56" s="75" t="s">
        <v>192</v>
      </c>
    </row>
    <row r="57" customFormat="false" ht="15" hidden="false" customHeight="false" outlineLevel="0" collapsed="false">
      <c r="B57" s="75" t="s">
        <v>193</v>
      </c>
    </row>
    <row r="63" customFormat="false" ht="15" hidden="false" customHeight="false" outlineLevel="0" collapsed="false">
      <c r="B63" s="69" t="s">
        <v>194</v>
      </c>
      <c r="E63" s="69" t="s">
        <v>195</v>
      </c>
      <c r="H63" s="69" t="s">
        <v>196</v>
      </c>
      <c r="K63" s="69" t="s">
        <v>197</v>
      </c>
      <c r="P63" s="69" t="s">
        <v>198</v>
      </c>
      <c r="T63" s="69" t="s">
        <v>199</v>
      </c>
      <c r="W63" s="69" t="s">
        <v>200</v>
      </c>
    </row>
    <row r="64" customFormat="false" ht="15" hidden="false" customHeight="false" outlineLevel="0" collapsed="false">
      <c r="B64" s="5" t="s">
        <v>157</v>
      </c>
      <c r="C64" s="76" t="n">
        <v>3.06E-005</v>
      </c>
      <c r="E64" s="69" t="s">
        <v>201</v>
      </c>
      <c r="F64" s="69" t="s">
        <v>202</v>
      </c>
      <c r="H64" s="5" t="s">
        <v>180</v>
      </c>
      <c r="I64" s="77" t="n">
        <v>500</v>
      </c>
      <c r="K64" s="5" t="s">
        <v>150</v>
      </c>
      <c r="N64" s="5" t="s">
        <v>162</v>
      </c>
      <c r="P64" s="69" t="s">
        <v>203</v>
      </c>
      <c r="Q64" s="69" t="s">
        <v>204</v>
      </c>
      <c r="R64" s="69" t="s">
        <v>205</v>
      </c>
      <c r="S64" s="69" t="s">
        <v>206</v>
      </c>
      <c r="T64" s="5" t="s">
        <v>207</v>
      </c>
      <c r="U64" s="77" t="n">
        <v>1</v>
      </c>
      <c r="W64" s="5" t="s">
        <v>208</v>
      </c>
      <c r="X64" s="78" t="n">
        <v>0</v>
      </c>
    </row>
    <row r="65" customFormat="false" ht="15" hidden="false" customHeight="false" outlineLevel="0" collapsed="false">
      <c r="B65" s="5" t="s">
        <v>148</v>
      </c>
      <c r="C65" s="76" t="n">
        <v>3.06E-005</v>
      </c>
      <c r="E65" s="77" t="n">
        <v>0</v>
      </c>
      <c r="F65" s="77" t="n">
        <v>1</v>
      </c>
      <c r="H65" s="5" t="s">
        <v>160</v>
      </c>
      <c r="I65" s="77" t="n">
        <v>100</v>
      </c>
      <c r="K65" s="5" t="s">
        <v>209</v>
      </c>
      <c r="N65" s="5" t="s">
        <v>162</v>
      </c>
      <c r="P65" s="5" t="s">
        <v>151</v>
      </c>
      <c r="Q65" s="79" t="n">
        <v>0.9</v>
      </c>
      <c r="R65" s="80" t="n">
        <f aca="false">1-Q65</f>
        <v>0.1</v>
      </c>
      <c r="S65" s="81" t="n">
        <f aca="false">720/720</f>
        <v>1</v>
      </c>
      <c r="T65" s="5" t="s">
        <v>210</v>
      </c>
      <c r="U65" s="77" t="n">
        <v>0.05</v>
      </c>
      <c r="W65" s="5" t="s">
        <v>211</v>
      </c>
      <c r="X65" s="78" t="n">
        <v>3000</v>
      </c>
    </row>
    <row r="66" customFormat="false" ht="15" hidden="false" customHeight="false" outlineLevel="0" collapsed="false">
      <c r="B66" s="5" t="s">
        <v>164</v>
      </c>
      <c r="C66" s="76" t="n">
        <v>3.06E-005</v>
      </c>
      <c r="E66" s="77" t="n">
        <v>0.05</v>
      </c>
      <c r="F66" s="77" t="n">
        <v>2</v>
      </c>
      <c r="H66" s="5" t="s">
        <v>212</v>
      </c>
      <c r="I66" s="77" t="n">
        <v>10</v>
      </c>
      <c r="K66" s="5" t="s">
        <v>186</v>
      </c>
      <c r="N66" s="5" t="s">
        <v>162</v>
      </c>
      <c r="P66" s="5" t="s">
        <v>161</v>
      </c>
      <c r="Q66" s="79" t="n">
        <v>0.7</v>
      </c>
      <c r="R66" s="80" t="n">
        <f aca="false">1-Q66</f>
        <v>0.3</v>
      </c>
      <c r="S66" s="81" t="n">
        <f aca="false">600/720</f>
        <v>0.833333333333333</v>
      </c>
      <c r="T66" s="5" t="s">
        <v>213</v>
      </c>
      <c r="U66" s="77" t="n">
        <v>0.3</v>
      </c>
      <c r="W66" s="5" t="s">
        <v>214</v>
      </c>
      <c r="X66" s="78" t="n">
        <v>15000</v>
      </c>
    </row>
    <row r="67" customFormat="false" ht="15" hidden="false" customHeight="false" outlineLevel="0" collapsed="false">
      <c r="B67" s="5" t="s">
        <v>172</v>
      </c>
      <c r="C67" s="76" t="n">
        <v>3.06E-005</v>
      </c>
      <c r="E67" s="77" t="n">
        <v>0.1</v>
      </c>
      <c r="F67" s="77" t="n">
        <v>6</v>
      </c>
      <c r="H67" s="5" t="s">
        <v>215</v>
      </c>
      <c r="I67" s="77" t="n">
        <v>1</v>
      </c>
      <c r="K67" s="5" t="s">
        <v>166</v>
      </c>
      <c r="N67" s="5" t="s">
        <v>162</v>
      </c>
      <c r="P67" s="5" t="s">
        <v>154</v>
      </c>
      <c r="Q67" s="79" t="n">
        <v>0.5</v>
      </c>
      <c r="R67" s="80" t="n">
        <f aca="false">1-Q67</f>
        <v>0.5</v>
      </c>
      <c r="S67" s="81" t="n">
        <f aca="false">480/720</f>
        <v>0.666666666666667</v>
      </c>
      <c r="T67" s="5" t="s">
        <v>216</v>
      </c>
      <c r="U67" s="77" t="n">
        <v>1</v>
      </c>
      <c r="W67" s="5" t="s">
        <v>217</v>
      </c>
      <c r="X67" s="78" t="n">
        <v>60000</v>
      </c>
    </row>
    <row r="68" customFormat="false" ht="15" hidden="false" customHeight="false" outlineLevel="0" collapsed="false">
      <c r="B68" s="5" t="s">
        <v>177</v>
      </c>
      <c r="C68" s="76" t="n">
        <v>3.06E-005</v>
      </c>
      <c r="E68" s="77" t="n">
        <v>0.15</v>
      </c>
      <c r="F68" s="77" t="n">
        <v>20</v>
      </c>
      <c r="K68" s="5" t="s">
        <v>183</v>
      </c>
      <c r="N68" s="5" t="s">
        <v>162</v>
      </c>
      <c r="P68" s="5" t="s">
        <v>169</v>
      </c>
      <c r="Q68" s="79" t="n">
        <v>0.3</v>
      </c>
      <c r="R68" s="80" t="n">
        <f aca="false">1-Q68</f>
        <v>0.7</v>
      </c>
      <c r="S68" s="81" t="n">
        <f aca="false">360/720</f>
        <v>0.5</v>
      </c>
    </row>
    <row r="69" customFormat="false" ht="15" hidden="false" customHeight="false" outlineLevel="0" collapsed="false">
      <c r="E69" s="77" t="n">
        <v>0.2</v>
      </c>
      <c r="F69" s="77" t="n">
        <v>60</v>
      </c>
      <c r="K69" s="5" t="s">
        <v>179</v>
      </c>
      <c r="N69" s="5" t="s">
        <v>218</v>
      </c>
      <c r="P69" s="5" t="s">
        <v>162</v>
      </c>
      <c r="Q69" s="79" t="n">
        <v>0.1</v>
      </c>
      <c r="R69" s="80" t="n">
        <f aca="false">1-Q69</f>
        <v>0.9</v>
      </c>
      <c r="S69" s="81" t="s">
        <v>219</v>
      </c>
    </row>
    <row r="70" customFormat="false" ht="15" hidden="false" customHeight="false" outlineLevel="0" collapsed="false">
      <c r="E70" s="77" t="n">
        <v>0.3</v>
      </c>
      <c r="F70" s="77" t="n">
        <v>250</v>
      </c>
      <c r="K70" s="5" t="s">
        <v>220</v>
      </c>
      <c r="N70" s="5" t="s">
        <v>218</v>
      </c>
    </row>
    <row r="71" customFormat="false" ht="15" hidden="false" customHeight="false" outlineLevel="0" collapsed="false">
      <c r="E71" s="77" t="n">
        <v>0.4</v>
      </c>
      <c r="F71" s="77" t="n">
        <v>750</v>
      </c>
      <c r="K71" s="5" t="s">
        <v>159</v>
      </c>
      <c r="N71" s="5" t="s">
        <v>218</v>
      </c>
    </row>
    <row r="72" customFormat="false" ht="15" hidden="false" customHeight="false" outlineLevel="0" collapsed="false">
      <c r="E72" s="77" t="n">
        <v>0.5</v>
      </c>
      <c r="F72" s="77" t="n">
        <v>2000</v>
      </c>
    </row>
    <row r="73" customFormat="false" ht="15" hidden="false" customHeight="false" outlineLevel="0" collapsed="false">
      <c r="E73" s="77" t="n">
        <v>0.65</v>
      </c>
      <c r="F73" s="77" t="n">
        <v>5000</v>
      </c>
    </row>
    <row r="75" customFormat="false" ht="15" hidden="false" customHeight="false" outlineLevel="0" collapsed="false">
      <c r="B75" s="69" t="s">
        <v>221</v>
      </c>
      <c r="J75" s="69" t="s">
        <v>222</v>
      </c>
    </row>
    <row r="76" customFormat="false" ht="15" hidden="false" customHeight="false" outlineLevel="0" collapsed="false">
      <c r="B76" s="69" t="s">
        <v>223</v>
      </c>
      <c r="C76" s="69" t="s">
        <v>224</v>
      </c>
      <c r="D76" s="69" t="s">
        <v>225</v>
      </c>
      <c r="E76" s="69" t="s">
        <v>226</v>
      </c>
      <c r="F76" s="69" t="s">
        <v>227</v>
      </c>
      <c r="G76" s="69" t="s">
        <v>228</v>
      </c>
      <c r="K76" s="69" t="s">
        <v>151</v>
      </c>
      <c r="L76" s="69" t="s">
        <v>161</v>
      </c>
      <c r="M76" s="69" t="s">
        <v>154</v>
      </c>
      <c r="N76" s="69" t="s">
        <v>169</v>
      </c>
      <c r="O76" s="69" t="s">
        <v>162</v>
      </c>
    </row>
    <row r="77" customFormat="false" ht="15" hidden="false" customHeight="false" outlineLevel="0" collapsed="false">
      <c r="B77" s="5" t="n">
        <v>1</v>
      </c>
      <c r="C77" s="78" t="n">
        <v>2</v>
      </c>
      <c r="D77" s="78" t="n">
        <v>1</v>
      </c>
      <c r="E77" s="5" t="s">
        <v>151</v>
      </c>
      <c r="F77" s="78" t="n">
        <v>10000</v>
      </c>
      <c r="G77" s="78" t="n">
        <v>5000</v>
      </c>
      <c r="J77" s="69" t="n">
        <v>1</v>
      </c>
      <c r="K77" s="82" t="n">
        <v>1</v>
      </c>
      <c r="L77" s="82" t="n">
        <v>1</v>
      </c>
      <c r="M77" s="82" t="n">
        <v>1</v>
      </c>
      <c r="N77" s="82" t="n">
        <v>2</v>
      </c>
      <c r="O77" s="82" t="n">
        <v>2</v>
      </c>
    </row>
    <row r="78" customFormat="false" ht="15" hidden="false" customHeight="false" outlineLevel="0" collapsed="false">
      <c r="B78" s="5" t="n">
        <v>2</v>
      </c>
      <c r="C78" s="78" t="n">
        <v>20</v>
      </c>
      <c r="D78" s="78" t="n">
        <v>6</v>
      </c>
      <c r="E78" s="5" t="s">
        <v>161</v>
      </c>
      <c r="F78" s="78" t="n">
        <v>100000</v>
      </c>
      <c r="G78" s="78" t="n">
        <v>31600</v>
      </c>
      <c r="J78" s="69" t="n">
        <v>2</v>
      </c>
      <c r="K78" s="82" t="n">
        <v>1</v>
      </c>
      <c r="L78" s="82" t="n">
        <v>1</v>
      </c>
      <c r="M78" s="82" t="n">
        <v>2</v>
      </c>
      <c r="N78" s="82" t="n">
        <v>2</v>
      </c>
      <c r="O78" s="82" t="n">
        <v>3</v>
      </c>
    </row>
    <row r="79" customFormat="false" ht="15" hidden="false" customHeight="false" outlineLevel="0" collapsed="false">
      <c r="B79" s="5" t="n">
        <v>3</v>
      </c>
      <c r="C79" s="78" t="n">
        <v>100</v>
      </c>
      <c r="D79" s="78" t="n">
        <v>45</v>
      </c>
      <c r="E79" s="5" t="s">
        <v>154</v>
      </c>
      <c r="F79" s="78" t="n">
        <v>1000000</v>
      </c>
      <c r="G79" s="78" t="n">
        <v>316000</v>
      </c>
      <c r="J79" s="69" t="n">
        <v>3</v>
      </c>
      <c r="K79" s="82" t="n">
        <v>1</v>
      </c>
      <c r="L79" s="82" t="n">
        <v>2</v>
      </c>
      <c r="M79" s="82" t="n">
        <v>2</v>
      </c>
      <c r="N79" s="82" t="n">
        <v>3</v>
      </c>
      <c r="O79" s="82" t="n">
        <v>3</v>
      </c>
    </row>
    <row r="80" customFormat="false" ht="15" hidden="false" customHeight="false" outlineLevel="0" collapsed="false">
      <c r="B80" s="5" t="n">
        <v>4</v>
      </c>
      <c r="C80" s="78" t="n">
        <v>1000</v>
      </c>
      <c r="D80" s="78" t="n">
        <v>316</v>
      </c>
      <c r="E80" s="5" t="s">
        <v>169</v>
      </c>
      <c r="F80" s="78" t="n">
        <v>10000000</v>
      </c>
      <c r="G80" s="78" t="n">
        <v>3160000</v>
      </c>
      <c r="J80" s="69" t="n">
        <v>4</v>
      </c>
      <c r="K80" s="82" t="n">
        <v>2</v>
      </c>
      <c r="L80" s="82" t="n">
        <v>2</v>
      </c>
      <c r="M80" s="82" t="n">
        <v>3</v>
      </c>
      <c r="N80" s="82" t="n">
        <v>3</v>
      </c>
      <c r="O80" s="82" t="n">
        <v>4</v>
      </c>
    </row>
    <row r="81" customFormat="false" ht="15" hidden="false" customHeight="false" outlineLevel="0" collapsed="false">
      <c r="B81" s="5" t="n">
        <v>5</v>
      </c>
      <c r="C81" s="78" t="s">
        <v>229</v>
      </c>
      <c r="D81" s="78" t="n">
        <v>2000</v>
      </c>
      <c r="E81" s="5" t="s">
        <v>162</v>
      </c>
      <c r="F81" s="78" t="s">
        <v>229</v>
      </c>
      <c r="G81" s="78" t="n">
        <v>31600000</v>
      </c>
      <c r="J81" s="69" t="n">
        <v>5</v>
      </c>
      <c r="K81" s="82" t="n">
        <v>2</v>
      </c>
      <c r="L81" s="82" t="n">
        <v>3</v>
      </c>
      <c r="M81" s="82" t="n">
        <v>3</v>
      </c>
      <c r="N81" s="82" t="n">
        <v>4</v>
      </c>
      <c r="O81" s="82" t="n">
        <v>4</v>
      </c>
    </row>
    <row r="84" customFormat="false" ht="15" hidden="false" customHeight="false" outlineLevel="0" collapsed="false">
      <c r="B84" s="68" t="s">
        <v>230</v>
      </c>
    </row>
    <row r="85" customFormat="false" ht="15" hidden="false" customHeight="false" outlineLevel="0" collapsed="false">
      <c r="B85" s="5" t="s">
        <v>231</v>
      </c>
      <c r="F85" s="83" t="n">
        <v>60</v>
      </c>
      <c r="G85" s="7" t="s">
        <v>232</v>
      </c>
      <c r="H85" s="84" t="s">
        <v>233</v>
      </c>
    </row>
    <row r="86" customFormat="false" ht="15" hidden="false" customHeight="false" outlineLevel="0" collapsed="false">
      <c r="B86" s="5" t="s">
        <v>234</v>
      </c>
      <c r="F86" s="83" t="n">
        <v>60</v>
      </c>
      <c r="G86" s="7" t="s">
        <v>232</v>
      </c>
      <c r="H86" s="84" t="s">
        <v>235</v>
      </c>
    </row>
    <row r="87" customFormat="false" ht="15" hidden="false" customHeight="false" outlineLevel="0" collapsed="false">
      <c r="B87" s="5" t="s">
        <v>236</v>
      </c>
      <c r="F87" s="83" t="n">
        <v>4000</v>
      </c>
      <c r="G87" s="7" t="s">
        <v>237</v>
      </c>
      <c r="H87" s="84" t="s">
        <v>238</v>
      </c>
    </row>
    <row r="88" customFormat="false" ht="15" hidden="false" customHeight="false" outlineLevel="0" collapsed="false">
      <c r="B88" s="5" t="s">
        <v>239</v>
      </c>
      <c r="F88" s="83" t="n">
        <v>0.1</v>
      </c>
      <c r="G88" s="7" t="s">
        <v>240</v>
      </c>
      <c r="H88" s="84" t="s">
        <v>241</v>
      </c>
    </row>
    <row r="89" customFormat="false" ht="15" hidden="false" customHeight="false" outlineLevel="0" collapsed="false">
      <c r="B89" s="5" t="s">
        <v>242</v>
      </c>
      <c r="F89" s="83" t="n">
        <v>10000</v>
      </c>
      <c r="G89" s="7" t="s">
        <v>243</v>
      </c>
      <c r="H89" s="84" t="s">
        <v>244</v>
      </c>
    </row>
    <row r="90" customFormat="false" ht="15" hidden="false" customHeight="false" outlineLevel="0" collapsed="false">
      <c r="B90" s="5" t="s">
        <v>245</v>
      </c>
      <c r="F90" s="83" t="n">
        <v>0.25</v>
      </c>
      <c r="G90" s="7" t="s">
        <v>246</v>
      </c>
      <c r="H90" s="84" t="s">
        <v>247</v>
      </c>
    </row>
    <row r="91" customFormat="false" ht="15" hidden="false" customHeight="false" outlineLevel="0" collapsed="false">
      <c r="B91" s="5" t="s">
        <v>248</v>
      </c>
      <c r="F91" s="83" t="n">
        <v>3</v>
      </c>
      <c r="G91" s="7" t="s">
        <v>249</v>
      </c>
      <c r="H91" s="84" t="s">
        <v>250</v>
      </c>
    </row>
    <row r="92" customFormat="false" ht="15" hidden="false" customHeight="false" outlineLevel="0" collapsed="false">
      <c r="B92" s="5" t="s">
        <v>251</v>
      </c>
      <c r="F92" s="83" t="n">
        <v>20000</v>
      </c>
      <c r="G92" s="7" t="s">
        <v>243</v>
      </c>
      <c r="H92" s="84" t="s">
        <v>247</v>
      </c>
    </row>
    <row r="93" customFormat="false" ht="15" hidden="false" customHeight="false" outlineLevel="0" collapsed="false">
      <c r="B93" s="5" t="s">
        <v>252</v>
      </c>
      <c r="F93" s="83" t="n">
        <v>0.1</v>
      </c>
      <c r="G93" s="7" t="s">
        <v>246</v>
      </c>
      <c r="H93" s="84" t="s">
        <v>253</v>
      </c>
    </row>
    <row r="94" customFormat="false" ht="15" hidden="false" customHeight="false" outlineLevel="0" collapsed="false">
      <c r="B94" s="5" t="s">
        <v>254</v>
      </c>
      <c r="F94" s="54" t="n">
        <f aca="false">$F$85*$F$87</f>
        <v>240000</v>
      </c>
    </row>
    <row r="95" customFormat="false" ht="15" hidden="false" customHeight="false" outlineLevel="0" collapsed="false">
      <c r="B95" s="5" t="s">
        <v>255</v>
      </c>
      <c r="F95" s="54" t="n">
        <f aca="false">$F$90*F94</f>
        <v>60000</v>
      </c>
    </row>
    <row r="96" customFormat="false" ht="15" hidden="false" customHeight="false" outlineLevel="0" collapsed="false">
      <c r="B96" s="5" t="s">
        <v>256</v>
      </c>
      <c r="F96" s="54" t="n">
        <f aca="false">$F$91*ProdDia</f>
        <v>120000</v>
      </c>
    </row>
    <row r="97" customFormat="false" ht="15" hidden="false" customHeight="false" outlineLevel="0" collapsed="false">
      <c r="B97" s="5" t="s">
        <v>257</v>
      </c>
      <c r="F97" s="54" t="n">
        <f aca="false">$F$86*$F$88*$F$89</f>
        <v>60000</v>
      </c>
    </row>
    <row r="98" customFormat="false" ht="15" hidden="false" customHeight="false" outlineLevel="0" collapsed="false">
      <c r="B98" s="5" t="s">
        <v>258</v>
      </c>
      <c r="F98" s="54" t="n">
        <f aca="false">$F$92</f>
        <v>20000</v>
      </c>
    </row>
    <row r="99" customFormat="false" ht="15" hidden="false" customHeight="false" outlineLevel="0" collapsed="false">
      <c r="B99" s="69" t="s">
        <v>259</v>
      </c>
      <c r="F99" s="85" t="n">
        <f aca="false">SUM(F94:F98)</f>
        <v>500000</v>
      </c>
    </row>
    <row r="100" customFormat="false" ht="15" hidden="false" customHeight="false" outlineLevel="0" collapsed="false">
      <c r="B100" s="69" t="s">
        <v>260</v>
      </c>
      <c r="F100" s="85" t="n">
        <f aca="false">F99*(1-$F$93)</f>
        <v>450000</v>
      </c>
    </row>
    <row r="101" customFormat="false" ht="15" hidden="false" customHeight="false" outlineLevel="0" collapsed="false">
      <c r="B101" s="5" t="s">
        <v>261</v>
      </c>
      <c r="F101" s="86" t="n">
        <f aca="false">AM16*$F$86*$F$88</f>
        <v>0.0145148544601729</v>
      </c>
    </row>
    <row r="102" customFormat="false" ht="15" hidden="false" customHeight="false" outlineLevel="0" collapsed="false">
      <c r="B102" s="5" t="s">
        <v>262</v>
      </c>
      <c r="F102" s="54" t="n">
        <f aca="false">F101*$F$89</f>
        <v>145.148544601729</v>
      </c>
    </row>
    <row r="103" customFormat="false" ht="15" hidden="false" customHeight="false" outlineLevel="0" collapsed="false">
      <c r="B103" s="5" t="s">
        <v>263</v>
      </c>
      <c r="F103" s="54" t="n">
        <f aca="false">BO16</f>
        <v>1643.69388990739</v>
      </c>
    </row>
    <row r="104" customFormat="false" ht="15" hidden="false" customHeight="false" outlineLevel="0" collapsed="false">
      <c r="B104" s="68" t="s">
        <v>264</v>
      </c>
    </row>
    <row r="105" customFormat="false" ht="15" hidden="false" customHeight="false" outlineLevel="0" collapsed="false">
      <c r="B105" s="5" t="s">
        <v>265</v>
      </c>
      <c r="F105" s="46" t="n">
        <v>250000</v>
      </c>
    </row>
    <row r="106" customFormat="false" ht="15" hidden="false" customHeight="false" outlineLevel="0" collapsed="false">
      <c r="B106" s="5" t="s">
        <v>266</v>
      </c>
      <c r="F106" s="42" t="n">
        <v>80</v>
      </c>
    </row>
    <row r="107" customFormat="false" ht="15" hidden="false" customHeight="false" outlineLevel="0" collapsed="false">
      <c r="B107" s="5" t="s">
        <v>267</v>
      </c>
      <c r="F107" s="48" t="n">
        <v>0.1</v>
      </c>
    </row>
    <row r="108" customFormat="false" ht="15" hidden="false" customHeight="false" outlineLevel="0" collapsed="false">
      <c r="B108" s="5" t="s">
        <v>268</v>
      </c>
      <c r="F108" s="87" t="n">
        <f aca="false">PrecioBbl*MargenPct</f>
        <v>8</v>
      </c>
    </row>
    <row r="109" customFormat="false" ht="15" hidden="false" customHeight="false" outlineLevel="0" collapsed="false">
      <c r="B109" s="5" t="s">
        <v>269</v>
      </c>
      <c r="F109" s="88" t="n">
        <f aca="false">CapBpd*MargenBbl</f>
        <v>2000000</v>
      </c>
    </row>
    <row r="110" customFormat="false" ht="15" hidden="false" customHeight="false" outlineLevel="0" collapsed="false">
      <c r="B110" s="5" t="s">
        <v>270</v>
      </c>
      <c r="F110" s="47" t="n">
        <v>0.2</v>
      </c>
    </row>
    <row r="111" customFormat="false" ht="15" hidden="false" customHeight="false" outlineLevel="0" collapsed="false">
      <c r="B111" s="5" t="s">
        <v>271</v>
      </c>
      <c r="F111" s="88" t="n">
        <f aca="false">F110*F109</f>
        <v>400000</v>
      </c>
    </row>
    <row r="112" customFormat="false" ht="15" hidden="false" customHeight="false" outlineLevel="0" collapsed="false">
      <c r="B112" s="75" t="s">
        <v>272</v>
      </c>
    </row>
    <row r="114" customFormat="false" ht="15" hidden="false" customHeight="false" outlineLevel="0" collapsed="false">
      <c r="B114" s="68" t="s">
        <v>273</v>
      </c>
    </row>
    <row r="115" customFormat="false" ht="15" hidden="false" customHeight="false" outlineLevel="0" collapsed="false">
      <c r="B115" s="69" t="s">
        <v>274</v>
      </c>
      <c r="C115" s="69" t="s">
        <v>275</v>
      </c>
      <c r="D115" s="69" t="s">
        <v>132</v>
      </c>
      <c r="E115" s="69" t="s">
        <v>276</v>
      </c>
      <c r="F115" s="69" t="s">
        <v>133</v>
      </c>
    </row>
    <row r="116" customFormat="false" ht="15" hidden="false" customHeight="false" outlineLevel="0" collapsed="false">
      <c r="B116" s="47" t="n">
        <v>0.06</v>
      </c>
      <c r="C116" s="89" t="n">
        <f aca="false">(1-(1+B116)^(-Horiz))/B116</f>
        <v>7.3600870514147</v>
      </c>
      <c r="D116" s="88" t="n">
        <f aca="false">C116*BO46</f>
        <v>1410828.55104841</v>
      </c>
      <c r="E116" s="90" t="n">
        <f aca="false">D116-BQ46</f>
        <v>947638.551048414</v>
      </c>
      <c r="F116" s="87" t="n">
        <f aca="false">IFERROR(D116/BQ46,0)</f>
        <v>3.04589596288437</v>
      </c>
    </row>
    <row r="117" customFormat="false" ht="15" hidden="false" customHeight="false" outlineLevel="0" collapsed="false">
      <c r="B117" s="47" t="n">
        <v>0.08</v>
      </c>
      <c r="C117" s="89" t="n">
        <f aca="false">(1-(1+B117)^(-Horiz))/B117</f>
        <v>6.71008139894145</v>
      </c>
      <c r="D117" s="88" t="n">
        <f aca="false">C117*BO46</f>
        <v>1286231.31103671</v>
      </c>
      <c r="E117" s="90" t="n">
        <f aca="false">D117-BQ46</f>
        <v>823041.311036714</v>
      </c>
      <c r="F117" s="87" t="n">
        <f aca="false">IFERROR(D117/BQ46,0)</f>
        <v>2.77689784113801</v>
      </c>
    </row>
    <row r="118" customFormat="false" ht="15" hidden="false" customHeight="false" outlineLevel="0" collapsed="false">
      <c r="B118" s="47" t="n">
        <v>0.1</v>
      </c>
      <c r="C118" s="89" t="n">
        <f aca="false">(1-(1+B118)^(-Horiz))/B118</f>
        <v>6.14456710570469</v>
      </c>
      <c r="D118" s="88" t="n">
        <f aca="false">C118*BO46</f>
        <v>1177829.91505444</v>
      </c>
      <c r="E118" s="90" t="n">
        <f aca="false">D118-BQ46</f>
        <v>714639.915054443</v>
      </c>
      <c r="F118" s="87" t="n">
        <f aca="false">IFERROR(D118/BQ46,0)</f>
        <v>2.5428655952297</v>
      </c>
    </row>
    <row r="119" customFormat="false" ht="15" hidden="false" customHeight="false" outlineLevel="0" collapsed="false">
      <c r="B119" s="47" t="n">
        <v>0.12</v>
      </c>
      <c r="C119" s="89" t="n">
        <f aca="false">(1-(1+B119)^(-Horiz))/B119</f>
        <v>5.65022302841087</v>
      </c>
      <c r="D119" s="88" t="n">
        <f aca="false">C119*BO46</f>
        <v>1083070.88117131</v>
      </c>
      <c r="E119" s="90" t="n">
        <f aca="false">D119-BQ46</f>
        <v>619880.881171312</v>
      </c>
      <c r="F119" s="87" t="n">
        <f aca="false">IFERROR(D119/BQ46,0)</f>
        <v>2.33828640767571</v>
      </c>
    </row>
    <row r="120" customFormat="false" ht="15" hidden="false" customHeight="false" outlineLevel="0" collapsed="false">
      <c r="B120" s="47" t="n">
        <v>0.15</v>
      </c>
      <c r="C120" s="89" t="n">
        <f aca="false">(1-(1+B120)^(-Horiz))/B120</f>
        <v>5.01876862585423</v>
      </c>
      <c r="D120" s="88" t="n">
        <f aca="false">C120*BO46</f>
        <v>962029.663372008</v>
      </c>
      <c r="E120" s="90" t="n">
        <f aca="false">D120-BQ46</f>
        <v>498839.663372008</v>
      </c>
      <c r="F120" s="87" t="n">
        <f aca="false">IFERROR(D120/BQ46,0)</f>
        <v>2.07696552898812</v>
      </c>
    </row>
    <row r="121" customFormat="false" ht="15" hidden="false" customHeight="false" outlineLevel="0" collapsed="false">
      <c r="B121" s="47" t="n">
        <v>0.2</v>
      </c>
      <c r="C121" s="89" t="n">
        <f aca="false">(1-(1+B121)^(-Horiz))/B121</f>
        <v>4.19247208555077</v>
      </c>
      <c r="D121" s="88" t="n">
        <f aca="false">C121*BO46</f>
        <v>803639.85866602</v>
      </c>
      <c r="E121" s="90" t="n">
        <f aca="false">D121-BQ46</f>
        <v>340449.85866602</v>
      </c>
      <c r="F121" s="87" t="n">
        <f aca="false">IFERROR(D121/BQ46,0)</f>
        <v>1.73501124520396</v>
      </c>
    </row>
    <row r="123" customFormat="false" ht="15" hidden="false" customHeight="false" outlineLevel="0" collapsed="false">
      <c r="B123" s="68" t="s">
        <v>277</v>
      </c>
    </row>
    <row r="124" customFormat="false" ht="15" hidden="false" customHeight="false" outlineLevel="0" collapsed="false">
      <c r="B124" s="69" t="s">
        <v>278</v>
      </c>
      <c r="C124" s="69" t="s">
        <v>279</v>
      </c>
      <c r="D124" s="69" t="s">
        <v>280</v>
      </c>
      <c r="E124" s="69" t="s">
        <v>281</v>
      </c>
      <c r="F124" s="69" t="s">
        <v>133</v>
      </c>
      <c r="G124" s="69" t="s">
        <v>276</v>
      </c>
    </row>
    <row r="125" customFormat="false" ht="15" hidden="false" customHeight="false" outlineLevel="0" collapsed="false">
      <c r="B125" s="60" t="s">
        <v>282</v>
      </c>
      <c r="C125" s="44" t="n">
        <v>0.5</v>
      </c>
      <c r="D125" s="88" t="n">
        <f aca="false">$BJ$46+($BI$46+$BL$46)*C125+$BK$46*1-$AA$46</f>
        <v>104592.14584029</v>
      </c>
      <c r="E125" s="88" t="n">
        <f aca="false">$BR$46*1+$BS$46+$BT$46*1</f>
        <v>463190</v>
      </c>
      <c r="F125" s="87" t="n">
        <f aca="false">IFERROR(D125*(1-(1+AVERAGE(R16:R45))^(-Horiz))/AVERAGE(R16:R45)/E125,0)</f>
        <v>1.38749424392866</v>
      </c>
      <c r="G125" s="90" t="n">
        <f aca="false">D125*(1-(1+AVERAGE(R16:R45))^(-Horiz))/AVERAGE(R16:R45)-E125</f>
        <v>179483.458845316</v>
      </c>
    </row>
    <row r="126" customFormat="false" ht="15" hidden="false" customHeight="false" outlineLevel="0" collapsed="false">
      <c r="B126" s="60" t="s">
        <v>282</v>
      </c>
      <c r="C126" s="44" t="n">
        <v>0.75</v>
      </c>
      <c r="D126" s="88" t="n">
        <f aca="false">$BJ$46+($BI$46+$BL$46)*C126+$BK$46*1-$AA$46</f>
        <v>148139.27023513</v>
      </c>
      <c r="E126" s="88" t="n">
        <f aca="false">$BR$46*1+$BS$46+$BT$46*1</f>
        <v>463190</v>
      </c>
      <c r="F126" s="87" t="n">
        <f aca="false">IFERROR(D126*(1-(1+AVERAGE(R16:R45))^(-Horiz))/AVERAGE(R16:R45)/E126,0)</f>
        <v>1.96517991957918</v>
      </c>
      <c r="G126" s="90" t="n">
        <f aca="false">D126*(1-(1+AVERAGE(R16:R45))^(-Horiz))/AVERAGE(R16:R45)-E126</f>
        <v>447061.686949879</v>
      </c>
    </row>
    <row r="127" customFormat="false" ht="15" hidden="false" customHeight="false" outlineLevel="0" collapsed="false">
      <c r="B127" s="60" t="s">
        <v>282</v>
      </c>
      <c r="C127" s="44" t="n">
        <v>1</v>
      </c>
      <c r="D127" s="88" t="n">
        <f aca="false">$BJ$46+($BI$46+$BL$46)*C127+$BK$46*1-$AA$46</f>
        <v>191686.39462997</v>
      </c>
      <c r="E127" s="88" t="n">
        <f aca="false">$BR$46*1+$BS$46+$BT$46*1</f>
        <v>463190</v>
      </c>
      <c r="F127" s="87" t="n">
        <f aca="false">IFERROR(D127*(1-(1+AVERAGE(R16:R45))^(-Horiz))/AVERAGE(R16:R45)/E127,0)</f>
        <v>2.5428655952297</v>
      </c>
      <c r="G127" s="90" t="n">
        <f aca="false">D127*(1-(1+AVERAGE(R16:R45))^(-Horiz))/AVERAGE(R16:R45)-E127</f>
        <v>714639.915054443</v>
      </c>
    </row>
    <row r="128" customFormat="false" ht="15" hidden="false" customHeight="false" outlineLevel="0" collapsed="false">
      <c r="B128" s="60" t="s">
        <v>282</v>
      </c>
      <c r="C128" s="44" t="n">
        <v>1.25</v>
      </c>
      <c r="D128" s="88" t="n">
        <f aca="false">$BJ$46+($BI$46+$BL$46)*C128+$BK$46*1-$AA$46</f>
        <v>235233.51902481</v>
      </c>
      <c r="E128" s="88" t="n">
        <f aca="false">$BR$46*1+$BS$46+$BT$46*1</f>
        <v>463190</v>
      </c>
      <c r="F128" s="87" t="n">
        <f aca="false">IFERROR(D128*(1-(1+AVERAGE(R16:R45))^(-Horiz))/AVERAGE(R16:R45)/E128,0)</f>
        <v>3.12055127088022</v>
      </c>
      <c r="G128" s="90" t="n">
        <f aca="false">D128*(1-(1+AVERAGE(R16:R45))^(-Horiz))/AVERAGE(R16:R45)-E128</f>
        <v>982218.143159007</v>
      </c>
    </row>
    <row r="129" customFormat="false" ht="15" hidden="false" customHeight="false" outlineLevel="0" collapsed="false">
      <c r="B129" s="60" t="s">
        <v>282</v>
      </c>
      <c r="C129" s="44" t="n">
        <v>1.5</v>
      </c>
      <c r="D129" s="88" t="n">
        <f aca="false">$BJ$46+($BI$46+$BL$46)*C129+$BK$46*1-$AA$46</f>
        <v>278780.64341965</v>
      </c>
      <c r="E129" s="88" t="n">
        <f aca="false">$BR$46*1+$BS$46+$BT$46*1</f>
        <v>463190</v>
      </c>
      <c r="F129" s="87" t="n">
        <f aca="false">IFERROR(D129*(1-(1+AVERAGE(R16:R45))^(-Horiz))/AVERAGE(R16:R45)/E129,0)</f>
        <v>3.69823694653073</v>
      </c>
      <c r="G129" s="90" t="n">
        <f aca="false">D129*(1-(1+AVERAGE(R16:R45))^(-Horiz))/AVERAGE(R16:R45)-E129</f>
        <v>1249796.37126357</v>
      </c>
    </row>
    <row r="130" customFormat="false" ht="15" hidden="false" customHeight="false" outlineLevel="0" collapsed="false">
      <c r="B130" s="60" t="s">
        <v>283</v>
      </c>
      <c r="C130" s="44" t="n">
        <v>0.5</v>
      </c>
      <c r="D130" s="88" t="n">
        <f aca="false">$BJ$46+($BI$46+$BL$46)*C130+$BK$46*1-$AA$46</f>
        <v>104592.14584029</v>
      </c>
      <c r="E130" s="88" t="n">
        <f aca="false">$BR$46*1+$BS$46+$BT$46*1</f>
        <v>463190</v>
      </c>
      <c r="F130" s="87" t="n">
        <f aca="false">IFERROR(D130*(1-(1+AVERAGE(R16:R45))^(-Horiz))/AVERAGE(R16:R45)/E130,0)</f>
        <v>1.38749424392866</v>
      </c>
      <c r="G130" s="90" t="n">
        <f aca="false">D130*(1-(1+AVERAGE(R16:R45))^(-Horiz))/AVERAGE(R16:R45)-E130</f>
        <v>179483.458845316</v>
      </c>
    </row>
    <row r="131" customFormat="false" ht="15" hidden="false" customHeight="false" outlineLevel="0" collapsed="false">
      <c r="B131" s="60" t="s">
        <v>283</v>
      </c>
      <c r="C131" s="44" t="n">
        <v>0.75</v>
      </c>
      <c r="D131" s="88" t="n">
        <f aca="false">$BJ$46+($BI$46+$BL$46)*C131+$BK$46*1-$AA$46</f>
        <v>148139.27023513</v>
      </c>
      <c r="E131" s="88" t="n">
        <f aca="false">$BR$46*1+$BS$46+$BT$46*1</f>
        <v>463190</v>
      </c>
      <c r="F131" s="87" t="n">
        <f aca="false">IFERROR(D131*(1-(1+AVERAGE(R16:R45))^(-Horiz))/AVERAGE(R16:R45)/E131,0)</f>
        <v>1.96517991957918</v>
      </c>
      <c r="G131" s="90" t="n">
        <f aca="false">D131*(1-(1+AVERAGE(R16:R45))^(-Horiz))/AVERAGE(R16:R45)-E131</f>
        <v>447061.686949879</v>
      </c>
    </row>
    <row r="132" customFormat="false" ht="15" hidden="false" customHeight="false" outlineLevel="0" collapsed="false">
      <c r="B132" s="60" t="s">
        <v>283</v>
      </c>
      <c r="C132" s="44" t="n">
        <v>1</v>
      </c>
      <c r="D132" s="88" t="n">
        <f aca="false">$BJ$46+($BI$46+$BL$46)*C132+$BK$46*1-$AA$46</f>
        <v>191686.39462997</v>
      </c>
      <c r="E132" s="88" t="n">
        <f aca="false">$BR$46*1+$BS$46+$BT$46*1</f>
        <v>463190</v>
      </c>
      <c r="F132" s="87" t="n">
        <f aca="false">IFERROR(D132*(1-(1+AVERAGE(R16:R45))^(-Horiz))/AVERAGE(R16:R45)/E132,0)</f>
        <v>2.5428655952297</v>
      </c>
      <c r="G132" s="90" t="n">
        <f aca="false">D132*(1-(1+AVERAGE(R16:R45))^(-Horiz))/AVERAGE(R16:R45)-E132</f>
        <v>714639.915054443</v>
      </c>
    </row>
    <row r="133" customFormat="false" ht="15" hidden="false" customHeight="false" outlineLevel="0" collapsed="false">
      <c r="B133" s="60" t="s">
        <v>283</v>
      </c>
      <c r="C133" s="44" t="n">
        <v>1.25</v>
      </c>
      <c r="D133" s="88" t="n">
        <f aca="false">$BJ$46+($BI$46+$BL$46)*C133+$BK$46*1-$AA$46</f>
        <v>235233.51902481</v>
      </c>
      <c r="E133" s="88" t="n">
        <f aca="false">$BR$46*1+$BS$46+$BT$46*1</f>
        <v>463190</v>
      </c>
      <c r="F133" s="87" t="n">
        <f aca="false">IFERROR(D133*(1-(1+AVERAGE(R16:R45))^(-Horiz))/AVERAGE(R16:R45)/E133,0)</f>
        <v>3.12055127088022</v>
      </c>
      <c r="G133" s="90" t="n">
        <f aca="false">D133*(1-(1+AVERAGE(R16:R45))^(-Horiz))/AVERAGE(R16:R45)-E133</f>
        <v>982218.143159007</v>
      </c>
    </row>
    <row r="134" customFormat="false" ht="15" hidden="false" customHeight="false" outlineLevel="0" collapsed="false">
      <c r="B134" s="60" t="s">
        <v>283</v>
      </c>
      <c r="C134" s="44" t="n">
        <v>1.5</v>
      </c>
      <c r="D134" s="88" t="n">
        <f aca="false">$BJ$46+($BI$46+$BL$46)*C134+$BK$46*1-$AA$46</f>
        <v>278780.64341965</v>
      </c>
      <c r="E134" s="88" t="n">
        <f aca="false">$BR$46*1+$BS$46+$BT$46*1</f>
        <v>463190</v>
      </c>
      <c r="F134" s="87" t="n">
        <f aca="false">IFERROR(D134*(1-(1+AVERAGE(R16:R45))^(-Horiz))/AVERAGE(R16:R45)/E134,0)</f>
        <v>3.69823694653073</v>
      </c>
      <c r="G134" s="90" t="n">
        <f aca="false">D134*(1-(1+AVERAGE(R16:R45))^(-Horiz))/AVERAGE(R16:R45)-E134</f>
        <v>1249796.37126357</v>
      </c>
    </row>
    <row r="135" customFormat="false" ht="15" hidden="false" customHeight="false" outlineLevel="0" collapsed="false">
      <c r="B135" s="60" t="s">
        <v>284</v>
      </c>
      <c r="C135" s="44" t="n">
        <v>0.5</v>
      </c>
      <c r="D135" s="88" t="n">
        <f aca="false">$BJ$46+($BI$46+$BL$46)*C135+$BK$46*1-$AA$46</f>
        <v>104592.14584029</v>
      </c>
      <c r="E135" s="88" t="n">
        <f aca="false">$BR$46*1+$BS$46+$BT$46*1</f>
        <v>463190</v>
      </c>
      <c r="F135" s="87" t="n">
        <f aca="false">IFERROR(D135*(1-(1+AVERAGE(R16:R45))^(-Horiz))/AVERAGE(R16:R45)/E135,0)</f>
        <v>1.38749424392866</v>
      </c>
      <c r="G135" s="90" t="n">
        <f aca="false">D135*(1-(1+AVERAGE(R16:R45))^(-Horiz))/AVERAGE(R16:R45)-E135</f>
        <v>179483.458845316</v>
      </c>
    </row>
    <row r="136" customFormat="false" ht="15" hidden="false" customHeight="false" outlineLevel="0" collapsed="false">
      <c r="B136" s="60" t="s">
        <v>284</v>
      </c>
      <c r="C136" s="44" t="n">
        <v>0.75</v>
      </c>
      <c r="D136" s="88" t="n">
        <f aca="false">$BJ$46+($BI$46+$BL$46)*C136+$BK$46*1-$AA$46</f>
        <v>148139.27023513</v>
      </c>
      <c r="E136" s="88" t="n">
        <f aca="false">$BR$46*1+$BS$46+$BT$46*1</f>
        <v>463190</v>
      </c>
      <c r="F136" s="87" t="n">
        <f aca="false">IFERROR(D136*(1-(1+AVERAGE(R16:R45))^(-Horiz))/AVERAGE(R16:R45)/E136,0)</f>
        <v>1.96517991957918</v>
      </c>
      <c r="G136" s="90" t="n">
        <f aca="false">D136*(1-(1+AVERAGE(R16:R45))^(-Horiz))/AVERAGE(R16:R45)-E136</f>
        <v>447061.686949879</v>
      </c>
    </row>
    <row r="137" customFormat="false" ht="15" hidden="false" customHeight="false" outlineLevel="0" collapsed="false">
      <c r="B137" s="60" t="s">
        <v>284</v>
      </c>
      <c r="C137" s="44" t="n">
        <v>1</v>
      </c>
      <c r="D137" s="88" t="n">
        <f aca="false">$BJ$46+($BI$46+$BL$46)*C137+$BK$46*1-$AA$46</f>
        <v>191686.39462997</v>
      </c>
      <c r="E137" s="88" t="n">
        <f aca="false">$BR$46*1+$BS$46+$BT$46*1</f>
        <v>463190</v>
      </c>
      <c r="F137" s="87" t="n">
        <f aca="false">IFERROR(D137*(1-(1+AVERAGE(R16:R45))^(-Horiz))/AVERAGE(R16:R45)/E137,0)</f>
        <v>2.5428655952297</v>
      </c>
      <c r="G137" s="90" t="n">
        <f aca="false">D137*(1-(1+AVERAGE(R16:R45))^(-Horiz))/AVERAGE(R16:R45)-E137</f>
        <v>714639.915054443</v>
      </c>
    </row>
    <row r="138" customFormat="false" ht="15" hidden="false" customHeight="false" outlineLevel="0" collapsed="false">
      <c r="B138" s="60" t="s">
        <v>284</v>
      </c>
      <c r="C138" s="44" t="n">
        <v>1.25</v>
      </c>
      <c r="D138" s="88" t="n">
        <f aca="false">$BJ$46+($BI$46+$BL$46)*C138+$BK$46*1-$AA$46</f>
        <v>235233.51902481</v>
      </c>
      <c r="E138" s="88" t="n">
        <f aca="false">$BR$46*1+$BS$46+$BT$46*1</f>
        <v>463190</v>
      </c>
      <c r="F138" s="87" t="n">
        <f aca="false">IFERROR(D138*(1-(1+AVERAGE(R16:R45))^(-Horiz))/AVERAGE(R16:R45)/E138,0)</f>
        <v>3.12055127088022</v>
      </c>
      <c r="G138" s="90" t="n">
        <f aca="false">D138*(1-(1+AVERAGE(R16:R45))^(-Horiz))/AVERAGE(R16:R45)-E138</f>
        <v>982218.143159007</v>
      </c>
    </row>
    <row r="139" customFormat="false" ht="15" hidden="false" customHeight="false" outlineLevel="0" collapsed="false">
      <c r="B139" s="60" t="s">
        <v>284</v>
      </c>
      <c r="C139" s="44" t="n">
        <v>1.5</v>
      </c>
      <c r="D139" s="88" t="n">
        <f aca="false">$BJ$46+($BI$46+$BL$46)*C139+$BK$46*1-$AA$46</f>
        <v>278780.64341965</v>
      </c>
      <c r="E139" s="88" t="n">
        <f aca="false">$BR$46*1+$BS$46+$BT$46*1</f>
        <v>463190</v>
      </c>
      <c r="F139" s="87" t="n">
        <f aca="false">IFERROR(D139*(1-(1+AVERAGE(R16:R45))^(-Horiz))/AVERAGE(R16:R45)/E139,0)</f>
        <v>3.69823694653073</v>
      </c>
      <c r="G139" s="90" t="n">
        <f aca="false">D139*(1-(1+AVERAGE(R16:R45))^(-Horiz))/AVERAGE(R16:R45)-E139</f>
        <v>1249796.37126357</v>
      </c>
    </row>
    <row r="140" customFormat="false" ht="15" hidden="false" customHeight="false" outlineLevel="0" collapsed="false">
      <c r="B140" s="60" t="s">
        <v>285</v>
      </c>
      <c r="C140" s="44" t="n">
        <v>0.5</v>
      </c>
      <c r="D140" s="88" t="n">
        <f aca="false">$BJ$46+($BI$46+$BL$46)*1+$BK$46*C140-$AA$46</f>
        <v>186648.126656114</v>
      </c>
      <c r="E140" s="88" t="n">
        <f aca="false">$BR$46*C140+$BS$46+$BT$46*1</f>
        <v>388330</v>
      </c>
      <c r="F140" s="87" t="n">
        <f aca="false">IFERROR(D140*(1-(1+AVERAGE(R16:R45))^(-Horiz))/AVERAGE(R16:R45)/E140,0)</f>
        <v>2.95334364945423</v>
      </c>
      <c r="G140" s="90" t="n">
        <f aca="false">D140*(1-(1+AVERAGE(R16:R45))^(-Horiz))/AVERAGE(R16:R45)-E140</f>
        <v>758541.939392561</v>
      </c>
    </row>
    <row r="141" customFormat="false" ht="15" hidden="false" customHeight="false" outlineLevel="0" collapsed="false">
      <c r="B141" s="60" t="s">
        <v>285</v>
      </c>
      <c r="C141" s="44" t="n">
        <v>0.75</v>
      </c>
      <c r="D141" s="88" t="n">
        <f aca="false">$BJ$46+($BI$46+$BL$46)*1+$BK$46*C141-$AA$46</f>
        <v>189167.260643042</v>
      </c>
      <c r="E141" s="88" t="n">
        <f aca="false">$BR$46*C141+$BS$46+$BT$46*1</f>
        <v>425760</v>
      </c>
      <c r="F141" s="87" t="n">
        <f aca="false">IFERROR(D141*(1-(1+AVERAGE(R16:R45))^(-Horiz))/AVERAGE(R16:R45)/E141,0)</f>
        <v>2.73006136608301</v>
      </c>
      <c r="G141" s="90" t="n">
        <f aca="false">D141*(1-(1+AVERAGE(R16:R45))^(-Horiz))/AVERAGE(R16:R45)-E141</f>
        <v>736590.927223502</v>
      </c>
    </row>
    <row r="142" customFormat="false" ht="15" hidden="false" customHeight="false" outlineLevel="0" collapsed="false">
      <c r="B142" s="60" t="s">
        <v>285</v>
      </c>
      <c r="C142" s="44" t="n">
        <v>1</v>
      </c>
      <c r="D142" s="88" t="n">
        <f aca="false">$BJ$46+($BI$46+$BL$46)*1+$BK$46*C142-$AA$46</f>
        <v>191686.39462997</v>
      </c>
      <c r="E142" s="88" t="n">
        <f aca="false">$BR$46*C142+$BS$46+$BT$46*1</f>
        <v>463190</v>
      </c>
      <c r="F142" s="87" t="n">
        <f aca="false">IFERROR(D142*(1-(1+AVERAGE(R16:R45))^(-Horiz))/AVERAGE(R16:R45)/E142,0)</f>
        <v>2.5428655952297</v>
      </c>
      <c r="G142" s="90" t="n">
        <f aca="false">D142*(1-(1+AVERAGE(R16:R45))^(-Horiz))/AVERAGE(R16:R45)-E142</f>
        <v>714639.915054443</v>
      </c>
    </row>
    <row r="143" customFormat="false" ht="15" hidden="false" customHeight="false" outlineLevel="0" collapsed="false">
      <c r="B143" s="60" t="s">
        <v>285</v>
      </c>
      <c r="C143" s="44" t="n">
        <v>1.25</v>
      </c>
      <c r="D143" s="88" t="n">
        <f aca="false">$BJ$46+($BI$46+$BL$46)*1+$BK$46*C143-$AA$46</f>
        <v>194205.528616898</v>
      </c>
      <c r="E143" s="88" t="n">
        <f aca="false">$BR$46*C143+$BS$46+$BT$46*1</f>
        <v>500620</v>
      </c>
      <c r="F143" s="87" t="n">
        <f aca="false">IFERROR(D143*(1-(1+AVERAGE(R16:R45))^(-Horiz))/AVERAGE(R16:R45)/E143,0)</f>
        <v>2.3836620648104</v>
      </c>
      <c r="G143" s="90" t="n">
        <f aca="false">D143*(1-(1+AVERAGE(R16:R45))^(-Horiz))/AVERAGE(R16:R45)-E143</f>
        <v>692688.902885384</v>
      </c>
    </row>
    <row r="144" customFormat="false" ht="15" hidden="false" customHeight="false" outlineLevel="0" collapsed="false">
      <c r="B144" s="60" t="s">
        <v>285</v>
      </c>
      <c r="C144" s="44" t="n">
        <v>1.5</v>
      </c>
      <c r="D144" s="88" t="n">
        <f aca="false">$BJ$46+($BI$46+$BL$46)*1+$BK$46*C144-$AA$46</f>
        <v>196724.662603827</v>
      </c>
      <c r="E144" s="88" t="n">
        <f aca="false">$BR$46*C144+$BS$46+$BT$46*1</f>
        <v>538050</v>
      </c>
      <c r="F144" s="87" t="n">
        <f aca="false">IFERROR(D144*(1-(1+AVERAGE(R16:R45))^(-Horiz))/AVERAGE(R16:R45)/E144,0)</f>
        <v>2.24660884809279</v>
      </c>
      <c r="G144" s="90" t="n">
        <f aca="false">D144*(1-(1+AVERAGE(R16:R45))^(-Horiz))/AVERAGE(R16:R45)-E144</f>
        <v>670737.890716325</v>
      </c>
    </row>
    <row r="145" customFormat="false" ht="15" hidden="false" customHeight="false" outlineLevel="0" collapsed="false">
      <c r="B145" s="60" t="s">
        <v>286</v>
      </c>
      <c r="C145" s="44" t="n">
        <v>0.5</v>
      </c>
      <c r="D145" s="88" t="n">
        <f aca="false">$BJ$46+($BI$46+$BL$46)*1+$BK$46*1-$AA$46</f>
        <v>191686.39462997</v>
      </c>
      <c r="E145" s="88" t="n">
        <f aca="false">$BR$46*1+$BS$46+$BT$46*C145</f>
        <v>328190</v>
      </c>
      <c r="F145" s="87" t="n">
        <f aca="false">IFERROR(D145*(1-(1+AVERAGE(R16:R45))^(-Horiz))/AVERAGE(R16:R45)/E145,0)</f>
        <v>3.58886594672124</v>
      </c>
      <c r="G145" s="90" t="n">
        <f aca="false">D145*(1-(1+AVERAGE(R16:R45))^(-Horiz))/AVERAGE(R16:R45)-E145</f>
        <v>849639.915054443</v>
      </c>
    </row>
    <row r="146" customFormat="false" ht="15" hidden="false" customHeight="false" outlineLevel="0" collapsed="false">
      <c r="B146" s="60" t="s">
        <v>286</v>
      </c>
      <c r="C146" s="44" t="n">
        <v>0.75</v>
      </c>
      <c r="D146" s="88" t="n">
        <f aca="false">$BJ$46+($BI$46+$BL$46)*1+$BK$46*1-$AA$46</f>
        <v>191686.39462997</v>
      </c>
      <c r="E146" s="88" t="n">
        <f aca="false">$BR$46*1+$BS$46+$BT$46*C146</f>
        <v>395690</v>
      </c>
      <c r="F146" s="87" t="n">
        <f aca="false">IFERROR(D146*(1-(1+AVERAGE(R16:R45))^(-Horiz))/AVERAGE(R16:R45)/E146,0)</f>
        <v>2.97664817168603</v>
      </c>
      <c r="G146" s="90" t="n">
        <f aca="false">D146*(1-(1+AVERAGE(R16:R45))^(-Horiz))/AVERAGE(R16:R45)-E146</f>
        <v>782139.915054443</v>
      </c>
    </row>
    <row r="147" customFormat="false" ht="15" hidden="false" customHeight="false" outlineLevel="0" collapsed="false">
      <c r="B147" s="60" t="s">
        <v>286</v>
      </c>
      <c r="C147" s="44" t="n">
        <v>1</v>
      </c>
      <c r="D147" s="88" t="n">
        <f aca="false">$BJ$46+($BI$46+$BL$46)*1+$BK$46*1-$AA$46</f>
        <v>191686.39462997</v>
      </c>
      <c r="E147" s="88" t="n">
        <f aca="false">$BR$46*1+$BS$46+$BT$46*C147</f>
        <v>463190</v>
      </c>
      <c r="F147" s="87" t="n">
        <f aca="false">IFERROR(D147*(1-(1+AVERAGE(R16:R45))^(-Horiz))/AVERAGE(R16:R45)/E147,0)</f>
        <v>2.5428655952297</v>
      </c>
      <c r="G147" s="90" t="n">
        <f aca="false">D147*(1-(1+AVERAGE(R16:R45))^(-Horiz))/AVERAGE(R16:R45)-E147</f>
        <v>714639.915054443</v>
      </c>
    </row>
    <row r="148" customFormat="false" ht="15" hidden="false" customHeight="false" outlineLevel="0" collapsed="false">
      <c r="B148" s="60" t="s">
        <v>286</v>
      </c>
      <c r="C148" s="44" t="n">
        <v>1.25</v>
      </c>
      <c r="D148" s="88" t="n">
        <f aca="false">$BJ$46+($BI$46+$BL$46)*1+$BK$46*1-$AA$46</f>
        <v>191686.39462997</v>
      </c>
      <c r="E148" s="88" t="n">
        <f aca="false">$BR$46*1+$BS$46+$BT$46*C148</f>
        <v>530690</v>
      </c>
      <c r="F148" s="87" t="n">
        <f aca="false">IFERROR(D148*(1-(1+AVERAGE(R16:R45))^(-Horiz))/AVERAGE(R16:R45)/E148,0)</f>
        <v>2.21943114634616</v>
      </c>
      <c r="G148" s="90" t="n">
        <f aca="false">D148*(1-(1+AVERAGE(R16:R45))^(-Horiz))/AVERAGE(R16:R45)-E148</f>
        <v>647139.915054443</v>
      </c>
    </row>
    <row r="149" customFormat="false" ht="15" hidden="false" customHeight="false" outlineLevel="0" collapsed="false">
      <c r="B149" s="60" t="s">
        <v>286</v>
      </c>
      <c r="C149" s="44" t="n">
        <v>1.5</v>
      </c>
      <c r="D149" s="88" t="n">
        <f aca="false">$BJ$46+($BI$46+$BL$46)*1+$BK$46*1-$AA$46</f>
        <v>191686.39462997</v>
      </c>
      <c r="E149" s="88" t="n">
        <f aca="false">$BR$46*1+$BS$46+$BT$46*C149</f>
        <v>598190</v>
      </c>
      <c r="F149" s="87" t="n">
        <f aca="false">IFERROR(D149*(1-(1+AVERAGE(R16:R45))^(-Horiz))/AVERAGE(R16:R45)/E149,0)</f>
        <v>1.96898964384969</v>
      </c>
      <c r="G149" s="90" t="n">
        <f aca="false">D149*(1-(1+AVERAGE(R16:R45))^(-Horiz))/AVERAGE(R16:R45)-E149</f>
        <v>579639.915054443</v>
      </c>
    </row>
    <row r="150" customFormat="false" ht="15" hidden="false" customHeight="false" outlineLevel="0" collapsed="false">
      <c r="B150" s="68" t="s">
        <v>287</v>
      </c>
    </row>
    <row r="151" customFormat="false" ht="15" hidden="false" customHeight="false" outlineLevel="0" collapsed="false">
      <c r="B151" s="69" t="s">
        <v>288</v>
      </c>
      <c r="C151" s="69" t="s">
        <v>289</v>
      </c>
      <c r="D151" s="69" t="s">
        <v>290</v>
      </c>
      <c r="E151" s="69" t="s">
        <v>280</v>
      </c>
      <c r="F151" s="69" t="s">
        <v>281</v>
      </c>
      <c r="G151" s="69" t="s">
        <v>133</v>
      </c>
      <c r="H151" s="69" t="s">
        <v>276</v>
      </c>
    </row>
    <row r="152" customFormat="false" ht="15" hidden="false" customHeight="false" outlineLevel="0" collapsed="false">
      <c r="B152" s="91" t="s">
        <v>151</v>
      </c>
      <c r="C152" s="88" t="n">
        <f aca="false">$AP$46</f>
        <v>1804.31736651999</v>
      </c>
      <c r="D152" s="88" t="n">
        <f aca="false">$AN$46-C152</f>
        <v>33229.7030155172</v>
      </c>
      <c r="E152" s="88" t="n">
        <f aca="false">$BK$46+$BL$46-$AA$46+D152</f>
        <v>194995.78144689</v>
      </c>
      <c r="F152" s="88" t="n">
        <f aca="false">$AT$46*INDEX(CostRel,1)+$BS$46+$BT$46</f>
        <v>498390</v>
      </c>
      <c r="G152" s="87" t="n">
        <f aca="false">IFERROR(E152*(1-(1+AVERAGE(R16:R45))^(-Horiz))/AVERAGE(R16:R45)/F152,0)</f>
        <v>2.40407043566231</v>
      </c>
      <c r="H152" s="90" t="n">
        <f aca="false">E152*(1-(1+AVERAGE(R16:R45))^(-Horiz))/AVERAGE(R16:R45)-F152</f>
        <v>699774.664429739</v>
      </c>
    </row>
    <row r="153" customFormat="false" ht="15" hidden="false" customHeight="false" outlineLevel="0" collapsed="false">
      <c r="B153" s="91" t="s">
        <v>161</v>
      </c>
      <c r="C153" s="88" t="n">
        <f aca="false">$AQ$46</f>
        <v>4967.82989611466</v>
      </c>
      <c r="D153" s="88" t="n">
        <f aca="false">$AN$46-C153</f>
        <v>30066.1904859226</v>
      </c>
      <c r="E153" s="88" t="n">
        <f aca="false">$BK$46+$BL$46-$AA$46+D153</f>
        <v>191832.268917295</v>
      </c>
      <c r="F153" s="88" t="n">
        <f aca="false">$AT$46*INDEX(CostRel,2)+$BS$46+$BT$46</f>
        <v>467570</v>
      </c>
      <c r="G153" s="87" t="n">
        <f aca="false">IFERROR(E153*(1-(1+AVERAGE(R16:R45))^(-Horiz))/AVERAGE(R16:R45)/F153,0)</f>
        <v>2.52096210065211</v>
      </c>
      <c r="H153" s="90" t="n">
        <f aca="false">E153*(1-(1+AVERAGE(R16:R45))^(-Horiz))/AVERAGE(R16:R45)-F153</f>
        <v>711156.249401907</v>
      </c>
    </row>
    <row r="154" customFormat="false" ht="15" hidden="false" customHeight="false" outlineLevel="0" collapsed="false">
      <c r="B154" s="91" t="s">
        <v>154</v>
      </c>
      <c r="C154" s="88" t="n">
        <f aca="false">$AR$46</f>
        <v>8189.40184355003</v>
      </c>
      <c r="D154" s="88" t="n">
        <f aca="false">$AN$46-C154</f>
        <v>26844.6185384872</v>
      </c>
      <c r="E154" s="88" t="n">
        <f aca="false">$BK$46+$BL$46-$AA$46+D154</f>
        <v>188610.69696986</v>
      </c>
      <c r="F154" s="88" t="n">
        <f aca="false">$AT$46*INDEX(CostRel,3)+$BS$46+$BT$46</f>
        <v>436750</v>
      </c>
      <c r="G154" s="87" t="n">
        <f aca="false">IFERROR(E154*(1-(1+AVERAGE(R16:R45))^(-Horiz))/AVERAGE(R16:R45)/F154,0)</f>
        <v>2.6535342515971</v>
      </c>
      <c r="H154" s="90" t="n">
        <f aca="false">E154*(1-(1+AVERAGE(R16:R45))^(-Horiz))/AVERAGE(R16:R45)-F154</f>
        <v>722181.084385035</v>
      </c>
    </row>
    <row r="155" customFormat="false" ht="15" hidden="false" customHeight="false" outlineLevel="0" collapsed="false">
      <c r="B155" s="91" t="s">
        <v>169</v>
      </c>
      <c r="C155" s="88" t="n">
        <f aca="false">$AS$46</f>
        <v>11410.9737909854</v>
      </c>
      <c r="D155" s="88" t="n">
        <f aca="false">$AN$46-C155</f>
        <v>23623.0465910518</v>
      </c>
      <c r="E155" s="88" t="n">
        <f aca="false">$BK$46+$BL$46-$AA$46+D155</f>
        <v>185389.125022424</v>
      </c>
      <c r="F155" s="88" t="n">
        <f aca="false">$AT$46*INDEX(CostRel,4)+$BS$46+$BT$46</f>
        <v>405930</v>
      </c>
      <c r="G155" s="87" t="n">
        <f aca="false">IFERROR(E155*(1-(1+AVERAGE(R16:R45))^(-Horiz))/AVERAGE(R16:R45)/F155,0)</f>
        <v>2.80623733000311</v>
      </c>
      <c r="H155" s="90" t="n">
        <f aca="false">E155*(1-(1+AVERAGE(R16:R45))^(-Horiz))/AVERAGE(R16:R45)-F155</f>
        <v>733205.919368162</v>
      </c>
    </row>
    <row r="157" customFormat="false" ht="15" hidden="false" customHeight="false" outlineLevel="0" collapsed="false">
      <c r="B157" s="68" t="s">
        <v>291</v>
      </c>
    </row>
    <row r="158" customFormat="false" ht="15" hidden="false" customHeight="false" outlineLevel="0" collapsed="false">
      <c r="B158" s="69" t="s">
        <v>292</v>
      </c>
      <c r="C158" s="69" t="s">
        <v>293</v>
      </c>
      <c r="D158" s="69" t="s">
        <v>294</v>
      </c>
      <c r="E158" s="69" t="s">
        <v>295</v>
      </c>
    </row>
    <row r="159" customFormat="false" ht="15" hidden="false" customHeight="false" outlineLevel="0" collapsed="false">
      <c r="B159" s="83" t="n">
        <v>0</v>
      </c>
      <c r="C159" s="88" t="n">
        <f aca="false">SUM(W16:W45)*(1-(1+AVERAGE(R16:R45))^(-B159))</f>
        <v>0</v>
      </c>
      <c r="D159" s="90" t="n">
        <f aca="false">$BX$46+C159</f>
        <v>714639.915054443</v>
      </c>
      <c r="E159" s="92" t="n">
        <f aca="false">IFERROR(MIN(AG16:AG45),"n/d")</f>
        <v>-19.9545454545454</v>
      </c>
    </row>
    <row r="160" customFormat="false" ht="15" hidden="false" customHeight="false" outlineLevel="0" collapsed="false">
      <c r="B160" s="83" t="n">
        <v>2</v>
      </c>
      <c r="C160" s="88" t="n">
        <f aca="false">SUM(W16:W45)*(1-(1+AVERAGE(R16:R45))^(-B160))</f>
        <v>46859.5041322314</v>
      </c>
      <c r="D160" s="90" t="n">
        <f aca="false">$BX$46+C160</f>
        <v>761499.419186675</v>
      </c>
      <c r="E160" s="92" t="n">
        <f aca="false">IFERROR(MIN(AG16:AG45),"n/d")</f>
        <v>-19.9545454545454</v>
      </c>
    </row>
    <row r="161" customFormat="false" ht="15" hidden="false" customHeight="false" outlineLevel="0" collapsed="false">
      <c r="B161" s="83" t="n">
        <v>5</v>
      </c>
      <c r="C161" s="88" t="n">
        <f aca="false">SUM(W16:W45)*(1-(1+AVERAGE(R16:R45))^(-B161))</f>
        <v>102351.242774028</v>
      </c>
      <c r="D161" s="90" t="n">
        <f aca="false">$BX$46+C161</f>
        <v>816991.157828471</v>
      </c>
      <c r="E161" s="92" t="n">
        <f aca="false">IFERROR(MIN(AG16:AG45),"n/d")</f>
        <v>-19.9545454545454</v>
      </c>
    </row>
    <row r="162" customFormat="false" ht="15" hidden="false" customHeight="false" outlineLevel="0" collapsed="false">
      <c r="B162" s="83" t="n">
        <v>10</v>
      </c>
      <c r="C162" s="88" t="n">
        <f aca="false">SUM(W16:W45)*(1-(1+AVERAGE(R16:R45))^(-B162))</f>
        <v>165903.311854027</v>
      </c>
      <c r="D162" s="90" t="n">
        <f aca="false">$BX$46+C162</f>
        <v>880543.22690847</v>
      </c>
      <c r="E162" s="92" t="n">
        <f aca="false">IFERROR(MIN(AG16:AG45),"n/d")</f>
        <v>-19.9545454545454</v>
      </c>
    </row>
    <row r="163" customFormat="false" ht="15" hidden="false" customHeight="false" outlineLevel="0" collapsed="false">
      <c r="B163" s="75" t="s">
        <v>296</v>
      </c>
    </row>
    <row r="165" customFormat="false" ht="15" hidden="false" customHeight="false" outlineLevel="0" collapsed="false">
      <c r="B165" s="68" t="s">
        <v>297</v>
      </c>
    </row>
    <row r="166" customFormat="false" ht="15" hidden="false" customHeight="false" outlineLevel="0" collapsed="false">
      <c r="B166" s="69" t="s">
        <v>278</v>
      </c>
      <c r="C166" s="69" t="s">
        <v>298</v>
      </c>
      <c r="D166" s="69" t="s">
        <v>299</v>
      </c>
      <c r="E166" s="69" t="s">
        <v>300</v>
      </c>
    </row>
    <row r="167" customFormat="false" ht="15" hidden="false" customHeight="false" outlineLevel="0" collapsed="false">
      <c r="B167" s="5" t="s">
        <v>282</v>
      </c>
      <c r="C167" s="44" t="n">
        <v>0.75</v>
      </c>
      <c r="D167" s="44" t="n">
        <v>1</v>
      </c>
      <c r="E167" s="44" t="n">
        <v>1.25</v>
      </c>
    </row>
    <row r="168" customFormat="false" ht="15" hidden="false" customHeight="false" outlineLevel="0" collapsed="false">
      <c r="B168" s="5" t="s">
        <v>301</v>
      </c>
      <c r="C168" s="44" t="n">
        <v>0.75</v>
      </c>
      <c r="D168" s="44" t="n">
        <v>1</v>
      </c>
      <c r="E168" s="44" t="n">
        <v>1.25</v>
      </c>
    </row>
    <row r="169" customFormat="false" ht="15" hidden="false" customHeight="false" outlineLevel="0" collapsed="false">
      <c r="B169" s="5" t="s">
        <v>284</v>
      </c>
      <c r="C169" s="44" t="n">
        <v>0.75</v>
      </c>
      <c r="D169" s="44" t="n">
        <v>1</v>
      </c>
      <c r="E169" s="44" t="n">
        <v>1.5</v>
      </c>
    </row>
    <row r="170" customFormat="false" ht="15" hidden="false" customHeight="false" outlineLevel="0" collapsed="false">
      <c r="B170" s="5" t="s">
        <v>285</v>
      </c>
      <c r="C170" s="44" t="n">
        <v>0.85</v>
      </c>
      <c r="D170" s="44" t="n">
        <v>1</v>
      </c>
      <c r="E170" s="44" t="n">
        <v>1.25</v>
      </c>
    </row>
    <row r="171" customFormat="false" ht="15" hidden="false" customHeight="false" outlineLevel="0" collapsed="false">
      <c r="B171" s="5" t="s">
        <v>286</v>
      </c>
      <c r="C171" s="44" t="n">
        <v>0.85</v>
      </c>
      <c r="D171" s="44" t="n">
        <v>1</v>
      </c>
      <c r="E171" s="44" t="n">
        <v>1.5</v>
      </c>
    </row>
    <row r="174" customFormat="false" ht="15" hidden="false" customHeight="false" outlineLevel="0" collapsed="false">
      <c r="B174" s="69" t="s">
        <v>302</v>
      </c>
      <c r="C174" s="69" t="s">
        <v>303</v>
      </c>
      <c r="D174" s="69" t="s">
        <v>304</v>
      </c>
      <c r="E174" s="69" t="s">
        <v>281</v>
      </c>
      <c r="F174" s="69" t="s">
        <v>305</v>
      </c>
      <c r="G174" s="69" t="s">
        <v>306</v>
      </c>
      <c r="H174" s="69" t="s">
        <v>136</v>
      </c>
      <c r="I174" s="69" t="s">
        <v>307</v>
      </c>
    </row>
    <row r="175" customFormat="false" ht="15" hidden="false" customHeight="false" outlineLevel="0" collapsed="false">
      <c r="B175" s="60" t="s">
        <v>308</v>
      </c>
      <c r="C175" s="88" t="n">
        <f aca="false">$BJ$46+$BI$46*($C$167*1*1)+$BL$46*($C$167*1*1)+$BK$46*1-$AA$46</f>
        <v>148139.27023513</v>
      </c>
      <c r="D175" s="90" t="n">
        <f aca="false">$BL$46*($C$167*1*1)+$BK$46*1-$AA$46</f>
        <v>121968.692810457</v>
      </c>
      <c r="E175" s="88" t="n">
        <f aca="false">$BR$46*1+$BS$46+$BT$46*1</f>
        <v>463190</v>
      </c>
      <c r="F175" s="87" t="n">
        <f aca="false">IFERROR(C175*(1-(1+AVERAGE(R16:R45))^(-Horiz))/AVERAGE(R16:R45)/E175,0)</f>
        <v>1.96517991957918</v>
      </c>
      <c r="G175" s="90" t="n">
        <f aca="false">C175*(1-(1+AVERAGE(R16:R45))^(-Horiz))/AVERAGE(R16:R45)-E175</f>
        <v>447061.686949879</v>
      </c>
      <c r="H175" s="87" t="n">
        <f aca="false">IFERROR(D175*(1-(1+AVERAGE(R16:R45))^(-Horiz))/AVERAGE(R16:R45)/E175,0)</f>
        <v>1.61800733558353</v>
      </c>
      <c r="I175" s="90" t="n">
        <f aca="false">D175*(1-(1+AVERAGE(R16:R45))^(-Horiz))/AVERAGE(R16:R45)-E175</f>
        <v>286254.817768937</v>
      </c>
    </row>
    <row r="176" customFormat="false" ht="15" hidden="false" customHeight="false" outlineLevel="0" collapsed="false">
      <c r="B176" s="60" t="s">
        <v>309</v>
      </c>
      <c r="C176" s="88" t="n">
        <f aca="false">$BJ$46+$BI$46*($D$167*1*1)+$BL$46*($D$167*1*1)+$BK$46*1-$AA$46</f>
        <v>191686.39462997</v>
      </c>
      <c r="D176" s="90" t="n">
        <f aca="false">$BL$46*($D$167*1*1)+$BK$46*1-$AA$46</f>
        <v>161766.078431373</v>
      </c>
      <c r="E176" s="88" t="n">
        <f aca="false">$BR$46*1+$BS$46+$BT$46*1</f>
        <v>463190</v>
      </c>
      <c r="F176" s="87" t="n">
        <f aca="false">IFERROR(C176*(1-(1+AVERAGE(R16:R45))^(-Horiz))/AVERAGE(R16:R45)/E176,0)</f>
        <v>2.5428655952297</v>
      </c>
      <c r="G176" s="90" t="n">
        <f aca="false">C176*(1-(1+AVERAGE(R16:R45))^(-Horiz))/AVERAGE(R16:R45)-E176</f>
        <v>714639.915054443</v>
      </c>
      <c r="H176" s="87" t="n">
        <f aca="false">IFERROR(D176*(1-(1+AVERAGE(R16:R45))^(-Horiz))/AVERAGE(R16:R45)/E176,0)</f>
        <v>2.14594987877168</v>
      </c>
      <c r="I176" s="90" t="n">
        <f aca="false">D176*(1-(1+AVERAGE(R16:R45))^(-Horiz))/AVERAGE(R16:R45)-E176</f>
        <v>530792.524348256</v>
      </c>
    </row>
    <row r="177" customFormat="false" ht="15" hidden="false" customHeight="false" outlineLevel="0" collapsed="false">
      <c r="B177" s="60" t="s">
        <v>310</v>
      </c>
      <c r="C177" s="88" t="n">
        <f aca="false">$BJ$46+$BI$46*($E$167*1*1)+$BL$46*($E$167*1*1)+$BK$46*1-$AA$46</f>
        <v>235233.51902481</v>
      </c>
      <c r="D177" s="90" t="n">
        <f aca="false">$BL$46*($E$167*1*1)+$BK$46*1-$AA$46</f>
        <v>201563.464052288</v>
      </c>
      <c r="E177" s="88" t="n">
        <f aca="false">$BR$46*1+$BS$46+$BT$46*1</f>
        <v>463190</v>
      </c>
      <c r="F177" s="87" t="n">
        <f aca="false">IFERROR(C177*(1-(1+AVERAGE(R16:R45))^(-Horiz))/AVERAGE(R16:R45)/E177,0)</f>
        <v>3.12055127088022</v>
      </c>
      <c r="G177" s="90" t="n">
        <f aca="false">C177*(1-(1+AVERAGE(R16:R45))^(-Horiz))/AVERAGE(R16:R45)-E177</f>
        <v>982218.143159007</v>
      </c>
      <c r="H177" s="87" t="n">
        <f aca="false">IFERROR(D177*(1-(1+AVERAGE(R16:R45))^(-Horiz))/AVERAGE(R16:R45)/E177,0)</f>
        <v>2.67389242195983</v>
      </c>
      <c r="I177" s="90" t="n">
        <f aca="false">D177*(1-(1+AVERAGE(R16:R45))^(-Horiz))/AVERAGE(R16:R45)-E177</f>
        <v>775330.230927575</v>
      </c>
    </row>
    <row r="178" customFormat="false" ht="15" hidden="false" customHeight="false" outlineLevel="0" collapsed="false">
      <c r="B178" s="60" t="s">
        <v>311</v>
      </c>
      <c r="C178" s="88" t="n">
        <f aca="false">$BJ$46+$BI$46*(1*$C$168*1)+$BL$46*(1*$C$168*1)+$BK$46*1-$AA$46</f>
        <v>148139.27023513</v>
      </c>
      <c r="D178" s="90" t="n">
        <f aca="false">$BL$46*(1*$C$168*1)+$BK$46*1-$AA$46</f>
        <v>121968.692810457</v>
      </c>
      <c r="E178" s="88" t="n">
        <f aca="false">$BR$46*1+$BS$46+$BT$46*1</f>
        <v>463190</v>
      </c>
      <c r="F178" s="87" t="n">
        <f aca="false">IFERROR(C178*(1-(1+AVERAGE(R16:R45))^(-Horiz))/AVERAGE(R16:R45)/E178,0)</f>
        <v>1.96517991957918</v>
      </c>
      <c r="G178" s="90" t="n">
        <f aca="false">C178*(1-(1+AVERAGE(R16:R45))^(-Horiz))/AVERAGE(R16:R45)-E178</f>
        <v>447061.686949879</v>
      </c>
      <c r="H178" s="87" t="n">
        <f aca="false">IFERROR(D178*(1-(1+AVERAGE(R16:R45))^(-Horiz))/AVERAGE(R16:R45)/E178,0)</f>
        <v>1.61800733558353</v>
      </c>
      <c r="I178" s="90" t="n">
        <f aca="false">D178*(1-(1+AVERAGE(R16:R45))^(-Horiz))/AVERAGE(R16:R45)-E178</f>
        <v>286254.817768937</v>
      </c>
    </row>
    <row r="179" customFormat="false" ht="15" hidden="false" customHeight="false" outlineLevel="0" collapsed="false">
      <c r="B179" s="60" t="s">
        <v>312</v>
      </c>
      <c r="C179" s="88" t="n">
        <f aca="false">$BJ$46+$BI$46*(1*$D$168*1)+$BL$46*(1*$D$168*1)+$BK$46*1-$AA$46</f>
        <v>191686.39462997</v>
      </c>
      <c r="D179" s="90" t="n">
        <f aca="false">$BL$46*(1*$D$168*1)+$BK$46*1-$AA$46</f>
        <v>161766.078431373</v>
      </c>
      <c r="E179" s="88" t="n">
        <f aca="false">$BR$46*1+$BS$46+$BT$46*1</f>
        <v>463190</v>
      </c>
      <c r="F179" s="87" t="n">
        <f aca="false">IFERROR(C179*(1-(1+AVERAGE(R16:R45))^(-Horiz))/AVERAGE(R16:R45)/E179,0)</f>
        <v>2.5428655952297</v>
      </c>
      <c r="G179" s="90" t="n">
        <f aca="false">C179*(1-(1+AVERAGE(R16:R45))^(-Horiz))/AVERAGE(R16:R45)-E179</f>
        <v>714639.915054443</v>
      </c>
      <c r="H179" s="87" t="n">
        <f aca="false">IFERROR(D179*(1-(1+AVERAGE(R16:R45))^(-Horiz))/AVERAGE(R16:R45)/E179,0)</f>
        <v>2.14594987877168</v>
      </c>
      <c r="I179" s="90" t="n">
        <f aca="false">D179*(1-(1+AVERAGE(R16:R45))^(-Horiz))/AVERAGE(R16:R45)-E179</f>
        <v>530792.524348256</v>
      </c>
    </row>
    <row r="180" customFormat="false" ht="15" hidden="false" customHeight="false" outlineLevel="0" collapsed="false">
      <c r="B180" s="60" t="s">
        <v>313</v>
      </c>
      <c r="C180" s="88" t="n">
        <f aca="false">$BJ$46+$BI$46*(1*$E$168*1)+$BL$46*(1*$E$168*1)+$BK$46*1-$AA$46</f>
        <v>235233.51902481</v>
      </c>
      <c r="D180" s="90" t="n">
        <f aca="false">$BL$46*(1*$E$168*1)+$BK$46*1-$AA$46</f>
        <v>201563.464052288</v>
      </c>
      <c r="E180" s="88" t="n">
        <f aca="false">$BR$46*1+$BS$46+$BT$46*1</f>
        <v>463190</v>
      </c>
      <c r="F180" s="87" t="n">
        <f aca="false">IFERROR(C180*(1-(1+AVERAGE(R16:R45))^(-Horiz))/AVERAGE(R16:R45)/E180,0)</f>
        <v>3.12055127088022</v>
      </c>
      <c r="G180" s="90" t="n">
        <f aca="false">C180*(1-(1+AVERAGE(R16:R45))^(-Horiz))/AVERAGE(R16:R45)-E180</f>
        <v>982218.143159007</v>
      </c>
      <c r="H180" s="87" t="n">
        <f aca="false">IFERROR(D180*(1-(1+AVERAGE(R16:R45))^(-Horiz))/AVERAGE(R16:R45)/E180,0)</f>
        <v>2.67389242195983</v>
      </c>
      <c r="I180" s="90" t="n">
        <f aca="false">D180*(1-(1+AVERAGE(R16:R45))^(-Horiz))/AVERAGE(R16:R45)-E180</f>
        <v>775330.230927575</v>
      </c>
    </row>
    <row r="181" customFormat="false" ht="15" hidden="false" customHeight="false" outlineLevel="0" collapsed="false">
      <c r="B181" s="60" t="s">
        <v>314</v>
      </c>
      <c r="C181" s="88" t="n">
        <f aca="false">$BJ$46+$BI$46*(1*1*$C$169)+$BL$46*(1*1*$C$169)+$BK$46*1-$AA$46</f>
        <v>148139.27023513</v>
      </c>
      <c r="D181" s="90" t="n">
        <f aca="false">$BL$46*(1*1*$C$169)+$BK$46*1-$AA$46</f>
        <v>121968.692810457</v>
      </c>
      <c r="E181" s="88" t="n">
        <f aca="false">$BR$46*1+$BS$46+$BT$46*1</f>
        <v>463190</v>
      </c>
      <c r="F181" s="87" t="n">
        <f aca="false">IFERROR(C181*(1-(1+AVERAGE(R16:R45))^(-Horiz))/AVERAGE(R16:R45)/E181,0)</f>
        <v>1.96517991957918</v>
      </c>
      <c r="G181" s="90" t="n">
        <f aca="false">C181*(1-(1+AVERAGE(R16:R45))^(-Horiz))/AVERAGE(R16:R45)-E181</f>
        <v>447061.686949879</v>
      </c>
      <c r="H181" s="87" t="n">
        <f aca="false">IFERROR(D181*(1-(1+AVERAGE(R16:R45))^(-Horiz))/AVERAGE(R16:R45)/E181,0)</f>
        <v>1.61800733558353</v>
      </c>
      <c r="I181" s="90" t="n">
        <f aca="false">D181*(1-(1+AVERAGE(R16:R45))^(-Horiz))/AVERAGE(R16:R45)-E181</f>
        <v>286254.817768937</v>
      </c>
    </row>
    <row r="182" customFormat="false" ht="15" hidden="false" customHeight="false" outlineLevel="0" collapsed="false">
      <c r="B182" s="60" t="s">
        <v>315</v>
      </c>
      <c r="C182" s="88" t="n">
        <f aca="false">$BJ$46+$BI$46*(1*1*$D$169)+$BL$46*(1*1*$D$169)+$BK$46*1-$AA$46</f>
        <v>191686.39462997</v>
      </c>
      <c r="D182" s="90" t="n">
        <f aca="false">$BL$46*(1*1*$D$169)+$BK$46*1-$AA$46</f>
        <v>161766.078431373</v>
      </c>
      <c r="E182" s="88" t="n">
        <f aca="false">$BR$46*1+$BS$46+$BT$46*1</f>
        <v>463190</v>
      </c>
      <c r="F182" s="87" t="n">
        <f aca="false">IFERROR(C182*(1-(1+AVERAGE(R16:R45))^(-Horiz))/AVERAGE(R16:R45)/E182,0)</f>
        <v>2.5428655952297</v>
      </c>
      <c r="G182" s="90" t="n">
        <f aca="false">C182*(1-(1+AVERAGE(R16:R45))^(-Horiz))/AVERAGE(R16:R45)-E182</f>
        <v>714639.915054443</v>
      </c>
      <c r="H182" s="87" t="n">
        <f aca="false">IFERROR(D182*(1-(1+AVERAGE(R16:R45))^(-Horiz))/AVERAGE(R16:R45)/E182,0)</f>
        <v>2.14594987877168</v>
      </c>
      <c r="I182" s="90" t="n">
        <f aca="false">D182*(1-(1+AVERAGE(R16:R45))^(-Horiz))/AVERAGE(R16:R45)-E182</f>
        <v>530792.524348256</v>
      </c>
    </row>
    <row r="183" customFormat="false" ht="15" hidden="false" customHeight="false" outlineLevel="0" collapsed="false">
      <c r="B183" s="60" t="s">
        <v>316</v>
      </c>
      <c r="C183" s="88" t="n">
        <f aca="false">$BJ$46+$BI$46*(1*1*$E$169)+$BL$46*(1*1*$E$169)+$BK$46*1-$AA$46</f>
        <v>278780.64341965</v>
      </c>
      <c r="D183" s="90" t="n">
        <f aca="false">$BL$46*(1*1*$E$169)+$BK$46*1-$AA$46</f>
        <v>241360.849673203</v>
      </c>
      <c r="E183" s="88" t="n">
        <f aca="false">$BR$46*1+$BS$46+$BT$46*1</f>
        <v>463190</v>
      </c>
      <c r="F183" s="87" t="n">
        <f aca="false">IFERROR(C183*(1-(1+AVERAGE(R16:R45))^(-Horiz))/AVERAGE(R16:R45)/E183,0)</f>
        <v>3.69823694653073</v>
      </c>
      <c r="G183" s="90" t="n">
        <f aca="false">C183*(1-(1+AVERAGE(R16:R45))^(-Horiz))/AVERAGE(R16:R45)-E183</f>
        <v>1249796.37126357</v>
      </c>
      <c r="H183" s="87" t="n">
        <f aca="false">IFERROR(D183*(1-(1+AVERAGE(R16:R45))^(-Horiz))/AVERAGE(R16:R45)/E183,0)</f>
        <v>3.20183496514798</v>
      </c>
      <c r="I183" s="90" t="n">
        <f aca="false">D183*(1-(1+AVERAGE(R16:R45))^(-Horiz))/AVERAGE(R16:R45)-E183</f>
        <v>1019867.93750689</v>
      </c>
    </row>
    <row r="184" customFormat="false" ht="15" hidden="false" customHeight="false" outlineLevel="0" collapsed="false">
      <c r="B184" s="60" t="s">
        <v>317</v>
      </c>
      <c r="C184" s="88" t="n">
        <f aca="false">$BJ$46+$BI$46*(1*1*1)+$BL$46*(1*1*1)+$BK$46*$C$170-$AA$46</f>
        <v>190174.914237814</v>
      </c>
      <c r="D184" s="90" t="n">
        <f aca="false">$BL$46*(1*1*1)+$BK$46*$C$170-$AA$46</f>
        <v>160254.598039216</v>
      </c>
      <c r="E184" s="88" t="n">
        <f aca="false">$BR$46*$C$170+$BS$46+$BT$46*1</f>
        <v>440732</v>
      </c>
      <c r="F184" s="87" t="n">
        <f aca="false">IFERROR(C184*(1-(1+AVERAGE(R16:R45))^(-Horiz))/AVERAGE(R16:R45)/E184,0)</f>
        <v>2.65136754843279</v>
      </c>
      <c r="G184" s="90" t="n">
        <f aca="false">C184*(1-(1+AVERAGE(R16:R45))^(-Horiz))/AVERAGE(R16:R45)-E184</f>
        <v>727810.522355879</v>
      </c>
      <c r="H184" s="87" t="n">
        <f aca="false">IFERROR(D184*(1-(1+AVERAGE(R16:R45))^(-Horiz))/AVERAGE(R16:R45)/E184,0)</f>
        <v>2.23422654050464</v>
      </c>
      <c r="I184" s="90" t="n">
        <f aca="false">D184*(1-(1+AVERAGE(R16:R45))^(-Horiz))/AVERAGE(R16:R45)-E184</f>
        <v>543963.131649691</v>
      </c>
    </row>
    <row r="185" customFormat="false" ht="15" hidden="false" customHeight="false" outlineLevel="0" collapsed="false">
      <c r="B185" s="60" t="s">
        <v>318</v>
      </c>
      <c r="C185" s="88" t="n">
        <f aca="false">$BJ$46+$BI$46*(1*1*1)+$BL$46*(1*1*1)+$BK$46*$D$170-$AA$46</f>
        <v>191686.39462997</v>
      </c>
      <c r="D185" s="90" t="n">
        <f aca="false">$BL$46*(1*1*1)+$BK$46*$D$170-$AA$46</f>
        <v>161766.078431373</v>
      </c>
      <c r="E185" s="88" t="n">
        <f aca="false">$BR$46*$D$170+$BS$46+$BT$46*1</f>
        <v>463190</v>
      </c>
      <c r="F185" s="87" t="n">
        <f aca="false">IFERROR(C185*(1-(1+AVERAGE(R16:R45))^(-Horiz))/AVERAGE(R16:R45)/E185,0)</f>
        <v>2.5428655952297</v>
      </c>
      <c r="G185" s="90" t="n">
        <f aca="false">C185*(1-(1+AVERAGE(R16:R45))^(-Horiz))/AVERAGE(R16:R45)-E185</f>
        <v>714639.915054443</v>
      </c>
      <c r="H185" s="87" t="n">
        <f aca="false">IFERROR(D185*(1-(1+AVERAGE(R16:R45))^(-Horiz))/AVERAGE(R16:R45)/E185,0)</f>
        <v>2.14594987877168</v>
      </c>
      <c r="I185" s="90" t="n">
        <f aca="false">D185*(1-(1+AVERAGE(R16:R45))^(-Horiz))/AVERAGE(R16:R45)-E185</f>
        <v>530792.524348256</v>
      </c>
    </row>
    <row r="186" customFormat="false" ht="15" hidden="false" customHeight="false" outlineLevel="0" collapsed="false">
      <c r="B186" s="60" t="s">
        <v>319</v>
      </c>
      <c r="C186" s="88" t="n">
        <f aca="false">$BJ$46+$BI$46*(1*1*1)+$BL$46*(1*1*1)+$BK$46*$E$170-$AA$46</f>
        <v>194205.528616898</v>
      </c>
      <c r="D186" s="90" t="n">
        <f aca="false">$BL$46*(1*1*1)+$BK$46*$E$170-$AA$46</f>
        <v>164285.212418301</v>
      </c>
      <c r="E186" s="88" t="n">
        <f aca="false">$BR$46*$E$170+$BS$46+$BT$46*1</f>
        <v>500620</v>
      </c>
      <c r="F186" s="87" t="n">
        <f aca="false">IFERROR(C186*(1-(1+AVERAGE(R16:R45))^(-Horiz))/AVERAGE(R16:R45)/E186,0)</f>
        <v>2.3836620648104</v>
      </c>
      <c r="G186" s="90" t="n">
        <f aca="false">C186*(1-(1+AVERAGE(R16:R45))^(-Horiz))/AVERAGE(R16:R45)-E186</f>
        <v>692688.902885384</v>
      </c>
      <c r="H186" s="87" t="n">
        <f aca="false">IFERROR(D186*(1-(1+AVERAGE(R16:R45))^(-Horiz))/AVERAGE(R16:R45)/E186,0)</f>
        <v>2.01642266025967</v>
      </c>
      <c r="I186" s="90" t="n">
        <f aca="false">D186*(1-(1+AVERAGE(R16:R45))^(-Horiz))/AVERAGE(R16:R45)-E186</f>
        <v>508841.512179197</v>
      </c>
    </row>
    <row r="187" customFormat="false" ht="15" hidden="false" customHeight="false" outlineLevel="0" collapsed="false">
      <c r="B187" s="60" t="s">
        <v>320</v>
      </c>
      <c r="C187" s="88" t="n">
        <f aca="false">$BJ$46+$BI$46*(1*1*1)+$BL$46*(1*1*1)+$BK$46*1-$AA$46</f>
        <v>191686.39462997</v>
      </c>
      <c r="D187" s="90" t="n">
        <f aca="false">$BL$46*(1*1*1)+$BK$46*1-$AA$46</f>
        <v>161766.078431373</v>
      </c>
      <c r="E187" s="88" t="n">
        <f aca="false">$BR$46*1+$BS$46+$BT$46*$C$171</f>
        <v>422690</v>
      </c>
      <c r="F187" s="87" t="n">
        <f aca="false">IFERROR(C187*(1-(1+AVERAGE(R16:R45))^(-Horiz))/AVERAGE(R16:R45)/E187,0)</f>
        <v>2.78651000746278</v>
      </c>
      <c r="G187" s="90" t="n">
        <f aca="false">C187*(1-(1+AVERAGE(R16:R45))^(-Horiz))/AVERAGE(R16:R45)-E187</f>
        <v>755139.915054443</v>
      </c>
      <c r="H187" s="87" t="n">
        <f aca="false">IFERROR(D187*(1-(1+AVERAGE(R16:R45))^(-Horiz))/AVERAGE(R16:R45)/E187,0)</f>
        <v>2.35156385139998</v>
      </c>
      <c r="I187" s="90" t="n">
        <f aca="false">D187*(1-(1+AVERAGE(R16:R45))^(-Horiz))/AVERAGE(R16:R45)-E187</f>
        <v>571292.524348256</v>
      </c>
    </row>
    <row r="188" customFormat="false" ht="15" hidden="false" customHeight="false" outlineLevel="0" collapsed="false">
      <c r="B188" s="60" t="s">
        <v>321</v>
      </c>
      <c r="C188" s="88" t="n">
        <f aca="false">$BJ$46+$BI$46*(1*1*1)+$BL$46*(1*1*1)+$BK$46*1-$AA$46</f>
        <v>191686.39462997</v>
      </c>
      <c r="D188" s="90" t="n">
        <f aca="false">$BL$46*(1*1*1)+$BK$46*1-$AA$46</f>
        <v>161766.078431373</v>
      </c>
      <c r="E188" s="88" t="n">
        <f aca="false">$BR$46*1+$BS$46+$BT$46*$D$171</f>
        <v>463190</v>
      </c>
      <c r="F188" s="87" t="n">
        <f aca="false">IFERROR(C188*(1-(1+AVERAGE(R16:R45))^(-Horiz))/AVERAGE(R16:R45)/E188,0)</f>
        <v>2.5428655952297</v>
      </c>
      <c r="G188" s="90" t="n">
        <f aca="false">C188*(1-(1+AVERAGE(R16:R45))^(-Horiz))/AVERAGE(R16:R45)-E188</f>
        <v>714639.915054443</v>
      </c>
      <c r="H188" s="87" t="n">
        <f aca="false">IFERROR(D188*(1-(1+AVERAGE(R16:R45))^(-Horiz))/AVERAGE(R16:R45)/E188,0)</f>
        <v>2.14594987877168</v>
      </c>
      <c r="I188" s="90" t="n">
        <f aca="false">D188*(1-(1+AVERAGE(R16:R45))^(-Horiz))/AVERAGE(R16:R45)-E188</f>
        <v>530792.524348256</v>
      </c>
    </row>
    <row r="189" customFormat="false" ht="15" hidden="false" customHeight="false" outlineLevel="0" collapsed="false">
      <c r="B189" s="60" t="s">
        <v>322</v>
      </c>
      <c r="C189" s="88" t="n">
        <f aca="false">$BJ$46+$BI$46*(1*1*1)+$BL$46*(1*1*1)+$BK$46*1-$AA$46</f>
        <v>191686.39462997</v>
      </c>
      <c r="D189" s="90" t="n">
        <f aca="false">$BL$46*(1*1*1)+$BK$46*1-$AA$46</f>
        <v>161766.078431373</v>
      </c>
      <c r="E189" s="88" t="n">
        <f aca="false">$BR$46*1+$BS$46+$BT$46*$E$171</f>
        <v>598190</v>
      </c>
      <c r="F189" s="87" t="n">
        <f aca="false">IFERROR(C189*(1-(1+AVERAGE(R16:R45))^(-Horiz))/AVERAGE(R16:R45)/E189,0)</f>
        <v>1.96898964384969</v>
      </c>
      <c r="G189" s="90" t="n">
        <f aca="false">C189*(1-(1+AVERAGE(R16:R45))^(-Horiz))/AVERAGE(R16:R45)-E189</f>
        <v>579639.915054443</v>
      </c>
      <c r="H189" s="87" t="n">
        <f aca="false">IFERROR(D189*(1-(1+AVERAGE(R16:R45))^(-Horiz))/AVERAGE(R16:R45)/E189,0)</f>
        <v>1.6616501853061</v>
      </c>
      <c r="I189" s="90" t="n">
        <f aca="false">D189*(1-(1+AVERAGE(R16:R45))^(-Horiz))/AVERAGE(R16:R45)-E189</f>
        <v>395792.524348256</v>
      </c>
    </row>
    <row r="190" customFormat="false" ht="15" hidden="false" customHeight="false" outlineLevel="0" collapsed="false">
      <c r="B190" s="60" t="s">
        <v>323</v>
      </c>
      <c r="C190" s="88" t="n">
        <f aca="false">$BJ$46+$BI$46*($C$167*$C$168*$C$169)+$BL$46*($C$167*$C$168*$C$169)+$BK$46*$E$170-$AA$46</f>
        <v>93502.8034538311</v>
      </c>
      <c r="D190" s="90" t="n">
        <f aca="false">$BL$46*($C$167*$C$168*$C$169)+$BK$46*$E$170-$AA$46</f>
        <v>72253.7581699346</v>
      </c>
      <c r="E190" s="88" t="n">
        <f aca="false">$BR$46*$E$170+$BS$46+$BT$46*$E$171</f>
        <v>635620</v>
      </c>
      <c r="F190" s="87" t="n">
        <f aca="false">IFERROR(C190*(1-(1+AVERAGE(R16:R45))^(-Horiz))/AVERAGE(R16:R45)/E190,0)</f>
        <v>0.903895803142728</v>
      </c>
      <c r="G190" s="90" t="n">
        <f aca="false">C190*(1-(1+AVERAGE(R16:R45))^(-Horiz))/AVERAGE(R16:R45)-E190</f>
        <v>-61085.7496064194</v>
      </c>
      <c r="H190" s="87" t="n">
        <f aca="false">IFERROR(D190*(1-(1+AVERAGE(R16:R45))^(-Horiz))/AVERAGE(R16:R45)/E190,0)</f>
        <v>0.698480327419719</v>
      </c>
      <c r="I190" s="90" t="n">
        <f aca="false">D190*(1-(1+AVERAGE(R16:R45))^(-Horiz))/AVERAGE(R16:R45)-E190</f>
        <v>-191651.934285478</v>
      </c>
    </row>
    <row r="191" customFormat="false" ht="15" hidden="false" customHeight="false" outlineLevel="0" collapsed="false">
      <c r="B191" s="60" t="s">
        <v>324</v>
      </c>
      <c r="C191" s="88" t="n">
        <f aca="false">$BJ$46+$BI$46*($E$167*$E$168*$E$169)+$BL$46*($E$167*$E$168*$E$169)+$BK$46*$C$170-$AA$46</f>
        <v>424240.707860078</v>
      </c>
      <c r="D191" s="90" t="n">
        <f aca="false">$BL$46*($E$167*$E$168*$E$169)+$BK$46*$C$170-$AA$46</f>
        <v>374165.545751634</v>
      </c>
      <c r="E191" s="88" t="n">
        <f aca="false">$BR$46*$C$170+$BS$46+$BT$46*$C$171</f>
        <v>400232</v>
      </c>
      <c r="F191" s="87" t="n">
        <f aca="false">IFERROR(C191*(1-(1+AVERAGE(R16:R45))^(-Horiz))/AVERAGE(R16:R45)/E191,0)</f>
        <v>6.51316111259946</v>
      </c>
      <c r="G191" s="90" t="n">
        <f aca="false">C191*(1-(1+AVERAGE(R16:R45))^(-Horiz))/AVERAGE(R16:R45)-E191</f>
        <v>2206543.49841791</v>
      </c>
      <c r="H191" s="87" t="n">
        <f aca="false">IFERROR(D191*(1-(1+AVERAGE(R16:R45))^(-Horiz))/AVERAGE(R16:R45)/E191,0)</f>
        <v>5.74438152000223</v>
      </c>
      <c r="I191" s="90" t="n">
        <f aca="false">D191*(1-(1+AVERAGE(R16:R45))^(-Horiz))/AVERAGE(R16:R45)-E191</f>
        <v>1898853.30451353</v>
      </c>
    </row>
    <row r="193" customFormat="false" ht="15" hidden="false" customHeight="false" outlineLevel="0" collapsed="false">
      <c r="B193" s="68" t="s">
        <v>325</v>
      </c>
    </row>
    <row r="194" customFormat="false" ht="15" hidden="false" customHeight="false" outlineLevel="0" collapsed="false">
      <c r="B194" s="69" t="s">
        <v>326</v>
      </c>
      <c r="C194" s="69" t="s">
        <v>327</v>
      </c>
      <c r="D194" s="93" t="n">
        <v>0</v>
      </c>
      <c r="E194" s="93" t="n">
        <v>1</v>
      </c>
      <c r="F194" s="93" t="n">
        <v>2</v>
      </c>
      <c r="G194" s="93" t="n">
        <v>3</v>
      </c>
      <c r="H194" s="93" t="n">
        <v>4</v>
      </c>
      <c r="I194" s="93" t="n">
        <v>5</v>
      </c>
      <c r="J194" s="93" t="n">
        <v>6</v>
      </c>
      <c r="K194" s="93" t="n">
        <v>7</v>
      </c>
      <c r="L194" s="93" t="n">
        <v>8</v>
      </c>
      <c r="M194" s="93" t="n">
        <v>9</v>
      </c>
      <c r="N194" s="93" t="n">
        <v>10</v>
      </c>
      <c r="O194" s="93" t="n">
        <v>11</v>
      </c>
      <c r="P194" s="93" t="n">
        <v>12</v>
      </c>
      <c r="Q194" s="93" t="n">
        <v>13</v>
      </c>
      <c r="R194" s="93" t="n">
        <v>14</v>
      </c>
      <c r="S194" s="93" t="n">
        <v>15</v>
      </c>
    </row>
    <row r="195" customFormat="false" ht="15" hidden="false" customHeight="false" outlineLevel="0" collapsed="false">
      <c r="B195" s="5" t="s">
        <v>328</v>
      </c>
      <c r="C195" s="7" t="s">
        <v>329</v>
      </c>
      <c r="D195" s="51" t="n">
        <f aca="false">1/(1+AVERAGE(R16:R45))^D$194</f>
        <v>1</v>
      </c>
      <c r="E195" s="51" t="n">
        <f aca="false">1/(1+AVERAGE(R16:R45))^E$194</f>
        <v>0.909090909090909</v>
      </c>
      <c r="F195" s="51" t="n">
        <f aca="false">1/(1+AVERAGE(R16:R45))^F$194</f>
        <v>0.826446280991735</v>
      </c>
      <c r="G195" s="51" t="n">
        <f aca="false">1/(1+AVERAGE(R16:R45))^G$194</f>
        <v>0.751314800901578</v>
      </c>
      <c r="H195" s="51" t="n">
        <f aca="false">1/(1+AVERAGE(R16:R45))^H$194</f>
        <v>0.683013455365071</v>
      </c>
      <c r="I195" s="51" t="n">
        <f aca="false">1/(1+AVERAGE(R16:R45))^I$194</f>
        <v>0.620921323059155</v>
      </c>
      <c r="J195" s="51" t="n">
        <f aca="false">1/(1+AVERAGE(R16:R45))^J$194</f>
        <v>0.564473930053777</v>
      </c>
      <c r="K195" s="51" t="n">
        <f aca="false">1/(1+AVERAGE(R16:R45))^K$194</f>
        <v>0.513158118230707</v>
      </c>
      <c r="L195" s="51" t="n">
        <f aca="false">1/(1+AVERAGE(R16:R45))^L$194</f>
        <v>0.466507380209733</v>
      </c>
      <c r="M195" s="51" t="n">
        <f aca="false">1/(1+AVERAGE(R16:R45))^M$194</f>
        <v>0.424097618372485</v>
      </c>
      <c r="N195" s="51" t="n">
        <f aca="false">1/(1+AVERAGE(R16:R45))^N$194</f>
        <v>0.385543289429531</v>
      </c>
      <c r="O195" s="51" t="n">
        <f aca="false">1/(1+AVERAGE(R16:R45))^O$194</f>
        <v>0.350493899481392</v>
      </c>
      <c r="P195" s="51" t="n">
        <f aca="false">1/(1+AVERAGE(R16:R45))^P$194</f>
        <v>0.318630817710357</v>
      </c>
      <c r="Q195" s="51" t="n">
        <f aca="false">1/(1+AVERAGE(R16:R45))^Q$194</f>
        <v>0.289664379736688</v>
      </c>
      <c r="R195" s="51" t="n">
        <f aca="false">1/(1+AVERAGE(R16:R45))^R$194</f>
        <v>0.26333125430608</v>
      </c>
      <c r="S195" s="51" t="n">
        <f aca="false">1/(1+AVERAGE(R16:R45))^S$194</f>
        <v>0.239392049369163</v>
      </c>
    </row>
    <row r="196" customFormat="false" ht="15" hidden="false" customHeight="false" outlineLevel="0" collapsed="false">
      <c r="B196" s="5" t="s">
        <v>330</v>
      </c>
      <c r="C196" s="7" t="s">
        <v>331</v>
      </c>
      <c r="D196" s="57" t="n">
        <f aca="false">IF(AND(D$194&gt;=1,D$194&lt;=Horiz),$BI$46,0)</f>
        <v>0</v>
      </c>
      <c r="E196" s="57" t="n">
        <f aca="false">IF(AND(E$194&gt;=1,E$194&lt;=Horiz),$BI$46,0)</f>
        <v>14998.9550956998</v>
      </c>
      <c r="F196" s="57" t="n">
        <f aca="false">IF(AND(F$194&gt;=1,F$194&lt;=Horiz),$BI$46,0)</f>
        <v>14998.9550956998</v>
      </c>
      <c r="G196" s="57" t="n">
        <f aca="false">IF(AND(G$194&gt;=1,G$194&lt;=Horiz),$BI$46,0)</f>
        <v>14998.9550956998</v>
      </c>
      <c r="H196" s="57" t="n">
        <f aca="false">IF(AND(H$194&gt;=1,H$194&lt;=Horiz),$BI$46,0)</f>
        <v>14998.9550956998</v>
      </c>
      <c r="I196" s="57" t="n">
        <f aca="false">IF(AND(I$194&gt;=1,I$194&lt;=Horiz),$BI$46,0)</f>
        <v>14998.9550956998</v>
      </c>
      <c r="J196" s="57" t="n">
        <f aca="false">IF(AND(J$194&gt;=1,J$194&lt;=Horiz),$BI$46,0)</f>
        <v>14998.9550956998</v>
      </c>
      <c r="K196" s="57" t="n">
        <f aca="false">IF(AND(K$194&gt;=1,K$194&lt;=Horiz),$BI$46,0)</f>
        <v>14998.9550956998</v>
      </c>
      <c r="L196" s="57" t="n">
        <f aca="false">IF(AND(L$194&gt;=1,L$194&lt;=Horiz),$BI$46,0)</f>
        <v>14998.9550956998</v>
      </c>
      <c r="M196" s="57" t="n">
        <f aca="false">IF(AND(M$194&gt;=1,M$194&lt;=Horiz),$BI$46,0)</f>
        <v>14998.9550956998</v>
      </c>
      <c r="N196" s="57" t="n">
        <f aca="false">IF(AND(N$194&gt;=1,N$194&lt;=Horiz),$BI$46,0)</f>
        <v>14998.9550956998</v>
      </c>
      <c r="O196" s="57" t="n">
        <f aca="false">IF(AND(O$194&gt;=1,O$194&lt;=Horiz),$BI$46,0)</f>
        <v>0</v>
      </c>
      <c r="P196" s="57" t="n">
        <f aca="false">IF(AND(P$194&gt;=1,P$194&lt;=Horiz),$BI$46,0)</f>
        <v>0</v>
      </c>
      <c r="Q196" s="57" t="n">
        <f aca="false">IF(AND(Q$194&gt;=1,Q$194&lt;=Horiz),$BI$46,0)</f>
        <v>0</v>
      </c>
      <c r="R196" s="57" t="n">
        <f aca="false">IF(AND(R$194&gt;=1,R$194&lt;=Horiz),$BI$46,0)</f>
        <v>0</v>
      </c>
      <c r="S196" s="57" t="n">
        <f aca="false">IF(AND(S$194&gt;=1,S$194&lt;=Horiz),$BI$46,0)</f>
        <v>0</v>
      </c>
    </row>
    <row r="197" customFormat="false" ht="15" hidden="false" customHeight="false" outlineLevel="0" collapsed="false">
      <c r="B197" s="5" t="s">
        <v>332</v>
      </c>
      <c r="C197" s="7" t="s">
        <v>333</v>
      </c>
      <c r="D197" s="57" t="n">
        <f aca="false">IF(AND(D$194&gt;=1,D$194&lt;=Horiz),$BJ$46,0)</f>
        <v>0</v>
      </c>
      <c r="E197" s="57" t="n">
        <f aca="false">IF(AND(E$194&gt;=1,E$194&lt;=Horiz),$BJ$46,0)</f>
        <v>14921.3611028981</v>
      </c>
      <c r="F197" s="57" t="n">
        <f aca="false">IF(AND(F$194&gt;=1,F$194&lt;=Horiz),$BJ$46,0)</f>
        <v>14921.3611028981</v>
      </c>
      <c r="G197" s="57" t="n">
        <f aca="false">IF(AND(G$194&gt;=1,G$194&lt;=Horiz),$BJ$46,0)</f>
        <v>14921.3611028981</v>
      </c>
      <c r="H197" s="57" t="n">
        <f aca="false">IF(AND(H$194&gt;=1,H$194&lt;=Horiz),$BJ$46,0)</f>
        <v>14921.3611028981</v>
      </c>
      <c r="I197" s="57" t="n">
        <f aca="false">IF(AND(I$194&gt;=1,I$194&lt;=Horiz),$BJ$46,0)</f>
        <v>14921.3611028981</v>
      </c>
      <c r="J197" s="57" t="n">
        <f aca="false">IF(AND(J$194&gt;=1,J$194&lt;=Horiz),$BJ$46,0)</f>
        <v>14921.3611028981</v>
      </c>
      <c r="K197" s="57" t="n">
        <f aca="false">IF(AND(K$194&gt;=1,K$194&lt;=Horiz),$BJ$46,0)</f>
        <v>14921.3611028981</v>
      </c>
      <c r="L197" s="57" t="n">
        <f aca="false">IF(AND(L$194&gt;=1,L$194&lt;=Horiz),$BJ$46,0)</f>
        <v>14921.3611028981</v>
      </c>
      <c r="M197" s="57" t="n">
        <f aca="false">IF(AND(M$194&gt;=1,M$194&lt;=Horiz),$BJ$46,0)</f>
        <v>14921.3611028981</v>
      </c>
      <c r="N197" s="57" t="n">
        <f aca="false">IF(AND(N$194&gt;=1,N$194&lt;=Horiz),$BJ$46,0)</f>
        <v>14921.3611028981</v>
      </c>
      <c r="O197" s="57" t="n">
        <f aca="false">IF(AND(O$194&gt;=1,O$194&lt;=Horiz),$BJ$46,0)</f>
        <v>0</v>
      </c>
      <c r="P197" s="57" t="n">
        <f aca="false">IF(AND(P$194&gt;=1,P$194&lt;=Horiz),$BJ$46,0)</f>
        <v>0</v>
      </c>
      <c r="Q197" s="57" t="n">
        <f aca="false">IF(AND(Q$194&gt;=1,Q$194&lt;=Horiz),$BJ$46,0)</f>
        <v>0</v>
      </c>
      <c r="R197" s="57" t="n">
        <f aca="false">IF(AND(R$194&gt;=1,R$194&lt;=Horiz),$BJ$46,0)</f>
        <v>0</v>
      </c>
      <c r="S197" s="57" t="n">
        <f aca="false">IF(AND(S$194&gt;=1,S$194&lt;=Horiz),$BJ$46,0)</f>
        <v>0</v>
      </c>
    </row>
    <row r="198" customFormat="false" ht="15" hidden="false" customHeight="false" outlineLevel="0" collapsed="false">
      <c r="B198" s="5" t="s">
        <v>334</v>
      </c>
      <c r="C198" s="7" t="s">
        <v>335</v>
      </c>
      <c r="D198" s="57" t="n">
        <f aca="false">IF(AND(D$194&gt;=1,D$194&lt;=Horiz),$BL$46,0)</f>
        <v>0</v>
      </c>
      <c r="E198" s="57" t="n">
        <f aca="false">IF(AND(E$194&gt;=1,E$194&lt;=Horiz),$BL$46,0)</f>
        <v>159189.54248366</v>
      </c>
      <c r="F198" s="57" t="n">
        <f aca="false">IF(AND(F$194&gt;=1,F$194&lt;=Horiz),$BL$46,0)</f>
        <v>159189.54248366</v>
      </c>
      <c r="G198" s="57" t="n">
        <f aca="false">IF(AND(G$194&gt;=1,G$194&lt;=Horiz),$BL$46,0)</f>
        <v>159189.54248366</v>
      </c>
      <c r="H198" s="57" t="n">
        <f aca="false">IF(AND(H$194&gt;=1,H$194&lt;=Horiz),$BL$46,0)</f>
        <v>159189.54248366</v>
      </c>
      <c r="I198" s="57" t="n">
        <f aca="false">IF(AND(I$194&gt;=1,I$194&lt;=Horiz),$BL$46,0)</f>
        <v>159189.54248366</v>
      </c>
      <c r="J198" s="57" t="n">
        <f aca="false">IF(AND(J$194&gt;=1,J$194&lt;=Horiz),$BL$46,0)</f>
        <v>159189.54248366</v>
      </c>
      <c r="K198" s="57" t="n">
        <f aca="false">IF(AND(K$194&gt;=1,K$194&lt;=Horiz),$BL$46,0)</f>
        <v>159189.54248366</v>
      </c>
      <c r="L198" s="57" t="n">
        <f aca="false">IF(AND(L$194&gt;=1,L$194&lt;=Horiz),$BL$46,0)</f>
        <v>159189.54248366</v>
      </c>
      <c r="M198" s="57" t="n">
        <f aca="false">IF(AND(M$194&gt;=1,M$194&lt;=Horiz),$BL$46,0)</f>
        <v>159189.54248366</v>
      </c>
      <c r="N198" s="57" t="n">
        <f aca="false">IF(AND(N$194&gt;=1,N$194&lt;=Horiz),$BL$46,0)</f>
        <v>159189.54248366</v>
      </c>
      <c r="O198" s="57" t="n">
        <f aca="false">IF(AND(O$194&gt;=1,O$194&lt;=Horiz),$BL$46,0)</f>
        <v>0</v>
      </c>
      <c r="P198" s="57" t="n">
        <f aca="false">IF(AND(P$194&gt;=1,P$194&lt;=Horiz),$BL$46,0)</f>
        <v>0</v>
      </c>
      <c r="Q198" s="57" t="n">
        <f aca="false">IF(AND(Q$194&gt;=1,Q$194&lt;=Horiz),$BL$46,0)</f>
        <v>0</v>
      </c>
      <c r="R198" s="57" t="n">
        <f aca="false">IF(AND(R$194&gt;=1,R$194&lt;=Horiz),$BL$46,0)</f>
        <v>0</v>
      </c>
      <c r="S198" s="57" t="n">
        <f aca="false">IF(AND(S$194&gt;=1,S$194&lt;=Horiz),$BL$46,0)</f>
        <v>0</v>
      </c>
    </row>
    <row r="199" customFormat="false" ht="15" hidden="false" customHeight="false" outlineLevel="0" collapsed="false">
      <c r="B199" s="5" t="s">
        <v>336</v>
      </c>
      <c r="C199" s="7" t="s">
        <v>337</v>
      </c>
      <c r="D199" s="57" t="n">
        <f aca="false">IF(AND(D$194&gt;=1,D$194&lt;=Horiz),$BK$46,0)</f>
        <v>0</v>
      </c>
      <c r="E199" s="57" t="n">
        <f aca="false">IF(AND(E$194&gt;=1,E$194&lt;=Horiz),$BK$46,0)</f>
        <v>10076.5359477124</v>
      </c>
      <c r="F199" s="57" t="n">
        <f aca="false">IF(AND(F$194&gt;=1,F$194&lt;=Horiz),$BK$46,0)</f>
        <v>10076.5359477124</v>
      </c>
      <c r="G199" s="57" t="n">
        <f aca="false">IF(AND(G$194&gt;=1,G$194&lt;=Horiz),$BK$46,0)</f>
        <v>10076.5359477124</v>
      </c>
      <c r="H199" s="57" t="n">
        <f aca="false">IF(AND(H$194&gt;=1,H$194&lt;=Horiz),$BK$46,0)</f>
        <v>10076.5359477124</v>
      </c>
      <c r="I199" s="57" t="n">
        <f aca="false">IF(AND(I$194&gt;=1,I$194&lt;=Horiz),$BK$46,0)</f>
        <v>10076.5359477124</v>
      </c>
      <c r="J199" s="57" t="n">
        <f aca="false">IF(AND(J$194&gt;=1,J$194&lt;=Horiz),$BK$46,0)</f>
        <v>10076.5359477124</v>
      </c>
      <c r="K199" s="57" t="n">
        <f aca="false">IF(AND(K$194&gt;=1,K$194&lt;=Horiz),$BK$46,0)</f>
        <v>10076.5359477124</v>
      </c>
      <c r="L199" s="57" t="n">
        <f aca="false">IF(AND(L$194&gt;=1,L$194&lt;=Horiz),$BK$46,0)</f>
        <v>10076.5359477124</v>
      </c>
      <c r="M199" s="57" t="n">
        <f aca="false">IF(AND(M$194&gt;=1,M$194&lt;=Horiz),$BK$46,0)</f>
        <v>10076.5359477124</v>
      </c>
      <c r="N199" s="57" t="n">
        <f aca="false">IF(AND(N$194&gt;=1,N$194&lt;=Horiz),$BK$46,0)</f>
        <v>10076.5359477124</v>
      </c>
      <c r="O199" s="57" t="n">
        <f aca="false">IF(AND(O$194&gt;=1,O$194&lt;=Horiz),$BK$46,0)</f>
        <v>0</v>
      </c>
      <c r="P199" s="57" t="n">
        <f aca="false">IF(AND(P$194&gt;=1,P$194&lt;=Horiz),$BK$46,0)</f>
        <v>0</v>
      </c>
      <c r="Q199" s="57" t="n">
        <f aca="false">IF(AND(Q$194&gt;=1,Q$194&lt;=Horiz),$BK$46,0)</f>
        <v>0</v>
      </c>
      <c r="R199" s="57" t="n">
        <f aca="false">IF(AND(R$194&gt;=1,R$194&lt;=Horiz),$BK$46,0)</f>
        <v>0</v>
      </c>
      <c r="S199" s="57" t="n">
        <f aca="false">IF(AND(S$194&gt;=1,S$194&lt;=Horiz),$BK$46,0)</f>
        <v>0</v>
      </c>
    </row>
    <row r="200" customFormat="false" ht="15" hidden="false" customHeight="false" outlineLevel="0" collapsed="false">
      <c r="B200" s="5" t="s">
        <v>338</v>
      </c>
      <c r="C200" s="7" t="s">
        <v>337</v>
      </c>
      <c r="D200" s="57" t="n">
        <f aca="false">IF(AND(D$194&gt;=1,D$194&lt;=Horiz),-$AA$46,0)</f>
        <v>0</v>
      </c>
      <c r="E200" s="57" t="n">
        <f aca="false">IF(AND(E$194&gt;=1,E$194&lt;=Horiz),-$AA$46,0)</f>
        <v>-7500</v>
      </c>
      <c r="F200" s="57" t="n">
        <f aca="false">IF(AND(F$194&gt;=1,F$194&lt;=Horiz),-$AA$46,0)</f>
        <v>-7500</v>
      </c>
      <c r="G200" s="57" t="n">
        <f aca="false">IF(AND(G$194&gt;=1,G$194&lt;=Horiz),-$AA$46,0)</f>
        <v>-7500</v>
      </c>
      <c r="H200" s="57" t="n">
        <f aca="false">IF(AND(H$194&gt;=1,H$194&lt;=Horiz),-$AA$46,0)</f>
        <v>-7500</v>
      </c>
      <c r="I200" s="57" t="n">
        <f aca="false">IF(AND(I$194&gt;=1,I$194&lt;=Horiz),-$AA$46,0)</f>
        <v>-7500</v>
      </c>
      <c r="J200" s="57" t="n">
        <f aca="false">IF(AND(J$194&gt;=1,J$194&lt;=Horiz),-$AA$46,0)</f>
        <v>-7500</v>
      </c>
      <c r="K200" s="57" t="n">
        <f aca="false">IF(AND(K$194&gt;=1,K$194&lt;=Horiz),-$AA$46,0)</f>
        <v>-7500</v>
      </c>
      <c r="L200" s="57" t="n">
        <f aca="false">IF(AND(L$194&gt;=1,L$194&lt;=Horiz),-$AA$46,0)</f>
        <v>-7500</v>
      </c>
      <c r="M200" s="57" t="n">
        <f aca="false">IF(AND(M$194&gt;=1,M$194&lt;=Horiz),-$AA$46,0)</f>
        <v>-7500</v>
      </c>
      <c r="N200" s="57" t="n">
        <f aca="false">IF(AND(N$194&gt;=1,N$194&lt;=Horiz),-$AA$46,0)</f>
        <v>-7500</v>
      </c>
      <c r="O200" s="57" t="n">
        <f aca="false">IF(AND(O$194&gt;=1,O$194&lt;=Horiz),-$AA$46,0)</f>
        <v>0</v>
      </c>
      <c r="P200" s="57" t="n">
        <f aca="false">IF(AND(P$194&gt;=1,P$194&lt;=Horiz),-$AA$46,0)</f>
        <v>0</v>
      </c>
      <c r="Q200" s="57" t="n">
        <f aca="false">IF(AND(Q$194&gt;=1,Q$194&lt;=Horiz),-$AA$46,0)</f>
        <v>0</v>
      </c>
      <c r="R200" s="57" t="n">
        <f aca="false">IF(AND(R$194&gt;=1,R$194&lt;=Horiz),-$AA$46,0)</f>
        <v>0</v>
      </c>
      <c r="S200" s="57" t="n">
        <f aca="false">IF(AND(S$194&gt;=1,S$194&lt;=Horiz),-$AA$46,0)</f>
        <v>0</v>
      </c>
    </row>
    <row r="201" customFormat="false" ht="15" hidden="false" customHeight="false" outlineLevel="0" collapsed="false">
      <c r="B201" s="5" t="s">
        <v>339</v>
      </c>
      <c r="C201" s="7" t="s">
        <v>337</v>
      </c>
      <c r="D201" s="57" t="n">
        <f aca="false">IF(D$194=0,-$BR$46,0)</f>
        <v>-149720</v>
      </c>
      <c r="E201" s="57" t="n">
        <f aca="false">IF(E$194=0,-$BR$46,0)</f>
        <v>0</v>
      </c>
      <c r="F201" s="57" t="n">
        <f aca="false">IF(F$194=0,-$BR$46,0)</f>
        <v>0</v>
      </c>
      <c r="G201" s="57" t="n">
        <f aca="false">IF(G$194=0,-$BR$46,0)</f>
        <v>0</v>
      </c>
      <c r="H201" s="57" t="n">
        <f aca="false">IF(H$194=0,-$BR$46,0)</f>
        <v>0</v>
      </c>
      <c r="I201" s="57" t="n">
        <f aca="false">IF(I$194=0,-$BR$46,0)</f>
        <v>0</v>
      </c>
      <c r="J201" s="57" t="n">
        <f aca="false">IF(J$194=0,-$BR$46,0)</f>
        <v>0</v>
      </c>
      <c r="K201" s="57" t="n">
        <f aca="false">IF(K$194=0,-$BR$46,0)</f>
        <v>0</v>
      </c>
      <c r="L201" s="57" t="n">
        <f aca="false">IF(L$194=0,-$BR$46,0)</f>
        <v>0</v>
      </c>
      <c r="M201" s="57" t="n">
        <f aca="false">IF(M$194=0,-$BR$46,0)</f>
        <v>0</v>
      </c>
      <c r="N201" s="57" t="n">
        <f aca="false">IF(N$194=0,-$BR$46,0)</f>
        <v>0</v>
      </c>
      <c r="O201" s="57" t="n">
        <f aca="false">IF(O$194=0,-$BR$46,0)</f>
        <v>0</v>
      </c>
      <c r="P201" s="57" t="n">
        <f aca="false">IF(P$194=0,-$BR$46,0)</f>
        <v>0</v>
      </c>
      <c r="Q201" s="57" t="n">
        <f aca="false">IF(Q$194=0,-$BR$46,0)</f>
        <v>0</v>
      </c>
      <c r="R201" s="57" t="n">
        <f aca="false">IF(R$194=0,-$BR$46,0)</f>
        <v>0</v>
      </c>
      <c r="S201" s="57" t="n">
        <f aca="false">IF(S$194=0,-$BR$46,0)</f>
        <v>0</v>
      </c>
    </row>
    <row r="202" customFormat="false" ht="15" hidden="false" customHeight="false" outlineLevel="0" collapsed="false">
      <c r="B202" s="5" t="s">
        <v>340</v>
      </c>
      <c r="C202" s="7" t="s">
        <v>337</v>
      </c>
      <c r="D202" s="57" t="n">
        <f aca="false">IF(D$194=0,-$BS$46,0)</f>
        <v>-43470</v>
      </c>
      <c r="E202" s="57" t="n">
        <f aca="false">IF(E$194=0,-$BS$46,0)</f>
        <v>0</v>
      </c>
      <c r="F202" s="57" t="n">
        <f aca="false">IF(F$194=0,-$BS$46,0)</f>
        <v>0</v>
      </c>
      <c r="G202" s="57" t="n">
        <f aca="false">IF(G$194=0,-$BS$46,0)</f>
        <v>0</v>
      </c>
      <c r="H202" s="57" t="n">
        <f aca="false">IF(H$194=0,-$BS$46,0)</f>
        <v>0</v>
      </c>
      <c r="I202" s="57" t="n">
        <f aca="false">IF(I$194=0,-$BS$46,0)</f>
        <v>0</v>
      </c>
      <c r="J202" s="57" t="n">
        <f aca="false">IF(J$194=0,-$BS$46,0)</f>
        <v>0</v>
      </c>
      <c r="K202" s="57" t="n">
        <f aca="false">IF(K$194=0,-$BS$46,0)</f>
        <v>0</v>
      </c>
      <c r="L202" s="57" t="n">
        <f aca="false">IF(L$194=0,-$BS$46,0)</f>
        <v>0</v>
      </c>
      <c r="M202" s="57" t="n">
        <f aca="false">IF(M$194=0,-$BS$46,0)</f>
        <v>0</v>
      </c>
      <c r="N202" s="57" t="n">
        <f aca="false">IF(N$194=0,-$BS$46,0)</f>
        <v>0</v>
      </c>
      <c r="O202" s="57" t="n">
        <f aca="false">IF(O$194=0,-$BS$46,0)</f>
        <v>0</v>
      </c>
      <c r="P202" s="57" t="n">
        <f aca="false">IF(P$194=0,-$BS$46,0)</f>
        <v>0</v>
      </c>
      <c r="Q202" s="57" t="n">
        <f aca="false">IF(Q$194=0,-$BS$46,0)</f>
        <v>0</v>
      </c>
      <c r="R202" s="57" t="n">
        <f aca="false">IF(R$194=0,-$BS$46,0)</f>
        <v>0</v>
      </c>
      <c r="S202" s="57" t="n">
        <f aca="false">IF(S$194=0,-$BS$46,0)</f>
        <v>0</v>
      </c>
    </row>
    <row r="203" customFormat="false" ht="15" hidden="false" customHeight="false" outlineLevel="0" collapsed="false">
      <c r="B203" s="5" t="s">
        <v>341</v>
      </c>
      <c r="C203" s="7" t="s">
        <v>337</v>
      </c>
      <c r="D203" s="57" t="n">
        <f aca="false">IF(D$194=0,-$BT$46,0)</f>
        <v>-270000</v>
      </c>
      <c r="E203" s="57" t="n">
        <f aca="false">IF(E$194=0,-$BT$46,0)</f>
        <v>0</v>
      </c>
      <c r="F203" s="57" t="n">
        <f aca="false">IF(F$194=0,-$BT$46,0)</f>
        <v>0</v>
      </c>
      <c r="G203" s="57" t="n">
        <f aca="false">IF(G$194=0,-$BT$46,0)</f>
        <v>0</v>
      </c>
      <c r="H203" s="57" t="n">
        <f aca="false">IF(H$194=0,-$BT$46,0)</f>
        <v>0</v>
      </c>
      <c r="I203" s="57" t="n">
        <f aca="false">IF(I$194=0,-$BT$46,0)</f>
        <v>0</v>
      </c>
      <c r="J203" s="57" t="n">
        <f aca="false">IF(J$194=0,-$BT$46,0)</f>
        <v>0</v>
      </c>
      <c r="K203" s="57" t="n">
        <f aca="false">IF(K$194=0,-$BT$46,0)</f>
        <v>0</v>
      </c>
      <c r="L203" s="57" t="n">
        <f aca="false">IF(L$194=0,-$BT$46,0)</f>
        <v>0</v>
      </c>
      <c r="M203" s="57" t="n">
        <f aca="false">IF(M$194=0,-$BT$46,0)</f>
        <v>0</v>
      </c>
      <c r="N203" s="57" t="n">
        <f aca="false">IF(N$194=0,-$BT$46,0)</f>
        <v>0</v>
      </c>
      <c r="O203" s="57" t="n">
        <f aca="false">IF(O$194=0,-$BT$46,0)</f>
        <v>0</v>
      </c>
      <c r="P203" s="57" t="n">
        <f aca="false">IF(P$194=0,-$BT$46,0)</f>
        <v>0</v>
      </c>
      <c r="Q203" s="57" t="n">
        <f aca="false">IF(Q$194=0,-$BT$46,0)</f>
        <v>0</v>
      </c>
      <c r="R203" s="57" t="n">
        <f aca="false">IF(R$194=0,-$BT$46,0)</f>
        <v>0</v>
      </c>
      <c r="S203" s="57" t="n">
        <f aca="false">IF(S$194=0,-$BT$46,0)</f>
        <v>0</v>
      </c>
    </row>
    <row r="204" customFormat="false" ht="15" hidden="false" customHeight="false" outlineLevel="0" collapsed="false">
      <c r="B204" s="69" t="s">
        <v>342</v>
      </c>
      <c r="D204" s="57" t="n">
        <f aca="false">SUM(D196:D203)</f>
        <v>-463190</v>
      </c>
      <c r="E204" s="57" t="n">
        <f aca="false">SUM(E196:E203)</f>
        <v>191686.39462997</v>
      </c>
      <c r="F204" s="57" t="n">
        <f aca="false">SUM(F196:F203)</f>
        <v>191686.39462997</v>
      </c>
      <c r="G204" s="57" t="n">
        <f aca="false">SUM(G196:G203)</f>
        <v>191686.39462997</v>
      </c>
      <c r="H204" s="57" t="n">
        <f aca="false">SUM(H196:H203)</f>
        <v>191686.39462997</v>
      </c>
      <c r="I204" s="57" t="n">
        <f aca="false">SUM(I196:I203)</f>
        <v>191686.39462997</v>
      </c>
      <c r="J204" s="57" t="n">
        <f aca="false">SUM(J196:J203)</f>
        <v>191686.39462997</v>
      </c>
      <c r="K204" s="57" t="n">
        <f aca="false">SUM(K196:K203)</f>
        <v>191686.39462997</v>
      </c>
      <c r="L204" s="57" t="n">
        <f aca="false">SUM(L196:L203)</f>
        <v>191686.39462997</v>
      </c>
      <c r="M204" s="57" t="n">
        <f aca="false">SUM(M196:M203)</f>
        <v>191686.39462997</v>
      </c>
      <c r="N204" s="57" t="n">
        <f aca="false">SUM(N196:N203)</f>
        <v>191686.39462997</v>
      </c>
      <c r="O204" s="57" t="n">
        <f aca="false">SUM(O196:O203)</f>
        <v>0</v>
      </c>
      <c r="P204" s="57" t="n">
        <f aca="false">SUM(P196:P203)</f>
        <v>0</v>
      </c>
      <c r="Q204" s="57" t="n">
        <f aca="false">SUM(Q196:Q203)</f>
        <v>0</v>
      </c>
      <c r="R204" s="57" t="n">
        <f aca="false">SUM(R196:R203)</f>
        <v>0</v>
      </c>
      <c r="S204" s="57" t="n">
        <f aca="false">SUM(S196:S203)</f>
        <v>0</v>
      </c>
    </row>
    <row r="205" customFormat="false" ht="15" hidden="false" customHeight="false" outlineLevel="0" collapsed="false">
      <c r="B205" s="69" t="s">
        <v>343</v>
      </c>
      <c r="D205" s="57" t="n">
        <f aca="false">SUM(D198:D203)</f>
        <v>-463190</v>
      </c>
      <c r="E205" s="57" t="n">
        <f aca="false">SUM(E198:E203)</f>
        <v>161766.078431373</v>
      </c>
      <c r="F205" s="57" t="n">
        <f aca="false">SUM(F198:F203)</f>
        <v>161766.078431373</v>
      </c>
      <c r="G205" s="57" t="n">
        <f aca="false">SUM(G198:G203)</f>
        <v>161766.078431373</v>
      </c>
      <c r="H205" s="57" t="n">
        <f aca="false">SUM(H198:H203)</f>
        <v>161766.078431373</v>
      </c>
      <c r="I205" s="57" t="n">
        <f aca="false">SUM(I198:I203)</f>
        <v>161766.078431373</v>
      </c>
      <c r="J205" s="57" t="n">
        <f aca="false">SUM(J198:J203)</f>
        <v>161766.078431373</v>
      </c>
      <c r="K205" s="57" t="n">
        <f aca="false">SUM(K198:K203)</f>
        <v>161766.078431373</v>
      </c>
      <c r="L205" s="57" t="n">
        <f aca="false">SUM(L198:L203)</f>
        <v>161766.078431373</v>
      </c>
      <c r="M205" s="57" t="n">
        <f aca="false">SUM(M198:M203)</f>
        <v>161766.078431373</v>
      </c>
      <c r="N205" s="57" t="n">
        <f aca="false">SUM(N198:N203)</f>
        <v>161766.078431373</v>
      </c>
      <c r="O205" s="57" t="n">
        <f aca="false">SUM(O198:O203)</f>
        <v>0</v>
      </c>
      <c r="P205" s="57" t="n">
        <f aca="false">SUM(P198:P203)</f>
        <v>0</v>
      </c>
      <c r="Q205" s="57" t="n">
        <f aca="false">SUM(Q198:Q203)</f>
        <v>0</v>
      </c>
      <c r="R205" s="57" t="n">
        <f aca="false">SUM(R198:R203)</f>
        <v>0</v>
      </c>
      <c r="S205" s="57" t="n">
        <f aca="false">SUM(S198:S203)</f>
        <v>0</v>
      </c>
    </row>
    <row r="206" customFormat="false" ht="15" hidden="false" customHeight="false" outlineLevel="0" collapsed="false">
      <c r="B206" s="69" t="s">
        <v>344</v>
      </c>
      <c r="D206" s="57" t="n">
        <f aca="false">D204*D195</f>
        <v>-463190</v>
      </c>
      <c r="E206" s="57" t="n">
        <f aca="false">E204*E195</f>
        <v>174260.358754518</v>
      </c>
      <c r="F206" s="57" t="n">
        <f aca="false">F204*F195</f>
        <v>158418.507958653</v>
      </c>
      <c r="G206" s="57" t="n">
        <f aca="false">G204*G195</f>
        <v>144016.825416957</v>
      </c>
      <c r="H206" s="57" t="n">
        <f aca="false">H204*H195</f>
        <v>130924.386742689</v>
      </c>
      <c r="I206" s="57" t="n">
        <f aca="false">I204*I195</f>
        <v>119022.16976608</v>
      </c>
      <c r="J206" s="57" t="n">
        <f aca="false">J204*J195</f>
        <v>108201.972514619</v>
      </c>
      <c r="K206" s="57" t="n">
        <f aca="false">K204*K195</f>
        <v>98365.4295587442</v>
      </c>
      <c r="L206" s="57" t="n">
        <f aca="false">L204*L195</f>
        <v>89423.1177806765</v>
      </c>
      <c r="M206" s="57" t="n">
        <f aca="false">M204*M195</f>
        <v>81293.7434369786</v>
      </c>
      <c r="N206" s="57" t="n">
        <f aca="false">N204*N195</f>
        <v>73903.403124526</v>
      </c>
      <c r="O206" s="57" t="n">
        <f aca="false">O204*O195</f>
        <v>0</v>
      </c>
      <c r="P206" s="57" t="n">
        <f aca="false">P204*P195</f>
        <v>0</v>
      </c>
      <c r="Q206" s="57" t="n">
        <f aca="false">Q204*Q195</f>
        <v>0</v>
      </c>
      <c r="R206" s="57" t="n">
        <f aca="false">R204*R195</f>
        <v>0</v>
      </c>
      <c r="S206" s="57" t="n">
        <f aca="false">S204*S195</f>
        <v>0</v>
      </c>
    </row>
    <row r="207" customFormat="false" ht="15" hidden="false" customHeight="false" outlineLevel="0" collapsed="false">
      <c r="B207" s="69" t="s">
        <v>345</v>
      </c>
      <c r="D207" s="94" t="n">
        <f aca="false">D206</f>
        <v>-463190</v>
      </c>
      <c r="E207" s="94" t="n">
        <f aca="false">D207+E206</f>
        <v>-288929.641245482</v>
      </c>
      <c r="F207" s="94" t="n">
        <f aca="false">E207+F206</f>
        <v>-130511.133286828</v>
      </c>
      <c r="G207" s="94" t="n">
        <f aca="false">F207+G206</f>
        <v>13505.692130129</v>
      </c>
      <c r="H207" s="94" t="n">
        <f aca="false">G207+H206</f>
        <v>144430.078872818</v>
      </c>
      <c r="I207" s="94" t="n">
        <f aca="false">H207+I206</f>
        <v>263452.248638898</v>
      </c>
      <c r="J207" s="94" t="n">
        <f aca="false">I207+J206</f>
        <v>371654.221153517</v>
      </c>
      <c r="K207" s="94" t="n">
        <f aca="false">J207+K206</f>
        <v>470019.650712261</v>
      </c>
      <c r="L207" s="94" t="n">
        <f aca="false">K207+L206</f>
        <v>559442.768492937</v>
      </c>
      <c r="M207" s="94" t="n">
        <f aca="false">L207+M206</f>
        <v>640736.511929916</v>
      </c>
      <c r="N207" s="94" t="n">
        <f aca="false">M207+N206</f>
        <v>714639.915054442</v>
      </c>
      <c r="O207" s="94" t="n">
        <f aca="false">N207+O206</f>
        <v>714639.915054442</v>
      </c>
      <c r="P207" s="94" t="n">
        <f aca="false">O207+P206</f>
        <v>714639.915054442</v>
      </c>
      <c r="Q207" s="94" t="n">
        <f aca="false">P207+Q206</f>
        <v>714639.915054442</v>
      </c>
      <c r="R207" s="94" t="n">
        <f aca="false">Q207+R206</f>
        <v>714639.915054442</v>
      </c>
      <c r="S207" s="94" t="n">
        <f aca="false">R207+S206</f>
        <v>714639.915054442</v>
      </c>
    </row>
    <row r="208" customFormat="false" ht="15" hidden="false" customHeight="false" outlineLevel="0" collapsed="false">
      <c r="B208" s="69" t="s">
        <v>346</v>
      </c>
      <c r="D208" s="57" t="n">
        <f aca="false">D205*D195</f>
        <v>-463190</v>
      </c>
      <c r="E208" s="57" t="n">
        <f aca="false">E205*E195</f>
        <v>147060.071301248</v>
      </c>
      <c r="F208" s="57" t="n">
        <f aca="false">F205*F195</f>
        <v>133690.973910225</v>
      </c>
      <c r="G208" s="57" t="n">
        <f aca="false">G205*G195</f>
        <v>121537.249009296</v>
      </c>
      <c r="H208" s="57" t="n">
        <f aca="false">H205*H195</f>
        <v>110488.408190269</v>
      </c>
      <c r="I208" s="57" t="n">
        <f aca="false">I205*I195</f>
        <v>100444.007445699</v>
      </c>
      <c r="J208" s="57" t="n">
        <f aca="false">J205*J195</f>
        <v>91312.7340415444</v>
      </c>
      <c r="K208" s="57" t="n">
        <f aca="false">K205*K195</f>
        <v>83011.576401404</v>
      </c>
      <c r="L208" s="57" t="n">
        <f aca="false">L205*L195</f>
        <v>75465.0694558218</v>
      </c>
      <c r="M208" s="57" t="n">
        <f aca="false">M205*M195</f>
        <v>68604.6085962016</v>
      </c>
      <c r="N208" s="57" t="n">
        <f aca="false">N205*N195</f>
        <v>62367.8259965469</v>
      </c>
      <c r="O208" s="57" t="n">
        <f aca="false">O205*O195</f>
        <v>0</v>
      </c>
      <c r="P208" s="57" t="n">
        <f aca="false">P205*P195</f>
        <v>0</v>
      </c>
      <c r="Q208" s="57" t="n">
        <f aca="false">Q205*Q195</f>
        <v>0</v>
      </c>
      <c r="R208" s="57" t="n">
        <f aca="false">R205*R195</f>
        <v>0</v>
      </c>
      <c r="S208" s="57" t="n">
        <f aca="false">S205*S195</f>
        <v>0</v>
      </c>
    </row>
    <row r="209" customFormat="false" ht="15" hidden="false" customHeight="false" outlineLevel="0" collapsed="false">
      <c r="B209" s="69" t="s">
        <v>347</v>
      </c>
      <c r="D209" s="94" t="n">
        <f aca="false">D208</f>
        <v>-463190</v>
      </c>
      <c r="E209" s="94" t="n">
        <f aca="false">D209+E208</f>
        <v>-316129.928698752</v>
      </c>
      <c r="F209" s="94" t="n">
        <f aca="false">E209+F208</f>
        <v>-182438.954788527</v>
      </c>
      <c r="G209" s="94" t="n">
        <f aca="false">F209+G208</f>
        <v>-60901.7057792314</v>
      </c>
      <c r="H209" s="94" t="n">
        <f aca="false">G209+H208</f>
        <v>49586.7024110373</v>
      </c>
      <c r="I209" s="94" t="n">
        <f aca="false">H209+I208</f>
        <v>150030.709856736</v>
      </c>
      <c r="J209" s="94" t="n">
        <f aca="false">I209+J208</f>
        <v>241343.443898281</v>
      </c>
      <c r="K209" s="94" t="n">
        <f aca="false">J209+K208</f>
        <v>324355.020299685</v>
      </c>
      <c r="L209" s="94" t="n">
        <f aca="false">K209+L208</f>
        <v>399820.089755506</v>
      </c>
      <c r="M209" s="94" t="n">
        <f aca="false">L209+M208</f>
        <v>468424.698351708</v>
      </c>
      <c r="N209" s="94" t="n">
        <f aca="false">M209+N208</f>
        <v>530792.524348255</v>
      </c>
      <c r="O209" s="94" t="n">
        <f aca="false">N209+O208</f>
        <v>530792.524348255</v>
      </c>
      <c r="P209" s="94" t="n">
        <f aca="false">O209+P208</f>
        <v>530792.524348255</v>
      </c>
      <c r="Q209" s="94" t="n">
        <f aca="false">P209+Q208</f>
        <v>530792.524348255</v>
      </c>
      <c r="R209" s="94" t="n">
        <f aca="false">Q209+R208</f>
        <v>530792.524348255</v>
      </c>
      <c r="S209" s="94" t="n">
        <f aca="false">R209+S208</f>
        <v>530792.524348255</v>
      </c>
    </row>
    <row r="210" customFormat="false" ht="15" hidden="false" customHeight="false" outlineLevel="0" collapsed="false">
      <c r="B210" s="69" t="s">
        <v>348</v>
      </c>
      <c r="D210" s="95" t="n">
        <f aca="false">IF(COUNTIF(D207:S207,"&lt;0")&gt;=16,"No recupera",COUNTIF(D207:S207,"&lt;0"))</f>
        <v>3</v>
      </c>
      <c r="E210" s="95" t="n">
        <f aca="false">IF(COUNTIF(D209:S209,"&lt;0")&gt;=16,"No recupera",COUNTIF(D209:S209,"&lt;0"))</f>
        <v>4</v>
      </c>
    </row>
    <row r="211" customFormat="false" ht="15" hidden="false" customHeight="false" outlineLevel="0" collapsed="false">
      <c r="B211" s="69" t="s">
        <v>349</v>
      </c>
      <c r="D211" s="96" t="n">
        <f aca="false">E207</f>
        <v>-288929.641245482</v>
      </c>
      <c r="E211" s="96" t="n">
        <f aca="false">N207</f>
        <v>714639.915054442</v>
      </c>
      <c r="F211" s="97" t="n">
        <f aca="false">ROUND(N207-$BZ$46,2)</f>
        <v>0</v>
      </c>
    </row>
    <row r="212" customFormat="false" ht="15" hidden="false" customHeight="false" outlineLevel="0" collapsed="false">
      <c r="B212" s="75" t="s">
        <v>350</v>
      </c>
    </row>
    <row r="214" customFormat="false" ht="15" hidden="false" customHeight="false" outlineLevel="0" collapsed="false">
      <c r="B214" s="68" t="s">
        <v>351</v>
      </c>
    </row>
    <row r="215" customFormat="false" ht="15" hidden="false" customHeight="false" outlineLevel="0" collapsed="false">
      <c r="B215" s="69" t="s">
        <v>60</v>
      </c>
      <c r="C215" s="69" t="s">
        <v>352</v>
      </c>
      <c r="D215" s="69" t="s">
        <v>353</v>
      </c>
      <c r="E215" s="69" t="s">
        <v>354</v>
      </c>
      <c r="F215" s="69" t="s">
        <v>355</v>
      </c>
      <c r="G215" s="69" t="s">
        <v>356</v>
      </c>
      <c r="H215" s="69" t="s">
        <v>357</v>
      </c>
      <c r="I215" s="69" t="s">
        <v>358</v>
      </c>
      <c r="J215" s="69" t="s">
        <v>133</v>
      </c>
    </row>
    <row r="216" customFormat="false" ht="15" hidden="false" customHeight="false" outlineLevel="0" collapsed="false">
      <c r="B216" s="83" t="s">
        <v>146</v>
      </c>
      <c r="C216" s="98" t="n">
        <f aca="false">COUNTIF(B16:B45,B216)</f>
        <v>3</v>
      </c>
      <c r="D216" s="88" t="n">
        <f aca="false">SUMIF(B16:B45,$B216,BF16:BF45)</f>
        <v>6120.43029737289</v>
      </c>
      <c r="E216" s="88" t="n">
        <f aca="false">SUMIF(B16:B45,$B216,BG16:BG45)</f>
        <v>140.915045384178</v>
      </c>
      <c r="F216" s="88" t="n">
        <f aca="false">SUMIF(B16:B45,$B216,BH16:BH45)</f>
        <v>5979.51525198871</v>
      </c>
      <c r="G216" s="88" t="n">
        <f aca="false">SUMIF(B16:B45,$B216,BO16:BO45)</f>
        <v>56156.7047944724</v>
      </c>
      <c r="H216" s="88" t="n">
        <f aca="false">SUMIF(B16:B45,$B216,BQ16:BQ45)</f>
        <v>318350</v>
      </c>
      <c r="I216" s="88" t="n">
        <f aca="false">SUMIF(B16:B45,$B216,BV16:BV45)</f>
        <v>345058.641044883</v>
      </c>
      <c r="J216" s="87" t="n">
        <f aca="false">IFERROR(I216/H216,0)</f>
        <v>1.08389709767515</v>
      </c>
    </row>
    <row r="217" customFormat="false" ht="15" hidden="false" customHeight="false" outlineLevel="0" collapsed="false">
      <c r="B217" s="83" t="s">
        <v>155</v>
      </c>
      <c r="C217" s="98" t="n">
        <f aca="false">COUNTIF(B16:B45,B217)</f>
        <v>2</v>
      </c>
      <c r="D217" s="88" t="n">
        <f aca="false">SUMIF(B16:B45,$B217,BF16:BF45)</f>
        <v>11786.0618216604</v>
      </c>
      <c r="E217" s="88" t="n">
        <f aca="false">SUMIF(B16:B45,$B217,BG16:BG45)</f>
        <v>226.431729578697</v>
      </c>
      <c r="F217" s="88" t="n">
        <f aca="false">SUMIF(B16:B45,$B217,BH16:BH45)</f>
        <v>11559.6300920817</v>
      </c>
      <c r="G217" s="88" t="n">
        <f aca="false">SUMIF(B16:B45,$B217,BO16:BO45)</f>
        <v>83926.2967587483</v>
      </c>
      <c r="H217" s="88" t="n">
        <f aca="false">SUMIF(B16:B45,$B217,BQ16:BQ45)</f>
        <v>66420</v>
      </c>
      <c r="I217" s="88" t="n">
        <f aca="false">SUMIF(B16:B45,$B217,BV16:BV45)</f>
        <v>515690.762367415</v>
      </c>
      <c r="J217" s="87" t="n">
        <f aca="false">IFERROR(I217/H217,0)</f>
        <v>7.76408856319504</v>
      </c>
    </row>
    <row r="218" customFormat="false" ht="15" hidden="false" customHeight="false" outlineLevel="0" collapsed="false">
      <c r="B218" s="83" t="s">
        <v>170</v>
      </c>
      <c r="C218" s="98" t="n">
        <f aca="false">COUNTIF(B16:B45,B218)</f>
        <v>1</v>
      </c>
      <c r="D218" s="88" t="n">
        <f aca="false">SUMIF(B16:B45,$B218,BF16:BF45)</f>
        <v>2612.67380283112</v>
      </c>
      <c r="E218" s="88" t="n">
        <f aca="false">SUMIF(B16:B45,$B218,BG16:BG45)</f>
        <v>391.901070424667</v>
      </c>
      <c r="F218" s="88" t="n">
        <f aca="false">SUMIF(B16:B45,$B218,BH16:BH45)</f>
        <v>2220.77273240645</v>
      </c>
      <c r="G218" s="88" t="n">
        <f aca="false">SUMIF(B16:B45,$B218,BO16:BO45)</f>
        <v>24554.1060657398</v>
      </c>
      <c r="H218" s="88" t="n">
        <f aca="false">SUMIF(B16:B45,$B218,BQ16:BQ45)</f>
        <v>41210</v>
      </c>
      <c r="I218" s="88" t="n">
        <f aca="false">SUMIF(B16:B45,$B218,BV16:BV45)</f>
        <v>150874.352441529</v>
      </c>
      <c r="J218" s="87" t="n">
        <f aca="false">IFERROR(I218/H218,0)</f>
        <v>3.66111022668111</v>
      </c>
    </row>
    <row r="219" customFormat="false" ht="15" hidden="false" customHeight="false" outlineLevel="0" collapsed="false">
      <c r="B219" s="83" t="s">
        <v>175</v>
      </c>
      <c r="C219" s="98" t="n">
        <f aca="false">COUNTIF(B16:B45,B219)</f>
        <v>1</v>
      </c>
      <c r="D219" s="88" t="n">
        <f aca="false">SUMIF(B16:B45,$B219,BF16:BF45)</f>
        <v>14514.8544601729</v>
      </c>
      <c r="E219" s="88" t="n">
        <f aca="false">SUMIF(B16:B45,$B219,BG16:BG45)</f>
        <v>4354.45633805186</v>
      </c>
      <c r="F219" s="88" t="n">
        <f aca="false">SUMIF(B16:B45,$B219,BH16:BH45)</f>
        <v>10160.398122121</v>
      </c>
      <c r="G219" s="88" t="n">
        <f aca="false">SUMIF(B16:B45,$B219,BO16:BO45)</f>
        <v>27049.2870110099</v>
      </c>
      <c r="H219" s="88" t="n">
        <f aca="false">SUMIF(B16:B45,$B219,BQ16:BQ45)</f>
        <v>37210</v>
      </c>
      <c r="I219" s="88" t="n">
        <f aca="false">SUMIF(B16:B45,$B219,BV16:BV45)</f>
        <v>166206.159200616</v>
      </c>
      <c r="J219" s="87" t="n">
        <f aca="false">IFERROR(I219/H219,0)</f>
        <v>4.46670677776448</v>
      </c>
    </row>
    <row r="220" customFormat="false" ht="15" hidden="false" customHeight="false" outlineLevel="0" collapsed="false">
      <c r="B220" s="83" t="s">
        <v>359</v>
      </c>
      <c r="C220" s="98" t="n">
        <f aca="false">COUNTIF(B16:B45,B220)</f>
        <v>0</v>
      </c>
      <c r="D220" s="88" t="n">
        <f aca="false">SUMIF(B16:B45,$B220,BF16:BF45)</f>
        <v>0</v>
      </c>
      <c r="E220" s="88" t="n">
        <f aca="false">SUMIF(B16:B45,$B220,BG16:BG45)</f>
        <v>0</v>
      </c>
      <c r="F220" s="88" t="n">
        <f aca="false">SUMIF(B16:B45,$B220,BH16:BH45)</f>
        <v>0</v>
      </c>
      <c r="G220" s="88" t="n">
        <f aca="false">SUMIF(B16:B45,$B220,BO16:BO45)</f>
        <v>0</v>
      </c>
      <c r="H220" s="88" t="n">
        <f aca="false">SUMIF(B16:B45,$B220,BQ16:BQ45)</f>
        <v>0</v>
      </c>
      <c r="I220" s="88" t="n">
        <f aca="false">SUMIF(B16:B45,$B220,BV16:BV45)</f>
        <v>0</v>
      </c>
      <c r="J220" s="87" t="n">
        <f aca="false">IFERROR(I220/H220,0)</f>
        <v>0</v>
      </c>
    </row>
  </sheetData>
  <dataValidations count="12">
    <dataValidation allowBlank="false" errorStyle="stop" operator="between" showDropDown="false" showErrorMessage="false" showInputMessage="false" sqref="E8" type="list">
      <formula1>"CUANT,RAM"</formula1>
      <formula2>0</formula2>
    </dataValidation>
    <dataValidation allowBlank="true" errorStyle="stop" operator="between" showDropDown="false" showErrorMessage="false" showInputMessage="false" sqref="D16:D45" type="list">
      <formula1>"Reactor,Intercambiador T&amp;C,Torre,Horno (proxy),Drum"</formula1>
      <formula2>0</formula2>
    </dataValidation>
    <dataValidation allowBlank="true" errorStyle="stop" operator="between" showDropDown="false" showErrorMessage="false" showInputMessage="false" sqref="L16:L45" type="list">
      <formula1>"Adelgazamiento,Corrosión externa,CUI,Sulfidación,Corrosión nafténica,HIC/SOHIC,SCC,HTHA"</formula1>
      <formula2>0</formula2>
    </dataValidation>
    <dataValidation allowBlank="true" errorStyle="stop" operator="between" showDropDown="false" showErrorMessage="false" showInputMessage="false" sqref="M16:M45" type="list">
      <formula1>"Alta,Media,Baja,Ninguna"</formula1>
      <formula2>0</formula2>
    </dataValidation>
    <dataValidation allowBlank="true" errorStyle="stop" operator="between" showDropDown="false" showErrorMessage="false" showInputMessage="false" sqref="S16:S45" type="list">
      <formula1>"A,B,C,D,E"</formula1>
      <formula2>0</formula2>
    </dataValidation>
    <dataValidation allowBlank="true" errorStyle="stop" operator="between" showDropDown="false" showErrorMessage="false" showInputMessage="false" sqref="T16:T45" type="list">
      <formula1>"0,1,2,3"</formula1>
      <formula2>0</formula2>
    </dataValidation>
    <dataValidation allowBlank="true" errorStyle="stop" operator="between" showDropDown="false" showErrorMessage="false" showInputMessage="false" sqref="U16:U45" type="list">
      <formula1>"Apto,Apto con limitaciones,No apto"</formula1>
      <formula2>0</formula2>
    </dataValidation>
    <dataValidation allowBlank="true" errorStyle="stop" operator="between" showDropDown="false" showErrorMessage="false" showInputMessage="false" sqref="V16:V45" type="list">
      <formula1>"Pasa,No pasa"</formula1>
      <formula2>0</formula2>
    </dataValidation>
    <dataValidation allowBlank="true" errorStyle="stop" operator="between" showDropDown="false" showErrorMessage="false" showInputMessage="false" sqref="AB16:AB45" type="list">
      <formula1>"1,2,3,4,5"</formula1>
      <formula2>0</formula2>
    </dataValidation>
    <dataValidation allowBlank="true" errorStyle="stop" operator="between" showDropDown="false" showErrorMessage="false" showInputMessage="false" sqref="AD16:AD45" type="list">
      <formula1>"1,2,3,4,5"</formula1>
      <formula2>0</formula2>
    </dataValidation>
    <dataValidation allowBlank="true" errorStyle="stop" operator="between" showDropDown="false" showErrorMessage="false" showInputMessage="false" sqref="AC16:AC45" type="list">
      <formula1>"A,B,C,D,E"</formula1>
      <formula2>0</formula2>
    </dataValidation>
    <dataValidation allowBlank="true" errorStyle="stop" operator="between" showDropDown="false" showErrorMessage="false" showInputMessage="false" sqref="AE16:AE45" type="list">
      <formula1>"A,B,C,D,E"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2026-09-30T03:06:00Z</dcterms:created>
  <dc:creator>openpyxl</dc:creator>
  <dc:description/>
  <dc:language>en-US</dc:language>
  <cp:lastModifiedBy/>
  <dcterms:modified xsi:type="dcterms:W3CDTF">2026-09-30T03:07:19Z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