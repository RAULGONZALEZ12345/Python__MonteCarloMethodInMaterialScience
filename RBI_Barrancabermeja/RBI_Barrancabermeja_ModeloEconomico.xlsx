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BI_GRB" sheetId="1" state="visible" r:id="rId3"/>
  </sheets>
  <definedNames>
    <definedName function="false" hidden="false" name="AnioEval" vbProcedure="false">RBI_GRB!$E$4</definedName>
    <definedName function="false" hidden="false" name="ArtDF" vbProcedure="false">RBI_GRB!$F$65:$F$73</definedName>
    <definedName function="false" hidden="false" name="ArtLim" vbProcedure="false">RBI_GRB!$E$65:$E$73</definedName>
    <definedName function="false" hidden="false" name="Base" vbProcedure="false">RBI_GRB!$E$8</definedName>
    <definedName function="false" hidden="false" name="CapBpd" vbProcedure="false">RBI_GRB!$E$12</definedName>
    <definedName function="false" hidden="false" name="CatLet" vbProcedure="false">RBI_GRB!$E$77:$E$81</definedName>
    <definedName function="false" hidden="false" name="CcutFC" vbProcedure="false">RBI_GRB!$F$77:$F$80</definedName>
    <definedName function="false" hidden="false" name="DFrep" vbProcedure="false">RBI_GRB!$D$77:$D$81</definedName>
    <definedName function="false" hidden="false" name="EffList" vbProcedure="false">RBI_GRB!$P$65:$P$69</definedName>
    <definedName function="false" hidden="false" name="EffRet" vbProcedure="false">RBI_GRB!$R$65:$R$69</definedName>
    <definedName function="false" hidden="false" name="FCrep" vbProcedure="false">RBI_GRB!$G$77:$G$81</definedName>
    <definedName function="false" hidden="false" name="FC_CALC" vbProcedure="false">RBI_GRB!$F$100</definedName>
    <definedName function="false" hidden="false" name="FFScost" vbProcedure="false">RBI_GRB!$X$64:$X$67</definedName>
    <definedName function="false" hidden="false" name="FFSfac" vbProcedure="false">RBI_GRB!$U$64:$U$67</definedName>
    <definedName function="false" hidden="false" name="FFSlist" vbProcedure="false">RBI_GRB!$T$64:$T$67</definedName>
    <definedName function="false" hidden="false" name="FMS" vbProcedure="false">RBI_GRB!$E$6</definedName>
    <definedName function="false" hidden="false" name="GFFtipo" vbProcedure="false">RBI_GRB!$B$64:$B$68</definedName>
    <definedName function="false" hidden="false" name="GFFval" vbProcedure="false">RBI_GRB!$C$64:$C$68</definedName>
    <definedName function="false" hidden="false" name="Horiz" vbProcedure="false">RBI_GRB!$E$7</definedName>
    <definedName function="false" hidden="false" name="MargenBbl" vbProcedure="false">RBI_GRB!$E$13</definedName>
    <definedName function="false" hidden="false" name="MecList" vbProcedure="false">RBI_GRB!$K$64:$K$71</definedName>
    <definedName function="false" hidden="false" name="MecTipo" vbProcedure="false">RBI_GRB!$N$64:$N$71</definedName>
    <definedName function="false" hidden="false" name="ObjNivel" vbProcedure="false">RBI_GRB!$E$9</definedName>
    <definedName function="false" hidden="false" name="PcutDF" vbProcedure="false">RBI_GRB!$C$77:$C$80</definedName>
    <definedName function="false" hidden="false" name="ProdDia" vbProcedure="false">RBI_GRB!$E$11</definedName>
    <definedName function="false" hidden="false" name="RAMlev" vbProcedure="false">RBI_GRB!$K$77:$O$81</definedName>
    <definedName function="false" hidden="false" name="RBIimpl" vbProcedure="false">RBI_GRB!$E$10</definedName>
    <definedName function="false" hidden="false" name="ScoreSGA" vbProcedure="false">RBI_GRB!$E$5</definedName>
    <definedName function="false" hidden="false" name="SensCR" vbProcedure="false">RBI_GRB!$R$10</definedName>
    <definedName function="false" hidden="false" name="SusDF" vbProcedure="false">RBI_GRB!$I$64:$I$67</definedName>
    <definedName function="false" hidden="false" name="SusList" vbProcedure="false">RBI_GRB!$H$64:$H$67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Año calendario del análisis (edad = año − año última inspección)</t>
        </r>
      </text>
    </comment>
    <comment ref="E5" authorId="0">
      <text>
        <r>
          <rPr>
            <sz val="10"/>
            <rFont val="Arial"/>
            <family val="2"/>
          </rPr>
          <t xml:space="preserve">Paper §2.3: score 750 según API 581 Anexo 2.A</t>
        </r>
      </text>
    </comment>
    <comment ref="E6" authorId="0">
      <text>
        <r>
          <rPr>
            <sz val="10"/>
            <rFont val="Arial"/>
            <family val="2"/>
          </rPr>
          <t xml:space="preserve">API 581 Parte 2 Anexo 2.A (verificar en su edición); 750 → 0,316</t>
        </r>
      </text>
    </comment>
    <comment ref="E7" authorId="0">
      <text>
        <r>
          <rPr>
            <sz val="10"/>
            <rFont val="Arial"/>
            <family val="2"/>
          </rPr>
          <t xml:space="preserve">Años en que se mantiene el beneficio (reevaluar por 'evergreening', paper §2.2)</t>
        </r>
      </text>
    </comment>
    <comment ref="E8" authorId="0">
      <text>
        <r>
          <rPr>
            <sz val="10"/>
            <rFont val="Arial"/>
            <family val="2"/>
          </rPr>
          <t xml:space="preserve">CUANT: riesgo=POF×FC. RAM: riesgo desde categorías seleccionadas (valores representativos)</t>
        </r>
      </text>
    </comment>
    <comment ref="E9" authorId="0">
      <text>
        <r>
          <rPr>
            <sz val="10"/>
            <rFont val="Arial"/>
            <family val="2"/>
          </rPr>
          <t xml:space="preserve">1 bajo, 2 medio, 3 medio-alto, 4 alto. Paper §2.3: objetivo = riesgo medio</t>
        </r>
      </text>
    </comment>
    <comment ref="E10" authorId="0">
      <text>
        <r>
          <rPr>
            <sz val="10"/>
            <rFont val="Arial"/>
            <family val="2"/>
          </rPr>
          <t xml:space="preserve">Paper §2.3: 210 USD por activo</t>
        </r>
      </text>
    </comment>
    <comment ref="E11" authorId="0">
      <text>
        <r>
          <rPr>
            <sz val="10"/>
            <rFont val="Arial"/>
            <family val="2"/>
          </rPr>
          <t xml:space="preserve">Paper §2.3: 40.000 USD/día (el paper lo rotula '$/m2' por error tipográfico; Tabla 9: 6 h ≈ 10.000 USD)</t>
        </r>
      </text>
    </comment>
    <comment ref="E12" authorId="0">
      <text>
        <r>
          <rPr>
            <sz val="10"/>
            <rFont val="Arial"/>
            <family val="2"/>
          </rPr>
          <t xml:space="preserve">Dato del usuario: 250.000 bpd. Verificar con la empresa.</t>
        </r>
      </text>
    </comment>
    <comment ref="E13" authorId="0">
      <text>
        <r>
          <rPr>
            <sz val="10"/>
            <rFont val="Arial"/>
            <family val="2"/>
          </rPr>
          <t xml:space="preserve">Supuesto ilustrativo, no del paper ni de Ecopetrol. Sustituir por el margen real de planeación.</t>
        </r>
      </text>
    </comment>
    <comment ref="R10" authorId="0">
      <text>
        <r>
          <rPr>
            <sz val="10"/>
            <rFont val="Arial"/>
            <family val="2"/>
          </rPr>
          <t xml:space="preserve">Multiplica la tasa de corrosión en Art y RUL (sensibilidad de CR/CUI). Probar 0,8 / 1 / 1,25 / 1,5.</t>
        </r>
      </text>
    </comment>
  </commentList>
</comments>
</file>

<file path=xl/sharedStrings.xml><?xml version="1.0" encoding="utf-8"?>
<sst xmlns="http://schemas.openxmlformats.org/spreadsheetml/2006/main" count="338" uniqueCount="248">
  <si>
    <t xml:space="preserve">RBI – Beneficio económico por reducción de riesgo | Refinería de Barrancabermeja (GRB) – equipos estáticos</t>
  </si>
  <si>
    <t xml:space="preserve">Una hoja: 1 fila = 1 equipo evaluado en el año. Celdas AZUL/AMARILLO = entradas; negro = fórmulas. Filas de ejemplo ILUSTRATIVAS (no son datos reales de GRB); E-101 replica el intercambiador del paper (Oropallo et al., 2024, doi:10.1016/j.ssci.2024.106570). Ecuaciones (1)–(12) en el documento Word.</t>
  </si>
  <si>
    <t xml:space="preserve">PANEL RESUMEN ANUAL</t>
  </si>
  <si>
    <t xml:space="preserve">Año de evaluación</t>
  </si>
  <si>
    <t xml:space="preserve">Riesgo inicial agregado (USD/año)</t>
  </si>
  <si>
    <t xml:space="preserve">Beneficio por reducción de riesgo (USD/año)</t>
  </si>
  <si>
    <t xml:space="preserve">SIR promedio (por equipo)</t>
  </si>
  <si>
    <t xml:space="preserve">Score sistema de gestión (0–1000)</t>
  </si>
  <si>
    <t xml:space="preserve">Riesgo residual agregado (USD/año)</t>
  </si>
  <si>
    <t xml:space="preserve">Ahorro por diferimiento: menor inspección</t>
  </si>
  <si>
    <t xml:space="preserve">SIR agregado (ΣVP/ΣInversión)</t>
  </si>
  <si>
    <t xml:space="preserve">FMS = 10^(1−0,02·score/10)</t>
  </si>
  <si>
    <t xml:space="preserve">Reducción total de riesgo (USD/año)</t>
  </si>
  <si>
    <t xml:space="preserve">Ahorro por diferimiento: menor pérdida prod.</t>
  </si>
  <si>
    <t xml:space="preserve">ROI a N años</t>
  </si>
  <si>
    <t xml:space="preserve">Horizonte de evaluación N (años)</t>
  </si>
  <si>
    <t xml:space="preserve">% de reducción de riesgo</t>
  </si>
  <si>
    <t xml:space="preserve">Costo total inspecciones y reparaciones (USD)</t>
  </si>
  <si>
    <t xml:space="preserve">Periodo de recuperación simple (años)</t>
  </si>
  <si>
    <t xml:space="preserve">Base económica (CUANT / RAM)</t>
  </si>
  <si>
    <t xml:space="preserve">CUANT</t>
  </si>
  <si>
    <t xml:space="preserve">Equipos evaluados</t>
  </si>
  <si>
    <t xml:space="preserve">Beneficio neto anual (USD/año)</t>
  </si>
  <si>
    <t xml:space="preserve">Recuperación descontada portafolio (años)</t>
  </si>
  <si>
    <t xml:space="preserve">Nivel RAM máximo permitido (1–4)</t>
  </si>
  <si>
    <t xml:space="preserve">Equipos con SIR&gt;1 (aceptables)</t>
  </si>
  <si>
    <t xml:space="preserve">VAN total (USD)</t>
  </si>
  <si>
    <t xml:space="preserve">Equipos que exceden objetivo de riesgo</t>
  </si>
  <si>
    <t xml:space="preserve">Costo de implantación RBI (USD/equipo)</t>
  </si>
  <si>
    <t xml:space="preserve">Costo anual de inspección TBI (USD/año)</t>
  </si>
  <si>
    <t xml:space="preserve">Factor de sensibilidad de CR (× ; 1 = base)</t>
  </si>
  <si>
    <t xml:space="preserve">RUL mínimo del portafolio (años)</t>
  </si>
  <si>
    <t xml:space="preserve">Producción (USD/día) – referencia paper</t>
  </si>
  <si>
    <t xml:space="preserve">Costo anual de inspección RBI (USD/año)</t>
  </si>
  <si>
    <t xml:space="preserve">Alertas de consistencia (RUL&lt;0)</t>
  </si>
  <si>
    <t xml:space="preserve">Capacidad refinería GRB (bpd)</t>
  </si>
  <si>
    <t xml:space="preserve">Ahorro TBI→RBI (USD/año)</t>
  </si>
  <si>
    <t xml:space="preserve">Margen bruto (USD/bbl) – SUPUESTO</t>
  </si>
  <si>
    <t xml:space="preserve">ENTRADAS POR EQUIPO</t>
  </si>
  <si>
    <t xml:space="preserve">RAM (selección del usuario) y riesgo por categoría</t>
  </si>
  <si>
    <t xml:space="preserve">CÁLCULO CUANTITATIVO API 581 simplificado</t>
  </si>
  <si>
    <t xml:space="preserve">RAM: verificación y objetivo</t>
  </si>
  <si>
    <t xml:space="preserve">ECONOMÍA: reducción de riesgo, diferimiento, SIR, VAN, ROI</t>
  </si>
  <si>
    <t xml:space="preserve">FLUJO NETO DESCONTADO ACUMULADO (USD) por equipo – año</t>
  </si>
  <si>
    <t xml:space="preserve">N°</t>
  </si>
  <si>
    <t xml:space="preserve">Planta</t>
  </si>
  <si>
    <t xml:space="preserve">Tag</t>
  </si>
  <si>
    <t xml:space="preserve">Tipo de equipo</t>
  </si>
  <si>
    <t xml:space="preserve">Fluido</t>
  </si>
  <si>
    <t xml:space="preserve">P (bar)</t>
  </si>
  <si>
    <t xml:space="preserve">T (°C)</t>
  </si>
  <si>
    <t xml:space="preserve">Espesor medido (mm)</t>
  </si>
  <si>
    <t xml:space="preserve">Tasa corr. (mm/año)</t>
  </si>
  <si>
    <t xml:space="preserve">t mín. requerido (mm, opc.)</t>
  </si>
  <si>
    <t xml:space="preserve">Año últ. inspección</t>
  </si>
  <si>
    <t xml:space="preserve">Mecanismo de daño</t>
  </si>
  <si>
    <t xml:space="preserve">Susceptib. (fisuración)</t>
  </si>
  <si>
    <t xml:space="preserve">DF inicial usuario (opc.)</t>
  </si>
  <si>
    <t xml:space="preserve">FC (USD)</t>
  </si>
  <si>
    <t xml:space="preserve">% del FC por producción</t>
  </si>
  <si>
    <t xml:space="preserve">Costo inspección (USD)</t>
  </si>
  <si>
    <t xml:space="preserve">Tasa descuento</t>
  </si>
  <si>
    <t xml:space="preserve">Efectividad insp. (A–E)</t>
  </si>
  <si>
    <t xml:space="preserve">Nivel FFS (0–3)</t>
  </si>
  <si>
    <t xml:space="preserve">FFS: Apto / No apto</t>
  </si>
  <si>
    <t xml:space="preserve">FAD: Pasa / No pasa</t>
  </si>
  <si>
    <t xml:space="preserve">Costo reparación/reemplazo o limitaciones (USD)</t>
  </si>
  <si>
    <t xml:space="preserve">Intervalo TBI (años)</t>
  </si>
  <si>
    <t xml:space="preserve">Intervalo RBI (años)</t>
  </si>
  <si>
    <t xml:space="preserve">Pérdida prod. por parada (USD)</t>
  </si>
  <si>
    <t xml:space="preserve">P inicial (1–5)</t>
  </si>
  <si>
    <t xml:space="preserve">C inicial (A–E)</t>
  </si>
  <si>
    <t xml:space="preserve">P posterior (1–5)</t>
  </si>
  <si>
    <t xml:space="preserve">C posterior (A–E)</t>
  </si>
  <si>
    <t xml:space="preserve">Edad (años)</t>
  </si>
  <si>
    <t xml:space="preserve">RUL (años) = (t−t_mín)/CR − edad</t>
  </si>
  <si>
    <t xml:space="preserve">Art = CR·edad/t</t>
  </si>
  <si>
    <t xml:space="preserve">DF sugerido</t>
  </si>
  <si>
    <t xml:space="preserve">DF inicial</t>
  </si>
  <si>
    <t xml:space="preserve">GFF (1/año)</t>
  </si>
  <si>
    <t xml:space="preserve">POF inicial (1/año)</t>
  </si>
  <si>
    <t xml:space="preserve">Riesgo inicial CUANT (USD/año)</t>
  </si>
  <si>
    <t xml:space="preserve">Estado FFS</t>
  </si>
  <si>
    <t xml:space="preserve">DF posterior</t>
  </si>
  <si>
    <t xml:space="preserve">POF posterior (1/año)</t>
  </si>
  <si>
    <t xml:space="preserve">Riesgo posterior CUANT (USD/año)</t>
  </si>
  <si>
    <t xml:space="preserve">Riesgo inicial RAM (USD/año)</t>
  </si>
  <si>
    <t xml:space="preserve">Riesgo posterior RAM (USD/año)</t>
  </si>
  <si>
    <t xml:space="preserve">Cat. calculada inicial</t>
  </si>
  <si>
    <t xml:space="preserve">Cat. calculada posterior</t>
  </si>
  <si>
    <t xml:space="preserve">Coincide sel. vs calc.</t>
  </si>
  <si>
    <t xml:space="preserve">Nivel RAM inicial</t>
  </si>
  <si>
    <t xml:space="preserve">Nivel RAM posterior</t>
  </si>
  <si>
    <t xml:space="preserve">Objetivo de riesgo</t>
  </si>
  <si>
    <t xml:space="preserve">Riesgo inicial usado (USD/año)</t>
  </si>
  <si>
    <t xml:space="preserve">Riesgo residual usado (USD/año)</t>
  </si>
  <si>
    <t xml:space="preserve">Reducción de riesgo (USD/año)</t>
  </si>
  <si>
    <t xml:space="preserve">  de la cual producción</t>
  </si>
  <si>
    <t xml:space="preserve">  de la cual otras consec.</t>
  </si>
  <si>
    <t xml:space="preserve">Ahorro por menor inspección (USD/año)</t>
  </si>
  <si>
    <t xml:space="preserve">Ahorro por menor pérdida de producción (USD/año)</t>
  </si>
  <si>
    <t xml:space="preserve">Costo anual TBI (USD/año)</t>
  </si>
  <si>
    <t xml:space="preserve">Costo anual RBI (USD/año)</t>
  </si>
  <si>
    <t xml:space="preserve">Ahorro anual total (USD/año)</t>
  </si>
  <si>
    <t xml:space="preserve">Inversión inicial (USD)</t>
  </si>
  <si>
    <t xml:space="preserve">Factor anualidad</t>
  </si>
  <si>
    <t xml:space="preserve">VP ahorros (USD)</t>
  </si>
  <si>
    <t xml:space="preserve">SIR</t>
  </si>
  <si>
    <t xml:space="preserve">VAN (USD)</t>
  </si>
  <si>
    <t xml:space="preserve">ROI (N años)</t>
  </si>
  <si>
    <t xml:space="preserve">Recuperación simple (años)</t>
  </si>
  <si>
    <t xml:space="preserve">Recuperación descontada (años)</t>
  </si>
  <si>
    <t xml:space="preserve">Decisión SIR&gt;1</t>
  </si>
  <si>
    <t xml:space="preserve">Alerta de consistencia</t>
  </si>
  <si>
    <t xml:space="preserve">Crudo/Topping (ej.)</t>
  </si>
  <si>
    <t xml:space="preserve">E-101</t>
  </si>
  <si>
    <t xml:space="preserve">Intercambiador T&amp;C</t>
  </si>
  <si>
    <t xml:space="preserve">Vapor (caso paper)</t>
  </si>
  <si>
    <t xml:space="preserve">Adelgazamiento</t>
  </si>
  <si>
    <t xml:space="preserve">A</t>
  </si>
  <si>
    <t xml:space="preserve">Apto</t>
  </si>
  <si>
    <t xml:space="preserve">Pasa</t>
  </si>
  <si>
    <t xml:space="preserve">C</t>
  </si>
  <si>
    <t xml:space="preserve">Hidrotratamiento (ej.)</t>
  </si>
  <si>
    <t xml:space="preserve">R-2101</t>
  </si>
  <si>
    <t xml:space="preserve">Reactor</t>
  </si>
  <si>
    <t xml:space="preserve">H2 + HC</t>
  </si>
  <si>
    <t xml:space="preserve">HTHA</t>
  </si>
  <si>
    <t xml:space="preserve">Media</t>
  </si>
  <si>
    <t xml:space="preserve">B</t>
  </si>
  <si>
    <t xml:space="preserve">E</t>
  </si>
  <si>
    <t xml:space="preserve">T-1101</t>
  </si>
  <si>
    <t xml:space="preserve">Torre</t>
  </si>
  <si>
    <t xml:space="preserve">Crudo + H2S</t>
  </si>
  <si>
    <t xml:space="preserve">Sulfidación</t>
  </si>
  <si>
    <t xml:space="preserve">No apto</t>
  </si>
  <si>
    <t xml:space="preserve">No pasa</t>
  </si>
  <si>
    <t xml:space="preserve">D</t>
  </si>
  <si>
    <t xml:space="preserve">Coquización (ej.)</t>
  </si>
  <si>
    <t xml:space="preserve">H-2201</t>
  </si>
  <si>
    <t xml:space="preserve">Horno (proxy)</t>
  </si>
  <si>
    <t xml:space="preserve">Residuo</t>
  </si>
  <si>
    <t xml:space="preserve">Apto con limitaciones</t>
  </si>
  <si>
    <t xml:space="preserve">Cracking FCC (ej.)</t>
  </si>
  <si>
    <t xml:space="preserve">D-3301</t>
  </si>
  <si>
    <t xml:space="preserve">Drum</t>
  </si>
  <si>
    <t xml:space="preserve">Agua ácida</t>
  </si>
  <si>
    <t xml:space="preserve">HIC/SOHIC</t>
  </si>
  <si>
    <t xml:space="preserve">Alta</t>
  </si>
  <si>
    <t xml:space="preserve">C-1102</t>
  </si>
  <si>
    <t xml:space="preserve">Residuo atmosférico (vacío)</t>
  </si>
  <si>
    <t xml:space="preserve">Corrosión nafténica</t>
  </si>
  <si>
    <t xml:space="preserve">E-2105</t>
  </si>
  <si>
    <t xml:space="preserve">HC aislado</t>
  </si>
  <si>
    <t xml:space="preserve">CUI</t>
  </si>
  <si>
    <t xml:space="preserve">AHORROS TOTALES (suma anual de equipos evaluados)</t>
  </si>
  <si>
    <t xml:space="preserve">Fila total: SIR y ROI agregados = totales/totales. 'SIR promedio' (panel superior) = promedio simple de los SIR por equipo. Inversión = inspección + FFS + reparación (si No apto) + implantación RBI. Ahorro por diferimiento = costo·(1/TBI − 1/RBI).</t>
  </si>
  <si>
    <t xml:space="preserve">MATRIZ RAM 5×5 (API 581, paper Fig. 5): nº de equipos por celda – ANTES (izq.) y DESPUÉS de RBI + FFS (der.). Filas = probabilidad 1–5; columnas = consecuencia A–E.</t>
  </si>
  <si>
    <t xml:space="preserve">ANTES (mitigación)</t>
  </si>
  <si>
    <t xml:space="preserve">DESPUÉS (RBI + FFS)</t>
  </si>
  <si>
    <t xml:space="preserve">Consecuencia →</t>
  </si>
  <si>
    <t xml:space="preserve">Colores: verde bajo · amarillo medio · naranja medio-alto · rojo alto. Objetivo del paper = riesgo medio (no se admite medio-alto ni alto).</t>
  </si>
  <si>
    <t xml:space="preserve">T1. GFF total (API 581 P.2 Tabla 3.1; verificar)</t>
  </si>
  <si>
    <t xml:space="preserve">T2. DF sugerido por Art (simplificado)</t>
  </si>
  <si>
    <t xml:space="preserve">T3. DF por susceptibilidad</t>
  </si>
  <si>
    <t xml:space="preserve">T4. Mecanismo → tipo (E=espesor/CR; F=fisuración)</t>
  </si>
  <si>
    <t xml:space="preserve">T5. Efectividad (paper Tabla 1)</t>
  </si>
  <si>
    <t xml:space="preserve">T6. Factor de DF por resultado FFS</t>
  </si>
  <si>
    <t xml:space="preserve">T7. Costo FFS por nivel (USD, supuesto)</t>
  </si>
  <si>
    <t xml:space="preserve">Art ≥</t>
  </si>
  <si>
    <t xml:space="preserve">DF</t>
  </si>
  <si>
    <t xml:space="preserve">Cat</t>
  </si>
  <si>
    <t xml:space="preserve">Confianza</t>
  </si>
  <si>
    <t xml:space="preserve">DF retenido</t>
  </si>
  <si>
    <t xml:space="preserve">No requerido</t>
  </si>
  <si>
    <t xml:space="preserve">Nivel 0</t>
  </si>
  <si>
    <t xml:space="preserve">Corrosión externa</t>
  </si>
  <si>
    <t xml:space="preserve">APTO/PASA</t>
  </si>
  <si>
    <t xml:space="preserve">Nivel 1</t>
  </si>
  <si>
    <t xml:space="preserve">Baja</t>
  </si>
  <si>
    <t xml:space="preserve">APTO CON LIMITACIONES</t>
  </si>
  <si>
    <t xml:space="preserve">Nivel 2</t>
  </si>
  <si>
    <t xml:space="preserve">Ninguna</t>
  </si>
  <si>
    <t xml:space="preserve">REVISAR</t>
  </si>
  <si>
    <t xml:space="preserve">Nivel 3</t>
  </si>
  <si>
    <t xml:space="preserve">F</t>
  </si>
  <si>
    <t xml:space="preserve">SCC</t>
  </si>
  <si>
    <t xml:space="preserve">T8. Umbrales y valores representativos RAM (API 581 Parte 1 Tablas 4.1/4.2; verificar edición)</t>
  </si>
  <si>
    <t xml:space="preserve">T9. Nivel de riesgo por celda (paper Fig. 5): 1 bajo,2 medio,3 medio-alto,4 alto</t>
  </si>
  <si>
    <t xml:space="preserve">Cat P</t>
  </si>
  <si>
    <t xml:space="preserve">DF límite sup.</t>
  </si>
  <si>
    <t xml:space="preserve">DF repres.</t>
  </si>
  <si>
    <t xml:space="preserve">Cat C</t>
  </si>
  <si>
    <t xml:space="preserve">FC límite sup. (USD)</t>
  </si>
  <si>
    <t xml:space="preserve">FC repres. (USD)</t>
  </si>
  <si>
    <t xml:space="preserve">&gt;</t>
  </si>
  <si>
    <t xml:space="preserve">CALCULADORA DE CONSECUENCIA (ej. E-101) – valores del paper §2.3 + supuestos del ejemplo</t>
  </si>
  <si>
    <t xml:space="preserve">Área de daño a componentes CA_cmd (m²)</t>
  </si>
  <si>
    <t xml:space="preserve">m²</t>
  </si>
  <si>
    <t xml:space="preserve">Supuesto del ejemplo (el paper no da CA)</t>
  </si>
  <si>
    <t xml:space="preserve">Área de lesiones CA_inj (m²)</t>
  </si>
  <si>
    <t xml:space="preserve">Supuesto; eq. (10)-(12) del paper: CA=max(CA_cmd,CA_inj)</t>
  </si>
  <si>
    <t xml:space="preserve">Costo de reposición (USD/m²)</t>
  </si>
  <si>
    <t xml:space="preserve">USD/m²</t>
  </si>
  <si>
    <t xml:space="preserve">Paper §2.3 (4.000 USD/m²)</t>
  </si>
  <si>
    <t xml:space="preserve">Densidad de personas (pers/m²)</t>
  </si>
  <si>
    <t xml:space="preserve">pers/m²</t>
  </si>
  <si>
    <t xml:space="preserve">Paper §2.3</t>
  </si>
  <si>
    <t xml:space="preserve">Valor de vida estadística VSL (USD/persona)</t>
  </si>
  <si>
    <t xml:space="preserve">USD</t>
  </si>
  <si>
    <t xml:space="preserve">Paper §2.3 (10.000 USD/persona); usar VSL local para sensibilidad</t>
  </si>
  <si>
    <t xml:space="preserve">Fracción FCaffa/FCcmd (unidades vecinas)</t>
  </si>
  <si>
    <t xml:space="preserve">-</t>
  </si>
  <si>
    <t xml:space="preserve">Supuesto</t>
  </si>
  <si>
    <t xml:space="preserve">Días de parada por falla</t>
  </si>
  <si>
    <t xml:space="preserve">días</t>
  </si>
  <si>
    <t xml:space="preserve">Supuesto; USD/día = celda E11</t>
  </si>
  <si>
    <t xml:space="preserve">FCenviron – limpieza ambiental (USD)</t>
  </si>
  <si>
    <t xml:space="preserve">Factor de mitigación f_mit (detección/aislamiento)</t>
  </si>
  <si>
    <t xml:space="preserve">Supuesto; paper §2.3: aislamiento operado desde sala de control + blowdown</t>
  </si>
  <si>
    <t xml:space="preserve">FCcmd = CA_cmd × costo reposición</t>
  </si>
  <si>
    <t xml:space="preserve">FCaffa = fracción × FCcmd</t>
  </si>
  <si>
    <t xml:space="preserve">FCprod = días × producción USD/día</t>
  </si>
  <si>
    <t xml:space="preserve">FCinj = CA_inj × densidad × VSL</t>
  </si>
  <si>
    <t xml:space="preserve">FCenviron</t>
  </si>
  <si>
    <t xml:space="preserve">FC bruto = Σ componentes (eq. 13 paper)</t>
  </si>
  <si>
    <t xml:space="preserve">DPN = FC bruto × (1 − f_mit)  → FC usado en fila E-101</t>
  </si>
  <si>
    <t xml:space="preserve">LSE (Life Safety Exposure, personas/año) = POF_ini(E-101) × CA_inj × ρ</t>
  </si>
  <si>
    <t xml:space="preserve">Riesgo de vida = LSE × VSL (USD/año); FCinj = costo económico de lesiones por evento</t>
  </si>
  <si>
    <t xml:space="preserve">Costo evitado anualizado CAA E-101 = RR + ahorros diferimiento (USD/año)</t>
  </si>
  <si>
    <t xml:space="preserve">REFERENCIA DE PRODUCCIÓN – REFINERÍA (250 kbpd): pérdida diaria si falla/para un equipo</t>
  </si>
  <si>
    <t xml:space="preserve">USD/día de toda la refinería = capacidad × margen</t>
  </si>
  <si>
    <t xml:space="preserve">% de la carga de la refinería que depende del equipo (ej. topping ≈ 100 %, HDT ≈ 20 %)</t>
  </si>
  <si>
    <t xml:space="preserve">Pérdida de producción (USD/día) = fracción × USD/día refinería  → usar en FCprod y en 'Pérdida prod. por parada' (× días)</t>
  </si>
  <si>
    <t xml:space="preserve">Comparación: el paper usa 40.000 USD/día (planta petroquímica); a escala GRB la producción diferida es 1–2 órdenes de magnitud mayor, por lo que FCprod domina el FC de equipos críticos.</t>
  </si>
  <si>
    <t xml:space="preserve">Escalamiento a 52 unidades: copiar filas (una por recipiente) dentro del rango 16–45 (insertar filas antes de la fila de totales para que las sumas se expandan). Muestra de 7 filas = ilustrativa, no extrapolable en USD.</t>
  </si>
  <si>
    <t xml:space="preserve">SENSIBILIDAD A LA TASA DE DESCUENTO (WACC) – portafolio; misma tasa para todas las filas. ROI (sin descontar) no depende de la tasa.</t>
  </si>
  <si>
    <t xml:space="preserve">WACC</t>
  </si>
  <si>
    <t xml:space="preserve">FA (N años)</t>
  </si>
  <si>
    <t xml:space="preserve">RESUMEN POR PLANTA / UNIDAD (escribir el nombre igual que en la columna Planta)</t>
  </si>
  <si>
    <t xml:space="preserve">Equipos</t>
  </si>
  <si>
    <t xml:space="preserve">Riesgo inicial</t>
  </si>
  <si>
    <t xml:space="preserve">Riesgo residual</t>
  </si>
  <si>
    <t xml:space="preserve">Reducción</t>
  </si>
  <si>
    <t xml:space="preserve">Ahorro total anual</t>
  </si>
  <si>
    <t xml:space="preserve">Inversión</t>
  </si>
  <si>
    <t xml:space="preserve">VP ahorros</t>
  </si>
  <si>
    <t xml:space="preserve">Servicios (ej.)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</si>
</sst>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#,##0"/>
    <numFmt numFmtId="167" formatCode="0.00"/>
    <numFmt numFmtId="168" formatCode="0.000"/>
    <numFmt numFmtId="169" formatCode="0%"/>
    <numFmt numFmtId="170" formatCode="0.0%"/>
    <numFmt numFmtId="171" formatCode="0.0"/>
    <numFmt numFmtId="172" formatCode="#,##0;\(#,##0\);\-"/>
    <numFmt numFmtId="173" formatCode="&quot;Año &quot;0"/>
    <numFmt numFmtId="174" formatCode="#,##0.0"/>
    <numFmt numFmtId="175" formatCode="0.00E+00"/>
    <numFmt numFmtId="176" formatCode="0;;;"/>
    <numFmt numFmtId="177" formatCode="0.0000"/>
    <numFmt numFmtId="178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i val="true"/>
      <sz val="7"/>
      <color rgb="FF7F7F7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E8F0F8"/>
        <bgColor rgb="FFFFFFFF"/>
      </patternFill>
    </fill>
    <fill>
      <patternFill patternType="solid">
        <fgColor rgb="FF2E5A88"/>
        <bgColor rgb="FF595959"/>
      </patternFill>
    </fill>
    <fill>
      <patternFill patternType="solid">
        <fgColor rgb="FF7B3F8C"/>
        <bgColor rgb="FF595959"/>
      </patternFill>
    </fill>
    <fill>
      <patternFill patternType="solid">
        <fgColor rgb="FF4A4A4A"/>
        <bgColor rgb="FF595959"/>
      </patternFill>
    </fill>
    <fill>
      <patternFill patternType="solid">
        <fgColor rgb="FF1E7B4F"/>
        <bgColor rgb="FF008080"/>
      </patternFill>
    </fill>
    <fill>
      <patternFill patternType="solid">
        <fgColor rgb="FFA0522D"/>
        <bgColor rgb="FFC0504D"/>
      </patternFill>
    </fill>
    <fill>
      <patternFill patternType="solid">
        <fgColor rgb="FF1F3A5F"/>
        <bgColor rgb="FF4A4A4A"/>
      </patternFill>
    </fill>
    <fill>
      <patternFill patternType="solid">
        <fgColor rgb="FFFFEB84"/>
        <bgColor rgb="FFFFCC99"/>
      </patternFill>
    </fill>
    <fill>
      <patternFill patternType="solid">
        <fgColor rgb="FFF8A34F"/>
        <bgColor rgb="FFFF8080"/>
      </patternFill>
    </fill>
    <fill>
      <patternFill patternType="solid">
        <fgColor rgb="FFE5533D"/>
        <bgColor rgb="FFC0504D"/>
      </patternFill>
    </fill>
    <fill>
      <patternFill patternType="solid">
        <fgColor rgb="FF63BE7B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F"/>
      <rgbColor rgb="FFBFBFBF"/>
      <rgbColor rgb="FF7F7F7F"/>
      <rgbColor rgb="FF9999FF"/>
      <rgbColor rgb="FF7B3F8C"/>
      <rgbColor rgb="FFFFF9DB"/>
      <rgbColor rgb="FFE8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4A7EBB"/>
      <rgbColor rgb="FF63BE7B"/>
      <rgbColor rgb="FF99CC00"/>
      <rgbColor rgb="FFFFCC00"/>
      <rgbColor rgb="FFF8A34F"/>
      <rgbColor rgb="FFE5533D"/>
      <rgbColor rgb="FF595959"/>
      <rgbColor rgb="FF878787"/>
      <rgbColor rgb="FF1F3A5F"/>
      <rgbColor rgb="FF4F81BD"/>
      <rgbColor rgb="FF003300"/>
      <rgbColor rgb="FF333300"/>
      <rgbColor rgb="FFA0522D"/>
      <rgbColor rgb="FFC0504D"/>
      <rgbColor rgb="FF2E5A88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Flujo neto descontado acumulado – portafolio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RBI_GRB!$BT$15:$CI$15</c:f>
              <c:strCache>
                <c:ptCount val="1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  <c:pt idx="6">
                  <c:v>Año 6</c:v>
                </c:pt>
                <c:pt idx="7">
                  <c:v>Año 7</c:v>
                </c:pt>
                <c:pt idx="8">
                  <c:v>Año 8</c:v>
                </c:pt>
                <c:pt idx="9">
                  <c:v>Año 9</c:v>
                </c:pt>
                <c:pt idx="10">
                  <c:v>Año 10</c:v>
                </c:pt>
                <c:pt idx="11">
                  <c:v>Año 11</c:v>
                </c:pt>
                <c:pt idx="12">
                  <c:v>Año 12</c:v>
                </c:pt>
                <c:pt idx="13">
                  <c:v>Año 13</c:v>
                </c:pt>
                <c:pt idx="14">
                  <c:v>Año 14</c:v>
                </c:pt>
                <c:pt idx="15">
                  <c:v>Año 15</c:v>
                </c:pt>
              </c:strCache>
            </c:strRef>
          </c:cat>
          <c:val>
            <c:numRef>
              <c:f>RBI_GRB!$BT$46:$CI$46</c:f>
              <c:numCache>
                <c:formatCode>#,##0;\(#,##0\);\-</c:formatCode>
                <c:ptCount val="16"/>
                <c:pt idx="0">
                  <c:v>-463190</c:v>
                </c:pt>
                <c:pt idx="1">
                  <c:v>-282111.4594273</c:v>
                </c:pt>
                <c:pt idx="2">
                  <c:v>-117494.604361208</c:v>
                </c:pt>
                <c:pt idx="3">
                  <c:v>32157.0820625112</c:v>
                </c:pt>
                <c:pt idx="4">
                  <c:v>168204.069720438</c:v>
                </c:pt>
                <c:pt idx="5">
                  <c:v>291883.149409462</c:v>
                </c:pt>
                <c:pt idx="6">
                  <c:v>404318.676399484</c:v>
                </c:pt>
                <c:pt idx="7">
                  <c:v>506532.791844959</c:v>
                </c:pt>
                <c:pt idx="8">
                  <c:v>599454.714977209</c:v>
                </c:pt>
                <c:pt idx="9">
                  <c:v>683929.190551981</c:v>
                </c:pt>
                <c:pt idx="10">
                  <c:v>760724.168347228</c:v>
                </c:pt>
                <c:pt idx="11">
                  <c:v>760724.168347228</c:v>
                </c:pt>
                <c:pt idx="12">
                  <c:v>760724.168347228</c:v>
                </c:pt>
                <c:pt idx="13">
                  <c:v>760724.168347228</c:v>
                </c:pt>
                <c:pt idx="14">
                  <c:v>760724.168347228</c:v>
                </c:pt>
                <c:pt idx="15">
                  <c:v>760724.168347228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87901"/>
        <c:axId val="22561473"/>
      </c:lineChart>
      <c:catAx>
        <c:axId val="823879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Año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61473"/>
        <c:crosses val="autoZero"/>
        <c:auto val="1"/>
        <c:lblAlgn val="ctr"/>
        <c:lblOffset val="100"/>
        <c:noMultiLvlLbl val="0"/>
      </c:catAx>
      <c:valAx>
        <c:axId val="22561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879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Riesgo inicial vs residual por equipo (USD/año)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RBI_GRB!AY15</c:f>
              <c:strCache>
                <c:ptCount val="1"/>
                <c:pt idx="0">
                  <c:v>Riesgo inicial usado (USD/año)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RBI_GRB!$C$16:$C$22</c:f>
              <c:strCache>
                <c:ptCount val="7"/>
                <c:pt idx="0">
                  <c:v>E-101</c:v>
                </c:pt>
                <c:pt idx="1">
                  <c:v>R-2101</c:v>
                </c:pt>
                <c:pt idx="2">
                  <c:v>T-1101</c:v>
                </c:pt>
                <c:pt idx="3">
                  <c:v>H-2201</c:v>
                </c:pt>
                <c:pt idx="4">
                  <c:v>D-3301</c:v>
                </c:pt>
                <c:pt idx="5">
                  <c:v>C-1102</c:v>
                </c:pt>
                <c:pt idx="6">
                  <c:v>E-2105</c:v>
                </c:pt>
              </c:strCache>
            </c:strRef>
          </c:cat>
          <c:val>
            <c:numRef>
              <c:f>RBI_GRB!$AY$16:$AY$22</c:f>
              <c:numCache>
                <c:formatCode>#,##0</c:formatCode>
                <c:ptCount val="7"/>
                <c:pt idx="0">
                  <c:v>1088.61408451296</c:v>
                </c:pt>
                <c:pt idx="1">
                  <c:v>11611.8835681383</c:v>
                </c:pt>
                <c:pt idx="2">
                  <c:v>3483.56507044149</c:v>
                </c:pt>
                <c:pt idx="3">
                  <c:v>2612.67380283112</c:v>
                </c:pt>
                <c:pt idx="4">
                  <c:v>14514.8544601729</c:v>
                </c:pt>
                <c:pt idx="5">
                  <c:v>1548.25114241844</c:v>
                </c:pt>
                <c:pt idx="6">
                  <c:v>174.178253522074</c:v>
                </c:pt>
              </c:numCache>
            </c:numRef>
          </c:val>
        </c:ser>
        <c:ser>
          <c:idx val="1"/>
          <c:order val="1"/>
          <c:tx>
            <c:strRef>
              <c:f>RBI_GRB!AZ15</c:f>
              <c:strCache>
                <c:ptCount val="1"/>
                <c:pt idx="0">
                  <c:v>Riesgo residual usado (USD/año)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RBI_GRB!$C$16:$C$22</c:f>
              <c:strCache>
                <c:ptCount val="7"/>
                <c:pt idx="0">
                  <c:v>E-101</c:v>
                </c:pt>
                <c:pt idx="1">
                  <c:v>R-2101</c:v>
                </c:pt>
                <c:pt idx="2">
                  <c:v>T-1101</c:v>
                </c:pt>
                <c:pt idx="3">
                  <c:v>H-2201</c:v>
                </c:pt>
                <c:pt idx="4">
                  <c:v>D-3301</c:v>
                </c:pt>
                <c:pt idx="5">
                  <c:v>C-1102</c:v>
                </c:pt>
                <c:pt idx="6">
                  <c:v>E-2105</c:v>
                </c:pt>
              </c:strCache>
            </c:strRef>
          </c:cat>
          <c:val>
            <c:numRef>
              <c:f>RBI_GRB!$AZ$16:$AZ$22</c:f>
              <c:numCache>
                <c:formatCode>#,##0</c:formatCode>
                <c:ptCount val="7"/>
                <c:pt idx="0">
                  <c:v>5.44307042256482</c:v>
                </c:pt>
                <c:pt idx="1">
                  <c:v>174.178253522074</c:v>
                </c:pt>
                <c:pt idx="2">
                  <c:v>58.0594178406914</c:v>
                </c:pt>
                <c:pt idx="3">
                  <c:v>391.901070424667</c:v>
                </c:pt>
                <c:pt idx="4">
                  <c:v>4354.45633805186</c:v>
                </c:pt>
                <c:pt idx="5">
                  <c:v>77.4125571209219</c:v>
                </c:pt>
                <c:pt idx="6">
                  <c:v>52.2534760566223</c:v>
                </c:pt>
              </c:numCache>
            </c:numRef>
          </c:val>
        </c:ser>
        <c:gapWidth val="150"/>
        <c:overlap val="0"/>
        <c:axId val="45209089"/>
        <c:axId val="59003397"/>
      </c:barChart>
      <c:catAx>
        <c:axId val="45209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03397"/>
        <c:crosses val="autoZero"/>
        <c:auto val="1"/>
        <c:lblAlgn val="ctr"/>
        <c:lblOffset val="100"/>
        <c:noMultiLvlLbl val="0"/>
      </c:catAx>
      <c:valAx>
        <c:axId val="59003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09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47</xdr:row>
      <xdr:rowOff>160560</xdr:rowOff>
    </xdr:from>
    <xdr:to>
      <xdr:col>25</xdr:col>
      <xdr:colOff>519120</xdr:colOff>
      <xdr:row>62</xdr:row>
      <xdr:rowOff>2520</xdr:rowOff>
    </xdr:to>
    <xdr:graphicFrame>
      <xdr:nvGraphicFramePr>
        <xdr:cNvPr id="0" name="Chart 1"/>
        <xdr:cNvGraphicFramePr/>
      </xdr:nvGraphicFramePr>
      <xdr:xfrm>
        <a:off x="16357680" y="97344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32</xdr:col>
      <xdr:colOff>0</xdr:colOff>
      <xdr:row>47</xdr:row>
      <xdr:rowOff>160560</xdr:rowOff>
    </xdr:from>
    <xdr:to>
      <xdr:col>38</xdr:col>
      <xdr:colOff>874440</xdr:colOff>
      <xdr:row>62</xdr:row>
      <xdr:rowOff>2520</xdr:rowOff>
    </xdr:to>
    <xdr:graphicFrame>
      <xdr:nvGraphicFramePr>
        <xdr:cNvPr id="1" name="Chart 2"/>
        <xdr:cNvGraphicFramePr/>
      </xdr:nvGraphicFramePr>
      <xdr:xfrm>
        <a:off x="27025560" y="97344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15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7"/>
    <col collapsed="false" customWidth="true" hidden="false" outlineLevel="0" max="11" min="8" style="0" width="9"/>
    <col collapsed="false" customWidth="true" hidden="false" outlineLevel="0" max="12" min="12" style="0" width="14"/>
    <col collapsed="false" customWidth="true" hidden="false" outlineLevel="0" max="14" min="13" style="0" width="10"/>
    <col collapsed="false" customWidth="true" hidden="false" outlineLevel="0" max="15" min="15" style="0" width="13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7"/>
    <col collapsed="false" customWidth="true" hidden="false" outlineLevel="0" max="22" min="21" style="0" width="9"/>
    <col collapsed="false" customWidth="true" hidden="false" outlineLevel="0" max="23" min="23" style="0" width="13"/>
    <col collapsed="false" customWidth="true" hidden="false" outlineLevel="0" max="25" min="24" style="0" width="8"/>
    <col collapsed="false" customWidth="true" hidden="false" outlineLevel="0" max="26" min="26" style="0" width="12"/>
    <col collapsed="false" customWidth="true" hidden="false" outlineLevel="0" max="31" min="27" style="0" width="7"/>
    <col collapsed="false" customWidth="true" hidden="false" outlineLevel="0" max="32" min="32" style="0" width="10"/>
    <col collapsed="false" customWidth="true" hidden="false" outlineLevel="0" max="33" min="33" style="0" width="8"/>
    <col collapsed="false" customWidth="true" hidden="false" outlineLevel="0" max="35" min="34" style="0" width="9"/>
    <col collapsed="false" customWidth="true" hidden="false" outlineLevel="0" max="36" min="36" style="0" width="10"/>
    <col collapsed="false" customWidth="true" hidden="false" outlineLevel="0" max="37" min="37" style="0" width="11"/>
    <col collapsed="false" customWidth="true" hidden="false" outlineLevel="0" max="38" min="38" style="0" width="12"/>
    <col collapsed="false" customWidth="true" hidden="false" outlineLevel="0" max="39" min="39" style="0" width="15"/>
    <col collapsed="false" customWidth="true" hidden="false" outlineLevel="0" max="40" min="40" style="0" width="9"/>
    <col collapsed="false" customWidth="true" hidden="false" outlineLevel="0" max="41" min="41" style="0" width="11"/>
    <col collapsed="false" customWidth="true" hidden="false" outlineLevel="0" max="44" min="42" style="0" width="12"/>
    <col collapsed="false" customWidth="true" hidden="false" outlineLevel="0" max="46" min="45" style="0" width="8"/>
    <col collapsed="false" customWidth="true" hidden="false" outlineLevel="0" max="47" min="47" style="0" width="9"/>
    <col collapsed="false" customWidth="true" hidden="false" outlineLevel="0" max="49" min="48" style="0" width="7"/>
    <col collapsed="false" customWidth="true" hidden="false" outlineLevel="0" max="50" min="50" style="0" width="9"/>
    <col collapsed="false" customWidth="true" hidden="false" outlineLevel="0" max="53" min="51" style="0" width="12"/>
    <col collapsed="false" customWidth="true" hidden="false" outlineLevel="0" max="55" min="54" style="0" width="11"/>
    <col collapsed="false" customWidth="true" hidden="false" outlineLevel="0" max="56" min="56" style="0" width="12"/>
    <col collapsed="false" customWidth="true" hidden="false" outlineLevel="0" max="57" min="57" style="0" width="13"/>
    <col collapsed="false" customWidth="true" hidden="false" outlineLevel="0" max="59" min="58" style="0" width="11"/>
    <col collapsed="false" customWidth="true" hidden="false" outlineLevel="0" max="60" min="60" style="0" width="12"/>
    <col collapsed="false" customWidth="true" hidden="false" outlineLevel="0" max="61" min="61" style="0" width="11"/>
    <col collapsed="false" customWidth="true" hidden="false" outlineLevel="0" max="62" min="62" style="0" width="8"/>
    <col collapsed="false" customWidth="true" hidden="false" outlineLevel="0" max="63" min="63" style="0" width="12"/>
    <col collapsed="false" customWidth="true" hidden="false" outlineLevel="0" max="64" min="64" style="0" width="7"/>
    <col collapsed="false" customWidth="true" hidden="false" outlineLevel="0" max="65" min="65" style="0" width="11"/>
    <col collapsed="false" customWidth="true" hidden="false" outlineLevel="0" max="66" min="66" style="0" width="8"/>
    <col collapsed="false" customWidth="true" hidden="false" outlineLevel="0" max="67" min="67" style="0" width="9"/>
    <col collapsed="false" customWidth="true" hidden="false" outlineLevel="0" max="68" min="68" style="0" width="10"/>
    <col collapsed="false" customWidth="true" hidden="false" outlineLevel="0" max="69" min="69" style="0" width="12"/>
    <col collapsed="false" customWidth="true" hidden="false" outlineLevel="0" max="70" min="70" style="0" width="13"/>
    <col collapsed="false" customWidth="true" hidden="false" outlineLevel="0" max="71" min="71" style="0" width="24"/>
    <col collapsed="false" customWidth="true" hidden="false" outlineLevel="0" max="87" min="72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H3" s="3" t="s">
        <v>2</v>
      </c>
    </row>
    <row r="4" customFormat="false" ht="15" hidden="false" customHeight="false" outlineLevel="0" collapsed="false">
      <c r="B4" s="4" t="s">
        <v>3</v>
      </c>
      <c r="E4" s="5" t="n">
        <v>2026</v>
      </c>
      <c r="H4" s="6" t="s">
        <v>4</v>
      </c>
      <c r="L4" s="7" t="n">
        <f aca="false">AY46</f>
        <v>35034.0203820372</v>
      </c>
      <c r="N4" s="6" t="s">
        <v>5</v>
      </c>
      <c r="R4" s="7" t="n">
        <f aca="false">BA46</f>
        <v>29920.3161985978</v>
      </c>
      <c r="T4" s="6" t="s">
        <v>6</v>
      </c>
      <c r="X4" s="8" t="n">
        <f aca="false">IFERROR(AVERAGE(BL16:BL45),0)</f>
        <v>4.55964390561726</v>
      </c>
    </row>
    <row r="5" customFormat="false" ht="15" hidden="false" customHeight="false" outlineLevel="0" collapsed="false">
      <c r="B5" s="4" t="s">
        <v>7</v>
      </c>
      <c r="E5" s="5" t="n">
        <v>750</v>
      </c>
      <c r="H5" s="6" t="s">
        <v>8</v>
      </c>
      <c r="L5" s="7" t="n">
        <f aca="false">AZ46</f>
        <v>5113.7041834394</v>
      </c>
      <c r="N5" s="6" t="s">
        <v>9</v>
      </c>
      <c r="R5" s="7" t="n">
        <f aca="false">BD46</f>
        <v>10076.5359477124</v>
      </c>
      <c r="T5" s="6" t="s">
        <v>10</v>
      </c>
      <c r="X5" s="8" t="n">
        <f aca="false">BL46</f>
        <v>2.64235879087897</v>
      </c>
    </row>
    <row r="6" customFormat="false" ht="15" hidden="false" customHeight="false" outlineLevel="0" collapsed="false">
      <c r="B6" s="4" t="s">
        <v>11</v>
      </c>
      <c r="E6" s="9" t="n">
        <f aca="false">10^(1-0.02*ScoreSGA/10)</f>
        <v>0.316227766016838</v>
      </c>
      <c r="H6" s="6" t="s">
        <v>12</v>
      </c>
      <c r="L6" s="7" t="n">
        <f aca="false">BA46</f>
        <v>29920.3161985978</v>
      </c>
      <c r="N6" s="6" t="s">
        <v>13</v>
      </c>
      <c r="R6" s="7" t="n">
        <f aca="false">BE46</f>
        <v>159189.54248366</v>
      </c>
      <c r="T6" s="6" t="s">
        <v>14</v>
      </c>
      <c r="X6" s="10" t="n">
        <f aca="false">BN46</f>
        <v>3.30031724842873</v>
      </c>
    </row>
    <row r="7" customFormat="false" ht="15" hidden="false" customHeight="false" outlineLevel="0" collapsed="false">
      <c r="B7" s="4" t="s">
        <v>15</v>
      </c>
      <c r="E7" s="5" t="n">
        <v>10</v>
      </c>
      <c r="H7" s="6" t="s">
        <v>16</v>
      </c>
      <c r="L7" s="11" t="n">
        <f aca="false">IFERROR(BA46/AY46,0)</f>
        <v>0.854036044745201</v>
      </c>
      <c r="N7" s="6" t="s">
        <v>17</v>
      </c>
      <c r="R7" s="7" t="n">
        <f aca="false">BI46</f>
        <v>463190</v>
      </c>
      <c r="T7" s="6" t="s">
        <v>18</v>
      </c>
      <c r="X7" s="12" t="n">
        <f aca="false">BO46</f>
        <v>2.32540982962451</v>
      </c>
    </row>
    <row r="8" customFormat="false" ht="15" hidden="false" customHeight="false" outlineLevel="0" collapsed="false">
      <c r="B8" s="4" t="s">
        <v>19</v>
      </c>
      <c r="E8" s="13" t="s">
        <v>20</v>
      </c>
      <c r="H8" s="6" t="s">
        <v>21</v>
      </c>
      <c r="L8" s="14" t="n">
        <f aca="false">COUNTA(C16:C45)</f>
        <v>7</v>
      </c>
      <c r="N8" s="6" t="s">
        <v>22</v>
      </c>
      <c r="R8" s="15" t="n">
        <f aca="false">BQ46</f>
        <v>123804.35517434</v>
      </c>
      <c r="T8" s="6" t="s">
        <v>23</v>
      </c>
      <c r="X8" s="12" t="n">
        <f aca="false">IFERROR(-LN(1-BI46*AVERAGE(R16:R45)/BH46)/LN(1+AVERAGE(R16:R45)),"No recupera")</f>
        <v>2.77693526007993</v>
      </c>
    </row>
    <row r="9" customFormat="false" ht="15" hidden="false" customHeight="false" outlineLevel="0" collapsed="false">
      <c r="B9" s="4" t="s">
        <v>24</v>
      </c>
      <c r="E9" s="5" t="n">
        <v>2</v>
      </c>
      <c r="H9" s="6" t="s">
        <v>25</v>
      </c>
      <c r="L9" s="14" t="n">
        <f aca="false">COUNTIF(BR16:BR45,"ACEPTABLE")</f>
        <v>6</v>
      </c>
      <c r="N9" s="6" t="s">
        <v>26</v>
      </c>
      <c r="R9" s="15" t="n">
        <f aca="false">BM46</f>
        <v>760724.168347228</v>
      </c>
      <c r="T9" s="6" t="s">
        <v>27</v>
      </c>
      <c r="X9" s="14" t="n">
        <f aca="false">COUNTIF(AX16:AX45,"Excede")</f>
        <v>1</v>
      </c>
    </row>
    <row r="10" customFormat="false" ht="15" hidden="false" customHeight="false" outlineLevel="0" collapsed="false">
      <c r="B10" s="4" t="s">
        <v>28</v>
      </c>
      <c r="E10" s="16" t="n">
        <v>210</v>
      </c>
      <c r="H10" s="6" t="s">
        <v>29</v>
      </c>
      <c r="L10" s="7" t="n">
        <f aca="false">BF46</f>
        <v>435557.777777778</v>
      </c>
      <c r="N10" s="6" t="s">
        <v>30</v>
      </c>
      <c r="R10" s="17" t="n">
        <v>1</v>
      </c>
      <c r="T10" s="6" t="s">
        <v>31</v>
      </c>
      <c r="X10" s="12" t="n">
        <f aca="false">IFERROR(MIN(AF16:AF45),"n/d")</f>
        <v>-19.9545454545454</v>
      </c>
    </row>
    <row r="11" customFormat="false" ht="15" hidden="false" customHeight="false" outlineLevel="0" collapsed="false">
      <c r="B11" s="4" t="s">
        <v>32</v>
      </c>
      <c r="E11" s="16" t="n">
        <v>40000</v>
      </c>
      <c r="H11" s="6" t="s">
        <v>33</v>
      </c>
      <c r="L11" s="7" t="n">
        <f aca="false">BG46</f>
        <v>266291.699346405</v>
      </c>
      <c r="T11" s="6" t="s">
        <v>34</v>
      </c>
      <c r="X11" s="14" t="n">
        <f aca="false">COUNTIF(BS16:BS45,"RUL*")</f>
        <v>1</v>
      </c>
    </row>
    <row r="12" customFormat="false" ht="15" hidden="false" customHeight="false" outlineLevel="0" collapsed="false">
      <c r="B12" s="4" t="s">
        <v>35</v>
      </c>
      <c r="E12" s="16" t="n">
        <v>250000</v>
      </c>
      <c r="H12" s="6" t="s">
        <v>36</v>
      </c>
      <c r="L12" s="7" t="n">
        <f aca="false">BF46-BG46</f>
        <v>169266.078431373</v>
      </c>
    </row>
    <row r="13" customFormat="false" ht="15" hidden="false" customHeight="false" outlineLevel="0" collapsed="false">
      <c r="B13" s="4" t="s">
        <v>37</v>
      </c>
      <c r="E13" s="18" t="n">
        <v>8</v>
      </c>
    </row>
    <row r="14" customFormat="false" ht="15" hidden="false" customHeight="false" outlineLevel="0" collapsed="false">
      <c r="A14" s="19" t="s">
        <v>38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 t="s">
        <v>39</v>
      </c>
      <c r="AB14" s="22"/>
      <c r="AC14" s="22"/>
      <c r="AD14" s="22"/>
      <c r="AE14" s="23" t="s">
        <v>40</v>
      </c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1" t="s">
        <v>41</v>
      </c>
      <c r="AR14" s="22"/>
      <c r="AS14" s="22"/>
      <c r="AT14" s="22"/>
      <c r="AU14" s="22"/>
      <c r="AV14" s="22"/>
      <c r="AW14" s="22"/>
      <c r="AX14" s="22"/>
      <c r="AY14" s="25" t="s">
        <v>42</v>
      </c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T14" s="27" t="s">
        <v>43</v>
      </c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</row>
    <row r="15" customFormat="false" ht="61.5" hidden="false" customHeight="true" outlineLevel="0" collapsed="false">
      <c r="A15" s="29" t="s">
        <v>44</v>
      </c>
      <c r="B15" s="29" t="s">
        <v>45</v>
      </c>
      <c r="C15" s="29" t="s">
        <v>46</v>
      </c>
      <c r="D15" s="29" t="s">
        <v>47</v>
      </c>
      <c r="E15" s="29" t="s">
        <v>48</v>
      </c>
      <c r="F15" s="29" t="s">
        <v>49</v>
      </c>
      <c r="G15" s="29" t="s">
        <v>50</v>
      </c>
      <c r="H15" s="29" t="s">
        <v>51</v>
      </c>
      <c r="I15" s="29" t="s">
        <v>52</v>
      </c>
      <c r="J15" s="29" t="s">
        <v>53</v>
      </c>
      <c r="K15" s="29" t="s">
        <v>54</v>
      </c>
      <c r="L15" s="29" t="s">
        <v>55</v>
      </c>
      <c r="M15" s="29" t="s">
        <v>56</v>
      </c>
      <c r="N15" s="29" t="s">
        <v>57</v>
      </c>
      <c r="O15" s="29" t="s">
        <v>58</v>
      </c>
      <c r="P15" s="29" t="s">
        <v>59</v>
      </c>
      <c r="Q15" s="29" t="s">
        <v>60</v>
      </c>
      <c r="R15" s="29" t="s">
        <v>61</v>
      </c>
      <c r="S15" s="29" t="s">
        <v>62</v>
      </c>
      <c r="T15" s="29" t="s">
        <v>63</v>
      </c>
      <c r="U15" s="29" t="s">
        <v>64</v>
      </c>
      <c r="V15" s="29" t="s">
        <v>65</v>
      </c>
      <c r="W15" s="29" t="s">
        <v>66</v>
      </c>
      <c r="X15" s="29" t="s">
        <v>67</v>
      </c>
      <c r="Y15" s="29" t="s">
        <v>68</v>
      </c>
      <c r="Z15" s="29" t="s">
        <v>69</v>
      </c>
      <c r="AA15" s="30" t="s">
        <v>70</v>
      </c>
      <c r="AB15" s="30" t="s">
        <v>71</v>
      </c>
      <c r="AC15" s="30" t="s">
        <v>72</v>
      </c>
      <c r="AD15" s="30" t="s">
        <v>73</v>
      </c>
      <c r="AE15" s="31" t="s">
        <v>74</v>
      </c>
      <c r="AF15" s="31" t="s">
        <v>75</v>
      </c>
      <c r="AG15" s="31" t="s">
        <v>76</v>
      </c>
      <c r="AH15" s="31" t="s">
        <v>77</v>
      </c>
      <c r="AI15" s="31" t="s">
        <v>78</v>
      </c>
      <c r="AJ15" s="31" t="s">
        <v>79</v>
      </c>
      <c r="AK15" s="31" t="s">
        <v>80</v>
      </c>
      <c r="AL15" s="31" t="s">
        <v>81</v>
      </c>
      <c r="AM15" s="31" t="s">
        <v>82</v>
      </c>
      <c r="AN15" s="31" t="s">
        <v>83</v>
      </c>
      <c r="AO15" s="31" t="s">
        <v>84</v>
      </c>
      <c r="AP15" s="31" t="s">
        <v>85</v>
      </c>
      <c r="AQ15" s="30" t="s">
        <v>86</v>
      </c>
      <c r="AR15" s="30" t="s">
        <v>87</v>
      </c>
      <c r="AS15" s="30" t="s">
        <v>88</v>
      </c>
      <c r="AT15" s="30" t="s">
        <v>89</v>
      </c>
      <c r="AU15" s="30" t="s">
        <v>90</v>
      </c>
      <c r="AV15" s="30" t="s">
        <v>91</v>
      </c>
      <c r="AW15" s="30" t="s">
        <v>92</v>
      </c>
      <c r="AX15" s="30" t="s">
        <v>93</v>
      </c>
      <c r="AY15" s="32" t="s">
        <v>94</v>
      </c>
      <c r="AZ15" s="32" t="s">
        <v>95</v>
      </c>
      <c r="BA15" s="32" t="s">
        <v>96</v>
      </c>
      <c r="BB15" s="32" t="s">
        <v>97</v>
      </c>
      <c r="BC15" s="32" t="s">
        <v>98</v>
      </c>
      <c r="BD15" s="32" t="s">
        <v>99</v>
      </c>
      <c r="BE15" s="32" t="s">
        <v>100</v>
      </c>
      <c r="BF15" s="32" t="s">
        <v>101</v>
      </c>
      <c r="BG15" s="32" t="s">
        <v>102</v>
      </c>
      <c r="BH15" s="32" t="s">
        <v>103</v>
      </c>
      <c r="BI15" s="32" t="s">
        <v>104</v>
      </c>
      <c r="BJ15" s="32" t="s">
        <v>105</v>
      </c>
      <c r="BK15" s="32" t="s">
        <v>106</v>
      </c>
      <c r="BL15" s="32" t="s">
        <v>107</v>
      </c>
      <c r="BM15" s="32" t="s">
        <v>108</v>
      </c>
      <c r="BN15" s="32" t="s">
        <v>109</v>
      </c>
      <c r="BO15" s="32" t="s">
        <v>110</v>
      </c>
      <c r="BP15" s="32" t="s">
        <v>111</v>
      </c>
      <c r="BQ15" s="32" t="s">
        <v>22</v>
      </c>
      <c r="BR15" s="32" t="s">
        <v>112</v>
      </c>
      <c r="BS15" s="32" t="s">
        <v>113</v>
      </c>
      <c r="BT15" s="33" t="n">
        <v>0</v>
      </c>
      <c r="BU15" s="33" t="n">
        <v>1</v>
      </c>
      <c r="BV15" s="33" t="n">
        <v>2</v>
      </c>
      <c r="BW15" s="33" t="n">
        <v>3</v>
      </c>
      <c r="BX15" s="33" t="n">
        <v>4</v>
      </c>
      <c r="BY15" s="33" t="n">
        <v>5</v>
      </c>
      <c r="BZ15" s="33" t="n">
        <v>6</v>
      </c>
      <c r="CA15" s="33" t="n">
        <v>7</v>
      </c>
      <c r="CB15" s="33" t="n">
        <v>8</v>
      </c>
      <c r="CC15" s="33" t="n">
        <v>9</v>
      </c>
      <c r="CD15" s="33" t="n">
        <v>10</v>
      </c>
      <c r="CE15" s="33" t="n">
        <v>11</v>
      </c>
      <c r="CF15" s="33" t="n">
        <v>12</v>
      </c>
      <c r="CG15" s="33" t="n">
        <v>13</v>
      </c>
      <c r="CH15" s="33" t="n">
        <v>14</v>
      </c>
      <c r="CI15" s="33" t="n">
        <v>15</v>
      </c>
    </row>
    <row r="16" customFormat="false" ht="15" hidden="false" customHeight="false" outlineLevel="0" collapsed="false">
      <c r="A16" s="34" t="n">
        <v>1</v>
      </c>
      <c r="B16" s="35" t="s">
        <v>114</v>
      </c>
      <c r="C16" s="36" t="s">
        <v>115</v>
      </c>
      <c r="D16" s="35" t="s">
        <v>116</v>
      </c>
      <c r="E16" s="35" t="s">
        <v>117</v>
      </c>
      <c r="F16" s="37" t="n">
        <v>114</v>
      </c>
      <c r="G16" s="37" t="n">
        <v>120</v>
      </c>
      <c r="H16" s="38" t="n">
        <v>8.3</v>
      </c>
      <c r="I16" s="39" t="n">
        <v>0.132</v>
      </c>
      <c r="J16" s="40" t="n">
        <v>8.03</v>
      </c>
      <c r="K16" s="37" t="n">
        <v>2004</v>
      </c>
      <c r="L16" s="35" t="s">
        <v>118</v>
      </c>
      <c r="M16" s="36"/>
      <c r="N16" s="41"/>
      <c r="O16" s="42" t="n">
        <f aca="false">FC_CALC</f>
        <v>450000</v>
      </c>
      <c r="P16" s="43" t="n">
        <v>0.27</v>
      </c>
      <c r="Q16" s="42" t="n">
        <v>720</v>
      </c>
      <c r="R16" s="44" t="n">
        <v>0.1</v>
      </c>
      <c r="S16" s="36" t="s">
        <v>119</v>
      </c>
      <c r="T16" s="37" t="n">
        <v>1</v>
      </c>
      <c r="U16" s="36" t="s">
        <v>120</v>
      </c>
      <c r="V16" s="36" t="s">
        <v>121</v>
      </c>
      <c r="W16" s="42"/>
      <c r="X16" s="37" t="n">
        <v>9</v>
      </c>
      <c r="Y16" s="37" t="n">
        <v>17</v>
      </c>
      <c r="Z16" s="42" t="n">
        <v>10000</v>
      </c>
      <c r="AA16" s="37" t="n">
        <v>4</v>
      </c>
      <c r="AB16" s="36" t="s">
        <v>122</v>
      </c>
      <c r="AC16" s="37" t="n">
        <v>1</v>
      </c>
      <c r="AD16" s="36" t="s">
        <v>122</v>
      </c>
      <c r="AE16" s="45" t="n">
        <f aca="false">IF($C16="","",AnioEval-K16)</f>
        <v>22</v>
      </c>
      <c r="AF16" s="46" t="n">
        <f aca="false">IF($C16="","",IF(AND(ISNUMBER(J16),I16&gt;0),(H16-J16)/(I16*SensCR)-AE16,"n/d"))</f>
        <v>-19.9545454545454</v>
      </c>
      <c r="AG16" s="47" t="n">
        <f aca="false">IF($C16="","",IFERROR(I16*SensCR*AE16/H16,0))</f>
        <v>0.349879518072289</v>
      </c>
      <c r="AH16" s="48" t="n">
        <f aca="false">IF($C16="","",IF(INDEX(MecTipo,MATCH(L16,MecList,0))="F",IFERROR(INDEX(SusDF,MATCH(M16,SusList,0)),1),LOOKUP(AG16,ArtLim,ArtDF)))</f>
        <v>250</v>
      </c>
      <c r="AI16" s="48" t="n">
        <f aca="false">IF($C16="","",IF(ISNUMBER(N16),N16,AH16))</f>
        <v>250</v>
      </c>
      <c r="AJ16" s="49" t="n">
        <f aca="false">IF($C16="","",INDEX(GFFval,MATCH(D16,GFFtipo,0)))</f>
        <v>3.06E-005</v>
      </c>
      <c r="AK16" s="49" t="n">
        <f aca="false">IF($C16="","",AJ16*AI16*FMS)</f>
        <v>0.00241914241002881</v>
      </c>
      <c r="AL16" s="50" t="n">
        <f aca="false">IF($C16="","",AK16*O16)</f>
        <v>1088.61408451296</v>
      </c>
      <c r="AM16" s="51" t="str">
        <f aca="false">IF($C16="","",IF(N(T16)=0,"No requerido",IF(AND(U16="Apto",V16="Pasa"),"APTO/PASA",IF(AND(U16="Apto con limitaciones",V16="Pasa"),"APTO CON LIMITACIONES",IF(U16="No apto","NO APTO/REPARAR","REVISAR")))))</f>
        <v>APTO/PASA</v>
      </c>
      <c r="AN16" s="48" t="n">
        <f aca="false">IF($C16="","",IF(AM16="NO APTO/REPARAR",1,MAX(1,AI16*INDEX(EffRet,MATCH(S16,EffList,0))*INDEX(FFSfac,MATCH(AM16,FFSlist,0)))))</f>
        <v>1.25</v>
      </c>
      <c r="AO16" s="49" t="n">
        <f aca="false">IF($C16="","",AJ16*AN16*FMS)</f>
        <v>1.2095712050144E-005</v>
      </c>
      <c r="AP16" s="50" t="n">
        <f aca="false">IF($C16="","",AO16*O16)</f>
        <v>5.44307042256482</v>
      </c>
      <c r="AQ16" s="50" t="n">
        <f aca="false">IF($C16="","",IFERROR(AJ16*FMS*INDEX(DFrep,AA16)*INDEX(FCrep,MATCH(AB16,CatLet,0)),AL16))</f>
        <v>966.263537983348</v>
      </c>
      <c r="AR16" s="50" t="n">
        <f aca="false">IF($C16="","",IFERROR(AJ16*FMS*INDEX(DFrep,AC16)*INDEX(FCrep,MATCH(AD16,CatLet,0)),AP16))</f>
        <v>3.05779600627642</v>
      </c>
      <c r="AS16" s="52" t="str">
        <f aca="false">IF($C16="","",(1+SUMPRODUCT(--(AI16&gt;PcutDF)))&amp;CHOOSE(1+SUMPRODUCT(--(O16&gt;CcutFC)),"A","B","C","D","E"))</f>
        <v>4C</v>
      </c>
      <c r="AT16" s="52" t="str">
        <f aca="false">IF($C16="","",(1+SUMPRODUCT(--(AN16&gt;PcutDF)))&amp;CHOOSE(1+SUMPRODUCT(--(O16&gt;CcutFC)),"A","B","C","D","E"))</f>
        <v>1C</v>
      </c>
      <c r="AU16" s="52" t="str">
        <f aca="false">IF($C16="","",IF(AND(AA16&amp;AB16=AS16,AC16&amp;AD16=AT16),"OK","REVISAR"))</f>
        <v>OK</v>
      </c>
      <c r="AV16" s="45" t="n">
        <f aca="false">IF($C16="","",IFERROR(INDEX(RAMlev,AA16,MATCH(AB16,CatLet,0)),""))</f>
        <v>3</v>
      </c>
      <c r="AW16" s="45" t="n">
        <f aca="false">IF($C16="","",IFERROR(INDEX(RAMlev,AC16,MATCH(AD16,CatLet,0)),""))</f>
        <v>1</v>
      </c>
      <c r="AX16" s="52" t="str">
        <f aca="false">IF($C16="","",IF(AW16="","",IF(AW16&lt;=ObjNivel,"Cumple","Excede")))</f>
        <v>Cumple</v>
      </c>
      <c r="AY16" s="50" t="n">
        <f aca="false">IF($C16="","",IF(Base="RAM",AQ16,AL16))</f>
        <v>1088.61408451296</v>
      </c>
      <c r="AZ16" s="50" t="n">
        <f aca="false">IF($C16="","",IF(Base="RAM",AR16,AP16))</f>
        <v>5.44307042256482</v>
      </c>
      <c r="BA16" s="50" t="n">
        <f aca="false">IF($C16="","",AY16-AZ16)</f>
        <v>1083.1710140904</v>
      </c>
      <c r="BB16" s="50" t="n">
        <f aca="false">IF($C16="","",BA16*N(P16))</f>
        <v>292.456173804408</v>
      </c>
      <c r="BC16" s="50" t="n">
        <f aca="false">IF($C16="","",BA16-BB16)</f>
        <v>790.714840285992</v>
      </c>
      <c r="BD16" s="50" t="n">
        <f aca="false">IF($C16="","",IFERROR(Q16*(1/X16-1/Y16),0))</f>
        <v>37.6470588235294</v>
      </c>
      <c r="BE16" s="50" t="n">
        <f aca="false">IF($C16="","",IFERROR(Z16*(1/X16-1/Y16),0))</f>
        <v>522.875816993464</v>
      </c>
      <c r="BF16" s="50" t="n">
        <f aca="false">IF($C16="","",IFERROR((Q16+Z16)/X16,0))</f>
        <v>1191.11111111111</v>
      </c>
      <c r="BG16" s="50" t="n">
        <f aca="false">IF($C16="","",IFERROR((Q16+Z16)/Y16,0))</f>
        <v>630.588235294118</v>
      </c>
      <c r="BH16" s="50" t="n">
        <f aca="false">IF($C16="","",BA16+BD16+BE16)</f>
        <v>1643.69388990739</v>
      </c>
      <c r="BI16" s="50" t="n">
        <f aca="false">IF($C16="","",Q16+INDEX(FFScost,N(T16)+1)+IF(OR(AM16="NO APTO/REPARAR",AM16="APTO CON LIMITACIONES"),N(W16),0)+RBIimpl)</f>
        <v>3930</v>
      </c>
      <c r="BJ16" s="47" t="n">
        <f aca="false">IF($C16="","",IF(R16=0,Horiz,(1-(1+R16)^(-Horiz))/R16))</f>
        <v>6.14456710570469</v>
      </c>
      <c r="BK16" s="50" t="n">
        <f aca="false">IF($C16="","",BH16*BJ16)</f>
        <v>10099.7874077727</v>
      </c>
      <c r="BL16" s="53" t="n">
        <f aca="false">IF($C16="","",IFERROR(BK16/BI16,0))</f>
        <v>2.56992045999306</v>
      </c>
      <c r="BM16" s="54" t="n">
        <f aca="false">IF($C16="","",BK16-BI16)</f>
        <v>6169.78740777275</v>
      </c>
      <c r="BN16" s="55" t="n">
        <f aca="false">IF($C16="","",IFERROR((Horiz*BH16-BI16)/BI16,0))</f>
        <v>3.18242720078217</v>
      </c>
      <c r="BO16" s="46" t="n">
        <f aca="false">IF($C16="","",IF(BH16&gt;0,BI16/BH16,"No recupera"))</f>
        <v>2.39095614100106</v>
      </c>
      <c r="BP16" s="46" t="n">
        <f aca="false">IF($C16="","",IF(BH16&lt;=0,"No recupera",IF(R16=0,BI16/BH16,IFERROR(-LN(1-BI16*R16/BH16)/LN(1+R16),"No recupera"))))</f>
        <v>2.86692955864995</v>
      </c>
      <c r="BQ16" s="54" t="n">
        <f aca="false">IF($C16="","",BH16-BI16/BJ16)</f>
        <v>1004.10448801912</v>
      </c>
      <c r="BR16" s="51" t="str">
        <f aca="false">IF($C16="","",IF(BL16&gt;1,"ACEPTABLE","NO ACEPTABLE"))</f>
        <v>ACEPTABLE</v>
      </c>
      <c r="BS16" s="56" t="str">
        <f aca="false">IF($C16="","",IF(ISNUMBER(AF16),IF(AF16&lt;0,IF(LEFT(AM16,4)="APTO","RUL&lt;0 con FFS apto: verificar","RUL&lt;0"),""),""))</f>
        <v>RUL&lt;0 con FFS apto: verificar</v>
      </c>
      <c r="BT16" s="54" t="n">
        <f aca="false">IF($C16="","",-$BI16+IF($R16=0,$BH16*MIN(BT$15,Horiz),$BH16*(1-(1+$R16)^(-MIN(BT$15,Horiz)))/$R16))</f>
        <v>-3930</v>
      </c>
      <c r="BU16" s="54" t="n">
        <f aca="false">IF($C16="","",-$BI16+IF($R16=0,$BH16*MIN(BU$15,Horiz),$BH16*(1-(1+$R16)^(-MIN(BU$15,Horiz)))/$R16))</f>
        <v>-2435.73282735692</v>
      </c>
      <c r="BV16" s="54" t="n">
        <f aca="false">IF($C16="","",-$BI16+IF($R16=0,$BH16*MIN(BV$15,Horiz),$BH16*(1-(1+$R16)^(-MIN(BV$15,Horiz)))/$R16))</f>
        <v>-1077.30812495411</v>
      </c>
      <c r="BW16" s="54" t="n">
        <f aca="false">IF($C16="","",-$BI16+IF($R16=0,$BH16*MIN(BW$15,Horiz),$BH16*(1-(1+$R16)^(-MIN(BW$15,Horiz)))/$R16))</f>
        <v>157.623422684805</v>
      </c>
      <c r="BX16" s="54" t="n">
        <f aca="false">IF($C16="","",-$BI16+IF($R16=0,$BH16*MIN(BX$15,Horiz),$BH16*(1-(1+$R16)^(-MIN(BX$15,Horiz)))/$R16))</f>
        <v>1280.28846599291</v>
      </c>
      <c r="BY16" s="54" t="n">
        <f aca="false">IF($C16="","",-$BI16+IF($R16=0,$BH16*MIN(BY$15,Horiz),$BH16*(1-(1+$R16)^(-MIN(BY$15,Horiz)))/$R16))</f>
        <v>2300.89305081846</v>
      </c>
      <c r="BZ16" s="54" t="n">
        <f aca="false">IF($C16="","",-$BI16+IF($R16=0,$BH16*MIN(BZ$15,Horiz),$BH16*(1-(1+$R16)^(-MIN(BZ$15,Horiz)))/$R16))</f>
        <v>3228.71540065986</v>
      </c>
      <c r="CA16" s="54" t="n">
        <f aca="false">IF($C16="","",-$BI16+IF($R16=0,$BH16*MIN(CA$15,Horiz),$BH16*(1-(1+$R16)^(-MIN(CA$15,Horiz)))/$R16))</f>
        <v>4072.19026415205</v>
      </c>
      <c r="CB16" s="54" t="n">
        <f aca="false">IF($C16="","",-$BI16+IF($R16=0,$BH16*MIN(CB$15,Horiz),$BH16*(1-(1+$R16)^(-MIN(CB$15,Horiz)))/$R16))</f>
        <v>4838.9855945995</v>
      </c>
      <c r="CC16" s="54" t="n">
        <f aca="false">IF($C16="","",-$BI16+IF($R16=0,$BH16*MIN(CC$15,Horiz),$BH16*(1-(1+$R16)^(-MIN(CC$15,Horiz)))/$R16))</f>
        <v>5536.07225864263</v>
      </c>
      <c r="CD16" s="54" t="n">
        <f aca="false">IF($C16="","",-$BI16+IF($R16=0,$BH16*MIN(CD$15,Horiz),$BH16*(1-(1+$R16)^(-MIN(CD$15,Horiz)))/$R16))</f>
        <v>6169.78740777275</v>
      </c>
      <c r="CE16" s="54" t="n">
        <f aca="false">IF($C16="","",-$BI16+IF($R16=0,$BH16*MIN(CE$15,Horiz),$BH16*(1-(1+$R16)^(-MIN(CE$15,Horiz)))/$R16))</f>
        <v>6169.78740777275</v>
      </c>
      <c r="CF16" s="54" t="n">
        <f aca="false">IF($C16="","",-$BI16+IF($R16=0,$BH16*MIN(CF$15,Horiz),$BH16*(1-(1+$R16)^(-MIN(CF$15,Horiz)))/$R16))</f>
        <v>6169.78740777275</v>
      </c>
      <c r="CG16" s="54" t="n">
        <f aca="false">IF($C16="","",-$BI16+IF($R16=0,$BH16*MIN(CG$15,Horiz),$BH16*(1-(1+$R16)^(-MIN(CG$15,Horiz)))/$R16))</f>
        <v>6169.78740777275</v>
      </c>
      <c r="CH16" s="54" t="n">
        <f aca="false">IF($C16="","",-$BI16+IF($R16=0,$BH16*MIN(CH$15,Horiz),$BH16*(1-(1+$R16)^(-MIN(CH$15,Horiz)))/$R16))</f>
        <v>6169.78740777275</v>
      </c>
      <c r="CI16" s="54" t="n">
        <f aca="false">IF($C16="","",-$BI16+IF($R16=0,$BH16*MIN(CI$15,Horiz),$BH16*(1-(1+$R16)^(-MIN(CI$15,Horiz)))/$R16))</f>
        <v>6169.78740777275</v>
      </c>
    </row>
    <row r="17" customFormat="false" ht="15" hidden="false" customHeight="false" outlineLevel="0" collapsed="false">
      <c r="A17" s="34" t="n">
        <v>2</v>
      </c>
      <c r="B17" s="35" t="s">
        <v>123</v>
      </c>
      <c r="C17" s="36" t="s">
        <v>124</v>
      </c>
      <c r="D17" s="35" t="s">
        <v>125</v>
      </c>
      <c r="E17" s="35" t="s">
        <v>126</v>
      </c>
      <c r="F17" s="37" t="n">
        <v>65</v>
      </c>
      <c r="G17" s="37" t="n">
        <v>380</v>
      </c>
      <c r="H17" s="38" t="n">
        <v>62</v>
      </c>
      <c r="I17" s="39" t="n">
        <v>0.08</v>
      </c>
      <c r="J17" s="40" t="n">
        <v>50</v>
      </c>
      <c r="K17" s="37" t="n">
        <v>2019</v>
      </c>
      <c r="L17" s="35" t="s">
        <v>127</v>
      </c>
      <c r="M17" s="36" t="s">
        <v>128</v>
      </c>
      <c r="N17" s="41"/>
      <c r="O17" s="42" t="n">
        <v>12000000</v>
      </c>
      <c r="P17" s="43" t="n">
        <v>0.6</v>
      </c>
      <c r="Q17" s="42" t="n">
        <v>45000</v>
      </c>
      <c r="R17" s="44" t="n">
        <v>0.1</v>
      </c>
      <c r="S17" s="36" t="s">
        <v>129</v>
      </c>
      <c r="T17" s="37" t="n">
        <v>2</v>
      </c>
      <c r="U17" s="36" t="s">
        <v>120</v>
      </c>
      <c r="V17" s="36" t="s">
        <v>121</v>
      </c>
      <c r="W17" s="42"/>
      <c r="X17" s="37" t="n">
        <v>6</v>
      </c>
      <c r="Y17" s="37" t="n">
        <v>12</v>
      </c>
      <c r="Z17" s="42" t="n">
        <v>800000</v>
      </c>
      <c r="AA17" s="37" t="n">
        <v>3</v>
      </c>
      <c r="AB17" s="36" t="s">
        <v>130</v>
      </c>
      <c r="AC17" s="37" t="n">
        <v>1</v>
      </c>
      <c r="AD17" s="36" t="s">
        <v>130</v>
      </c>
      <c r="AE17" s="45" t="n">
        <f aca="false">IF($C17="","",AnioEval-K17)</f>
        <v>7</v>
      </c>
      <c r="AF17" s="46" t="n">
        <f aca="false">IF($C17="","",IF(AND(ISNUMBER(J17),I17&gt;0),(H17-J17)/(I17*SensCR)-AE17,"n/d"))</f>
        <v>143</v>
      </c>
      <c r="AG17" s="47" t="n">
        <f aca="false">IF($C17="","",IFERROR(I17*SensCR*AE17/H17,0))</f>
        <v>0.00903225806451613</v>
      </c>
      <c r="AH17" s="48" t="n">
        <f aca="false">IF($C17="","",IF(INDEX(MecTipo,MATCH(L17,MecList,0))="F",IFERROR(INDEX(SusDF,MATCH(M17,SusList,0)),1),LOOKUP(AG17,ArtLim,ArtDF)))</f>
        <v>100</v>
      </c>
      <c r="AI17" s="48" t="n">
        <f aca="false">IF($C17="","",IF(ISNUMBER(N17),N17,AH17))</f>
        <v>100</v>
      </c>
      <c r="AJ17" s="49" t="n">
        <f aca="false">IF($C17="","",INDEX(GFFval,MATCH(D17,GFFtipo,0)))</f>
        <v>3.06E-005</v>
      </c>
      <c r="AK17" s="49" t="n">
        <f aca="false">IF($C17="","",AJ17*AI17*FMS)</f>
        <v>0.000967656964011524</v>
      </c>
      <c r="AL17" s="50" t="n">
        <f aca="false">IF($C17="","",AK17*O17)</f>
        <v>11611.8835681383</v>
      </c>
      <c r="AM17" s="51" t="str">
        <f aca="false">IF($C17="","",IF(N(T17)=0,"No requerido",IF(AND(U17="Apto",V17="Pasa"),"APTO/PASA",IF(AND(U17="Apto con limitaciones",V17="Pasa"),"APTO CON LIMITACIONES",IF(U17="No apto","NO APTO/REPARAR","REVISAR")))))</f>
        <v>APTO/PASA</v>
      </c>
      <c r="AN17" s="48" t="n">
        <f aca="false">IF($C17="","",IF(AM17="NO APTO/REPARAR",1,MAX(1,AI17*INDEX(EffRet,MATCH(S17,EffList,0))*INDEX(FFSfac,MATCH(AM17,FFSlist,0)))))</f>
        <v>1.5</v>
      </c>
      <c r="AO17" s="49" t="n">
        <f aca="false">IF($C17="","",AJ17*AN17*FMS)</f>
        <v>1.45148544601729E-005</v>
      </c>
      <c r="AP17" s="50" t="n">
        <f aca="false">IF($C17="","",AO17*O17)</f>
        <v>174.178253522074</v>
      </c>
      <c r="AQ17" s="50" t="n">
        <f aca="false">IF($C17="","",IFERROR(AJ17*FMS*INDEX(DFrep,AA17)*INDEX(FCrep,MATCH(AB17,CatLet,0)),AL17))</f>
        <v>13760.0820282439</v>
      </c>
      <c r="AR17" s="50" t="n">
        <f aca="false">IF($C17="","",IFERROR(AJ17*FMS*INDEX(DFrep,AC17)*INDEX(FCrep,MATCH(AD17,CatLet,0)),AP17))</f>
        <v>305.779600627642</v>
      </c>
      <c r="AS17" s="52" t="str">
        <f aca="false">IF($C17="","",(1+SUMPRODUCT(--(AI17&gt;PcutDF)))&amp;CHOOSE(1+SUMPRODUCT(--(O17&gt;CcutFC)),"A","B","C","D","E"))</f>
        <v>3E</v>
      </c>
      <c r="AT17" s="52" t="str">
        <f aca="false">IF($C17="","",(1+SUMPRODUCT(--(AN17&gt;PcutDF)))&amp;CHOOSE(1+SUMPRODUCT(--(O17&gt;CcutFC)),"A","B","C","D","E"))</f>
        <v>1E</v>
      </c>
      <c r="AU17" s="52" t="str">
        <f aca="false">IF($C17="","",IF(AND(AA17&amp;AB17=AS17,AC17&amp;AD17=AT17),"OK","REVISAR"))</f>
        <v>OK</v>
      </c>
      <c r="AV17" s="45" t="n">
        <f aca="false">IF($C17="","",IFERROR(INDEX(RAMlev,AA17,MATCH(AB17,CatLet,0)),""))</f>
        <v>3</v>
      </c>
      <c r="AW17" s="45" t="n">
        <f aca="false">IF($C17="","",IFERROR(INDEX(RAMlev,AC17,MATCH(AD17,CatLet,0)),""))</f>
        <v>2</v>
      </c>
      <c r="AX17" s="52" t="str">
        <f aca="false">IF($C17="","",IF(AW17="","",IF(AW17&lt;=ObjNivel,"Cumple","Excede")))</f>
        <v>Cumple</v>
      </c>
      <c r="AY17" s="50" t="n">
        <f aca="false">IF($C17="","",IF(Base="RAM",AQ17,AL17))</f>
        <v>11611.8835681383</v>
      </c>
      <c r="AZ17" s="50" t="n">
        <f aca="false">IF($C17="","",IF(Base="RAM",AR17,AP17))</f>
        <v>174.178253522074</v>
      </c>
      <c r="BA17" s="50" t="n">
        <f aca="false">IF($C17="","",AY17-AZ17)</f>
        <v>11437.7053146162</v>
      </c>
      <c r="BB17" s="50" t="n">
        <f aca="false">IF($C17="","",BA17*N(P17))</f>
        <v>6862.62318876973</v>
      </c>
      <c r="BC17" s="50" t="n">
        <f aca="false">IF($C17="","",BA17-BB17)</f>
        <v>4575.08212584649</v>
      </c>
      <c r="BD17" s="50" t="n">
        <f aca="false">IF($C17="","",IFERROR(Q17*(1/X17-1/Y17),0))</f>
        <v>3750</v>
      </c>
      <c r="BE17" s="50" t="n">
        <f aca="false">IF($C17="","",IFERROR(Z17*(1/X17-1/Y17),0))</f>
        <v>66666.6666666667</v>
      </c>
      <c r="BF17" s="50" t="n">
        <f aca="false">IF($C17="","",IFERROR((Q17+Z17)/X17,0))</f>
        <v>140833.333333333</v>
      </c>
      <c r="BG17" s="50" t="n">
        <f aca="false">IF($C17="","",IFERROR((Q17+Z17)/Y17,0))</f>
        <v>70416.6666666667</v>
      </c>
      <c r="BH17" s="50" t="n">
        <f aca="false">IF($C17="","",BA17+BD17+BE17)</f>
        <v>81854.3719812829</v>
      </c>
      <c r="BI17" s="50" t="n">
        <f aca="false">IF($C17="","",Q17+INDEX(FFScost,N(T17)+1)+IF(OR(AM17="NO APTO/REPARAR",AM17="APTO CON LIMITACIONES"),N(W17),0)+RBIimpl)</f>
        <v>60210</v>
      </c>
      <c r="BJ17" s="47" t="n">
        <f aca="false">IF($C17="","",IF(R17=0,Horiz,(1-(1+R17)^(-Horiz))/R17))</f>
        <v>6.14456710570469</v>
      </c>
      <c r="BK17" s="50" t="n">
        <f aca="false">IF($C17="","",BH17*BJ17)</f>
        <v>502959.681534306</v>
      </c>
      <c r="BL17" s="53" t="n">
        <f aca="false">IF($C17="","",IFERROR(BK17/BI17,0))</f>
        <v>8.35342437359751</v>
      </c>
      <c r="BM17" s="54" t="n">
        <f aca="false">IF($C17="","",BK17-BI17)</f>
        <v>442749.681534306</v>
      </c>
      <c r="BN17" s="55" t="n">
        <f aca="false">IF($C17="","",IFERROR((Horiz*BH17-BI17)/BI17,0))</f>
        <v>12.5948134830232</v>
      </c>
      <c r="BO17" s="46" t="n">
        <f aca="false">IF($C17="","",IF(BH17&gt;0,BI17/BH17,"No recupera"))</f>
        <v>0.735574637525383</v>
      </c>
      <c r="BP17" s="46" t="n">
        <f aca="false">IF($C17="","",IF(BH17&lt;=0,"No recupera",IF(R17=0,BI17/BH17,IFERROR(-LN(1-BI17*R17/BH17)/LN(1+R17),"No recupera"))))</f>
        <v>0.801627462416959</v>
      </c>
      <c r="BQ17" s="54" t="n">
        <f aca="false">IF($C17="","",BH17-BI17/BJ17)</f>
        <v>72055.4717554069</v>
      </c>
      <c r="BR17" s="51" t="str">
        <f aca="false">IF($C17="","",IF(BL17&gt;1,"ACEPTABLE","NO ACEPTABLE"))</f>
        <v>ACEPTABLE</v>
      </c>
      <c r="BS17" s="56" t="str">
        <f aca="false">IF($C17="","",IF(ISNUMBER(AF17),IF(AF17&lt;0,IF(LEFT(AM17,4)="APTO","RUL&lt;0 con FFS apto: verificar","RUL&lt;0"),""),""))</f>
        <v/>
      </c>
      <c r="BT17" s="54" t="n">
        <f aca="false">IF($C17="","",-$BI17+IF($R17=0,$BH17*MIN(BT$15,Horiz),$BH17*(1-(1+$R17)^(-MIN(BT$15,Horiz)))/$R17))</f>
        <v>-60210</v>
      </c>
      <c r="BU17" s="54" t="n">
        <f aca="false">IF($C17="","",-$BI17+IF($R17=0,$BH17*MIN(BU$15,Horiz),$BH17*(1-(1+$R17)^(-MIN(BU$15,Horiz)))/$R17))</f>
        <v>14203.0654375299</v>
      </c>
      <c r="BV17" s="54" t="n">
        <f aca="false">IF($C17="","",-$BI17+IF($R17=0,$BH17*MIN(BV$15,Horiz),$BH17*(1-(1+$R17)^(-MIN(BV$15,Horiz)))/$R17))</f>
        <v>81851.3067443753</v>
      </c>
      <c r="BW17" s="54" t="n">
        <f aca="false">IF($C17="","",-$BI17+IF($R17=0,$BH17*MIN(BW$15,Horiz),$BH17*(1-(1+$R17)^(-MIN(BW$15,Horiz)))/$R17))</f>
        <v>143349.707932417</v>
      </c>
      <c r="BX17" s="54" t="n">
        <f aca="false">IF($C17="","",-$BI17+IF($R17=0,$BH17*MIN(BX$15,Horiz),$BH17*(1-(1+$R17)^(-MIN(BX$15,Horiz)))/$R17))</f>
        <v>199257.34537609</v>
      </c>
      <c r="BY17" s="54" t="n">
        <f aca="false">IF($C17="","",-$BI17+IF($R17=0,$BH17*MIN(BY$15,Horiz),$BH17*(1-(1+$R17)^(-MIN(BY$15,Horiz)))/$R17))</f>
        <v>250082.470324885</v>
      </c>
      <c r="BZ17" s="54" t="n">
        <f aca="false">IF($C17="","",-$BI17+IF($R17=0,$BH17*MIN(BZ$15,Horiz),$BH17*(1-(1+$R17)^(-MIN(BZ$15,Horiz)))/$R17))</f>
        <v>296287.129369243</v>
      </c>
      <c r="CA17" s="54" t="n">
        <f aca="false">IF($C17="","",-$BI17+IF($R17=0,$BH17*MIN(CA$15,Horiz),$BH17*(1-(1+$R17)^(-MIN(CA$15,Horiz)))/$R17))</f>
        <v>338291.364864115</v>
      </c>
      <c r="CB17" s="54" t="n">
        <f aca="false">IF($C17="","",-$BI17+IF($R17=0,$BH17*MIN(CB$15,Horiz),$BH17*(1-(1+$R17)^(-MIN(CB$15,Horiz)))/$R17))</f>
        <v>376477.033495816</v>
      </c>
      <c r="CC17" s="54" t="n">
        <f aca="false">IF($C17="","",-$BI17+IF($R17=0,$BH17*MIN(CC$15,Horiz),$BH17*(1-(1+$R17)^(-MIN(CC$15,Horiz)))/$R17))</f>
        <v>411191.277706454</v>
      </c>
      <c r="CD17" s="54" t="n">
        <f aca="false">IF($C17="","",-$BI17+IF($R17=0,$BH17*MIN(CD$15,Horiz),$BH17*(1-(1+$R17)^(-MIN(CD$15,Horiz)))/$R17))</f>
        <v>442749.681534306</v>
      </c>
      <c r="CE17" s="54" t="n">
        <f aca="false">IF($C17="","",-$BI17+IF($R17=0,$BH17*MIN(CE$15,Horiz),$BH17*(1-(1+$R17)^(-MIN(CE$15,Horiz)))/$R17))</f>
        <v>442749.681534306</v>
      </c>
      <c r="CF17" s="54" t="n">
        <f aca="false">IF($C17="","",-$BI17+IF($R17=0,$BH17*MIN(CF$15,Horiz),$BH17*(1-(1+$R17)^(-MIN(CF$15,Horiz)))/$R17))</f>
        <v>442749.681534306</v>
      </c>
      <c r="CG17" s="54" t="n">
        <f aca="false">IF($C17="","",-$BI17+IF($R17=0,$BH17*MIN(CG$15,Horiz),$BH17*(1-(1+$R17)^(-MIN(CG$15,Horiz)))/$R17))</f>
        <v>442749.681534306</v>
      </c>
      <c r="CH17" s="54" t="n">
        <f aca="false">IF($C17="","",-$BI17+IF($R17=0,$BH17*MIN(CH$15,Horiz),$BH17*(1-(1+$R17)^(-MIN(CH$15,Horiz)))/$R17))</f>
        <v>442749.681534306</v>
      </c>
      <c r="CI17" s="54" t="n">
        <f aca="false">IF($C17="","",-$BI17+IF($R17=0,$BH17*MIN(CI$15,Horiz),$BH17*(1-(1+$R17)^(-MIN(CI$15,Horiz)))/$R17))</f>
        <v>442749.681534306</v>
      </c>
    </row>
    <row r="18" customFormat="false" ht="15" hidden="false" customHeight="false" outlineLevel="0" collapsed="false">
      <c r="A18" s="34" t="n">
        <v>3</v>
      </c>
      <c r="B18" s="35" t="s">
        <v>114</v>
      </c>
      <c r="C18" s="36" t="s">
        <v>131</v>
      </c>
      <c r="D18" s="35" t="s">
        <v>132</v>
      </c>
      <c r="E18" s="35" t="s">
        <v>133</v>
      </c>
      <c r="F18" s="37" t="n">
        <v>2.5</v>
      </c>
      <c r="G18" s="37" t="n">
        <v>340</v>
      </c>
      <c r="H18" s="38" t="n">
        <v>18</v>
      </c>
      <c r="I18" s="39" t="n">
        <v>0.5</v>
      </c>
      <c r="J18" s="40" t="n">
        <v>12</v>
      </c>
      <c r="K18" s="37" t="n">
        <v>2017</v>
      </c>
      <c r="L18" s="35" t="s">
        <v>134</v>
      </c>
      <c r="M18" s="36"/>
      <c r="N18" s="41"/>
      <c r="O18" s="42" t="n">
        <v>6000000</v>
      </c>
      <c r="P18" s="43" t="n">
        <v>0.5</v>
      </c>
      <c r="Q18" s="42" t="n">
        <v>30000</v>
      </c>
      <c r="R18" s="44" t="n">
        <v>0.1</v>
      </c>
      <c r="S18" s="36" t="s">
        <v>129</v>
      </c>
      <c r="T18" s="37" t="n">
        <v>1</v>
      </c>
      <c r="U18" s="36" t="s">
        <v>135</v>
      </c>
      <c r="V18" s="36" t="s">
        <v>136</v>
      </c>
      <c r="W18" s="42" t="n">
        <v>250000</v>
      </c>
      <c r="X18" s="37" t="n">
        <v>6</v>
      </c>
      <c r="Y18" s="37" t="n">
        <v>8</v>
      </c>
      <c r="Z18" s="42" t="n">
        <v>400000</v>
      </c>
      <c r="AA18" s="37" t="n">
        <v>3</v>
      </c>
      <c r="AB18" s="36" t="s">
        <v>137</v>
      </c>
      <c r="AC18" s="37" t="n">
        <v>1</v>
      </c>
      <c r="AD18" s="36" t="s">
        <v>137</v>
      </c>
      <c r="AE18" s="45" t="n">
        <f aca="false">IF($C18="","",AnioEval-K18)</f>
        <v>9</v>
      </c>
      <c r="AF18" s="46" t="n">
        <f aca="false">IF($C18="","",IF(AND(ISNUMBER(J18),I18&gt;0),(H18-J18)/(I18*SensCR)-AE18,"n/d"))</f>
        <v>3</v>
      </c>
      <c r="AG18" s="47" t="n">
        <f aca="false">IF($C18="","",IFERROR(I18*SensCR*AE18/H18,0))</f>
        <v>0.25</v>
      </c>
      <c r="AH18" s="48" t="n">
        <f aca="false">IF($C18="","",IF(INDEX(MecTipo,MATCH(L18,MecList,0))="F",IFERROR(INDEX(SusDF,MATCH(M18,SusList,0)),1),LOOKUP(AG18,ArtLim,ArtDF)))</f>
        <v>60</v>
      </c>
      <c r="AI18" s="48" t="n">
        <f aca="false">IF($C18="","",IF(ISNUMBER(N18),N18,AH18))</f>
        <v>60</v>
      </c>
      <c r="AJ18" s="49" t="n">
        <f aca="false">IF($C18="","",INDEX(GFFval,MATCH(D18,GFFtipo,0)))</f>
        <v>3.06E-005</v>
      </c>
      <c r="AK18" s="49" t="n">
        <f aca="false">IF($C18="","",AJ18*AI18*FMS)</f>
        <v>0.000580594178406915</v>
      </c>
      <c r="AL18" s="50" t="n">
        <f aca="false">IF($C18="","",AK18*O18)</f>
        <v>3483.56507044149</v>
      </c>
      <c r="AM18" s="51" t="str">
        <f aca="false">IF($C18="","",IF(N(T18)=0,"No requerido",IF(AND(U18="Apto",V18="Pasa"),"APTO/PASA",IF(AND(U18="Apto con limitaciones",V18="Pasa"),"APTO CON LIMITACIONES",IF(U18="No apto","NO APTO/REPARAR","REVISAR")))))</f>
        <v>NO APTO/REPARAR</v>
      </c>
      <c r="AN18" s="48" t="n">
        <f aca="false">IF($C18="","",IF(AM18="NO APTO/REPARAR",1,MAX(1,AI18*INDEX(EffRet,MATCH(S18,EffList,0))*INDEX(FFSfac,MATCH(AM18,FFSlist,0)))))</f>
        <v>1</v>
      </c>
      <c r="AO18" s="49" t="n">
        <f aca="false">IF($C18="","",AJ18*AN18*FMS)</f>
        <v>9.67656964011524E-006</v>
      </c>
      <c r="AP18" s="50" t="n">
        <f aca="false">IF($C18="","",AO18*O18)</f>
        <v>58.0594178406914</v>
      </c>
      <c r="AQ18" s="50" t="n">
        <f aca="false">IF($C18="","",IFERROR(AJ18*FMS*INDEX(DFrep,AA18)*INDEX(FCrep,MATCH(AB18,CatLet,0)),AL18))</f>
        <v>1376.00820282439</v>
      </c>
      <c r="AR18" s="50" t="n">
        <f aca="false">IF($C18="","",IFERROR(AJ18*FMS*INDEX(DFrep,AC18)*INDEX(FCrep,MATCH(AD18,CatLet,0)),AP18))</f>
        <v>30.5779600627642</v>
      </c>
      <c r="AS18" s="52" t="str">
        <f aca="false">IF($C18="","",(1+SUMPRODUCT(--(AI18&gt;PcutDF)))&amp;CHOOSE(1+SUMPRODUCT(--(O18&gt;CcutFC)),"A","B","C","D","E"))</f>
        <v>3D</v>
      </c>
      <c r="AT18" s="52" t="str">
        <f aca="false">IF($C18="","",(1+SUMPRODUCT(--(AN18&gt;PcutDF)))&amp;CHOOSE(1+SUMPRODUCT(--(O18&gt;CcutFC)),"A","B","C","D","E"))</f>
        <v>1D</v>
      </c>
      <c r="AU18" s="52" t="str">
        <f aca="false">IF($C18="","",IF(AND(AA18&amp;AB18=AS18,AC18&amp;AD18=AT18),"OK","REVISAR"))</f>
        <v>OK</v>
      </c>
      <c r="AV18" s="45" t="n">
        <f aca="false">IF($C18="","",IFERROR(INDEX(RAMlev,AA18,MATCH(AB18,CatLet,0)),""))</f>
        <v>3</v>
      </c>
      <c r="AW18" s="45" t="n">
        <f aca="false">IF($C18="","",IFERROR(INDEX(RAMlev,AC18,MATCH(AD18,CatLet,0)),""))</f>
        <v>2</v>
      </c>
      <c r="AX18" s="52" t="str">
        <f aca="false">IF($C18="","",IF(AW18="","",IF(AW18&lt;=ObjNivel,"Cumple","Excede")))</f>
        <v>Cumple</v>
      </c>
      <c r="AY18" s="50" t="n">
        <f aca="false">IF($C18="","",IF(Base="RAM",AQ18,AL18))</f>
        <v>3483.56507044149</v>
      </c>
      <c r="AZ18" s="50" t="n">
        <f aca="false">IF($C18="","",IF(Base="RAM",AR18,AP18))</f>
        <v>58.0594178406914</v>
      </c>
      <c r="BA18" s="50" t="n">
        <f aca="false">IF($C18="","",AY18-AZ18)</f>
        <v>3425.5056526008</v>
      </c>
      <c r="BB18" s="50" t="n">
        <f aca="false">IF($C18="","",BA18*N(P18))</f>
        <v>1712.7528263004</v>
      </c>
      <c r="BC18" s="50" t="n">
        <f aca="false">IF($C18="","",BA18-BB18)</f>
        <v>1712.7528263004</v>
      </c>
      <c r="BD18" s="50" t="n">
        <f aca="false">IF($C18="","",IFERROR(Q18*(1/X18-1/Y18),0))</f>
        <v>1250</v>
      </c>
      <c r="BE18" s="50" t="n">
        <f aca="false">IF($C18="","",IFERROR(Z18*(1/X18-1/Y18),0))</f>
        <v>16666.6666666667</v>
      </c>
      <c r="BF18" s="50" t="n">
        <f aca="false">IF($C18="","",IFERROR((Q18+Z18)/X18,0))</f>
        <v>71666.6666666667</v>
      </c>
      <c r="BG18" s="50" t="n">
        <f aca="false">IF($C18="","",IFERROR((Q18+Z18)/Y18,0))</f>
        <v>53750</v>
      </c>
      <c r="BH18" s="50" t="n">
        <f aca="false">IF($C18="","",BA18+BD18+BE18)</f>
        <v>21342.1723192675</v>
      </c>
      <c r="BI18" s="50" t="n">
        <f aca="false">IF($C18="","",Q18+INDEX(FFScost,N(T18)+1)+IF(OR(AM18="NO APTO/REPARAR",AM18="APTO CON LIMITACIONES"),N(W18),0)+RBIimpl)</f>
        <v>283210</v>
      </c>
      <c r="BJ18" s="47" t="n">
        <f aca="false">IF($C18="","",IF(R18=0,Horiz,(1-(1+R18)^(-Horiz))/R18))</f>
        <v>6.14456710570469</v>
      </c>
      <c r="BK18" s="50" t="n">
        <f aca="false">IF($C18="","",BH18*BJ18)</f>
        <v>131138.409997252</v>
      </c>
      <c r="BL18" s="53" t="n">
        <f aca="false">IF($C18="","",IFERROR(BK18/BI18,0))</f>
        <v>0.463043006946266</v>
      </c>
      <c r="BM18" s="54" t="n">
        <f aca="false">IF($C18="","",BK18-BI18)</f>
        <v>-152071.590002748</v>
      </c>
      <c r="BN18" s="55" t="n">
        <f aca="false">IF($C18="","",IFERROR((Horiz*BH18-BI18)/BI18,0))</f>
        <v>-0.246418829869444</v>
      </c>
      <c r="BO18" s="46" t="n">
        <f aca="false">IF($C18="","",IF(BH18&gt;0,BI18/BH18,"No recupera"))</f>
        <v>13.2699706366967</v>
      </c>
      <c r="BP18" s="46" t="str">
        <f aca="false">IF($C18="","",IF(BH18&lt;=0,"No recupera",IF(R18=0,BI18/BH18,IFERROR(-LN(1-BI18*R18/BH18)/LN(1+R18),"No recupera"))))</f>
        <v>No recupera</v>
      </c>
      <c r="BQ18" s="54" t="n">
        <f aca="false">IF($C18="","",BH18-BI18/BJ18)</f>
        <v>-24748.9509654086</v>
      </c>
      <c r="BR18" s="51" t="str">
        <f aca="false">IF($C18="","",IF(BL18&gt;1,"ACEPTABLE","NO ACEPTABLE"))</f>
        <v>NO ACEPTABLE</v>
      </c>
      <c r="BS18" s="56" t="str">
        <f aca="false">IF($C18="","",IF(ISNUMBER(AF18),IF(AF18&lt;0,IF(LEFT(AM18,4)="APTO","RUL&lt;0 con FFS apto: verificar","RUL&lt;0"),""),""))</f>
        <v/>
      </c>
      <c r="BT18" s="54" t="n">
        <f aca="false">IF($C18="","",-$BI18+IF($R18=0,$BH18*MIN(BT$15,Horiz),$BH18*(1-(1+$R18)^(-MIN(BT$15,Horiz)))/$R18))</f>
        <v>-283210</v>
      </c>
      <c r="BU18" s="54" t="n">
        <f aca="false">IF($C18="","",-$BI18+IF($R18=0,$BH18*MIN(BU$15,Horiz),$BH18*(1-(1+$R18)^(-MIN(BU$15,Horiz)))/$R18))</f>
        <v>-263808.025164302</v>
      </c>
      <c r="BV18" s="54" t="n">
        <f aca="false">IF($C18="","",-$BI18+IF($R18=0,$BH18*MIN(BV$15,Horiz),$BH18*(1-(1+$R18)^(-MIN(BV$15,Horiz)))/$R18))</f>
        <v>-246169.866222759</v>
      </c>
      <c r="BW18" s="54" t="n">
        <f aca="false">IF($C18="","",-$BI18+IF($R18=0,$BH18*MIN(BW$15,Horiz),$BH18*(1-(1+$R18)^(-MIN(BW$15,Horiz)))/$R18))</f>
        <v>-230135.176275901</v>
      </c>
      <c r="BX18" s="54" t="n">
        <f aca="false">IF($C18="","",-$BI18+IF($R18=0,$BH18*MIN(BX$15,Horiz),$BH18*(1-(1+$R18)^(-MIN(BX$15,Horiz)))/$R18))</f>
        <v>-215558.185415122</v>
      </c>
      <c r="BY18" s="54" t="n">
        <f aca="false">IF($C18="","",-$BI18+IF($R18=0,$BH18*MIN(BY$15,Horiz),$BH18*(1-(1+$R18)^(-MIN(BY$15,Horiz)))/$R18))</f>
        <v>-202306.375541686</v>
      </c>
      <c r="BZ18" s="54" t="n">
        <f aca="false">IF($C18="","",-$BI18+IF($R18=0,$BH18*MIN(BZ$15,Horiz),$BH18*(1-(1+$R18)^(-MIN(BZ$15,Horiz)))/$R18))</f>
        <v>-190259.275656744</v>
      </c>
      <c r="CA18" s="54" t="n">
        <f aca="false">IF($C18="","",-$BI18+IF($R18=0,$BH18*MIN(CA$15,Horiz),$BH18*(1-(1+$R18)^(-MIN(CA$15,Horiz)))/$R18))</f>
        <v>-179307.366670433</v>
      </c>
      <c r="CB18" s="54" t="n">
        <f aca="false">IF($C18="","",-$BI18+IF($R18=0,$BH18*MIN(CB$15,Horiz),$BH18*(1-(1+$R18)^(-MIN(CB$15,Horiz)))/$R18))</f>
        <v>-169351.085773787</v>
      </c>
      <c r="CC18" s="54" t="n">
        <f aca="false">IF($C18="","",-$BI18+IF($R18=0,$BH18*MIN(CC$15,Horiz),$BH18*(1-(1+$R18)^(-MIN(CC$15,Horiz)))/$R18))</f>
        <v>-160299.92132229</v>
      </c>
      <c r="CD18" s="54" t="n">
        <f aca="false">IF($C18="","",-$BI18+IF($R18=0,$BH18*MIN(CD$15,Horiz),$BH18*(1-(1+$R18)^(-MIN(CD$15,Horiz)))/$R18))</f>
        <v>-152071.590002748</v>
      </c>
      <c r="CE18" s="54" t="n">
        <f aca="false">IF($C18="","",-$BI18+IF($R18=0,$BH18*MIN(CE$15,Horiz),$BH18*(1-(1+$R18)^(-MIN(CE$15,Horiz)))/$R18))</f>
        <v>-152071.590002748</v>
      </c>
      <c r="CF18" s="54" t="n">
        <f aca="false">IF($C18="","",-$BI18+IF($R18=0,$BH18*MIN(CF$15,Horiz),$BH18*(1-(1+$R18)^(-MIN(CF$15,Horiz)))/$R18))</f>
        <v>-152071.590002748</v>
      </c>
      <c r="CG18" s="54" t="n">
        <f aca="false">IF($C18="","",-$BI18+IF($R18=0,$BH18*MIN(CG$15,Horiz),$BH18*(1-(1+$R18)^(-MIN(CG$15,Horiz)))/$R18))</f>
        <v>-152071.590002748</v>
      </c>
      <c r="CH18" s="54" t="n">
        <f aca="false">IF($C18="","",-$BI18+IF($R18=0,$BH18*MIN(CH$15,Horiz),$BH18*(1-(1+$R18)^(-MIN(CH$15,Horiz)))/$R18))</f>
        <v>-152071.590002748</v>
      </c>
      <c r="CI18" s="54" t="n">
        <f aca="false">IF($C18="","",-$BI18+IF($R18=0,$BH18*MIN(CI$15,Horiz),$BH18*(1-(1+$R18)^(-MIN(CI$15,Horiz)))/$R18))</f>
        <v>-152071.590002748</v>
      </c>
    </row>
    <row r="19" customFormat="false" ht="15" hidden="false" customHeight="false" outlineLevel="0" collapsed="false">
      <c r="A19" s="34" t="n">
        <v>4</v>
      </c>
      <c r="B19" s="35" t="s">
        <v>138</v>
      </c>
      <c r="C19" s="36" t="s">
        <v>139</v>
      </c>
      <c r="D19" s="35" t="s">
        <v>140</v>
      </c>
      <c r="E19" s="35" t="s">
        <v>141</v>
      </c>
      <c r="F19" s="37" t="n">
        <v>30</v>
      </c>
      <c r="G19" s="37" t="n">
        <v>480</v>
      </c>
      <c r="H19" s="38" t="n">
        <v>7.1</v>
      </c>
      <c r="I19" s="39" t="n">
        <v>0.3</v>
      </c>
      <c r="J19" s="40" t="n">
        <v>5</v>
      </c>
      <c r="K19" s="37" t="n">
        <v>2020</v>
      </c>
      <c r="L19" s="35" t="s">
        <v>134</v>
      </c>
      <c r="M19" s="36"/>
      <c r="N19" s="41"/>
      <c r="O19" s="42" t="n">
        <v>4500000</v>
      </c>
      <c r="P19" s="43" t="n">
        <v>0.55</v>
      </c>
      <c r="Q19" s="42" t="n">
        <v>18000</v>
      </c>
      <c r="R19" s="44" t="n">
        <v>0.1</v>
      </c>
      <c r="S19" s="36" t="s">
        <v>122</v>
      </c>
      <c r="T19" s="37" t="n">
        <v>1</v>
      </c>
      <c r="U19" s="36" t="s">
        <v>142</v>
      </c>
      <c r="V19" s="36" t="s">
        <v>121</v>
      </c>
      <c r="W19" s="42" t="n">
        <v>20000</v>
      </c>
      <c r="X19" s="37" t="n">
        <v>4</v>
      </c>
      <c r="Y19" s="37" t="n">
        <v>6</v>
      </c>
      <c r="Z19" s="42" t="n">
        <v>250000</v>
      </c>
      <c r="AA19" s="37" t="n">
        <v>3</v>
      </c>
      <c r="AB19" s="36" t="s">
        <v>137</v>
      </c>
      <c r="AC19" s="37" t="n">
        <v>2</v>
      </c>
      <c r="AD19" s="36" t="s">
        <v>137</v>
      </c>
      <c r="AE19" s="45" t="n">
        <f aca="false">IF($C19="","",AnioEval-K19)</f>
        <v>6</v>
      </c>
      <c r="AF19" s="46" t="n">
        <f aca="false">IF($C19="","",IF(AND(ISNUMBER(J19),I19&gt;0),(H19-J19)/(I19*SensCR)-AE19,"n/d"))</f>
        <v>0.999999999999999</v>
      </c>
      <c r="AG19" s="47" t="n">
        <f aca="false">IF($C19="","",IFERROR(I19*SensCR*AE19/H19,0))</f>
        <v>0.253521126760563</v>
      </c>
      <c r="AH19" s="48" t="n">
        <f aca="false">IF($C19="","",IF(INDEX(MecTipo,MATCH(L19,MecList,0))="F",IFERROR(INDEX(SusDF,MATCH(M19,SusList,0)),1),LOOKUP(AG19,ArtLim,ArtDF)))</f>
        <v>60</v>
      </c>
      <c r="AI19" s="48" t="n">
        <f aca="false">IF($C19="","",IF(ISNUMBER(N19),N19,AH19))</f>
        <v>60</v>
      </c>
      <c r="AJ19" s="49" t="n">
        <f aca="false">IF($C19="","",INDEX(GFFval,MATCH(D19,GFFtipo,0)))</f>
        <v>3.06E-005</v>
      </c>
      <c r="AK19" s="49" t="n">
        <f aca="false">IF($C19="","",AJ19*AI19*FMS)</f>
        <v>0.000580594178406915</v>
      </c>
      <c r="AL19" s="50" t="n">
        <f aca="false">IF($C19="","",AK19*O19)</f>
        <v>2612.67380283112</v>
      </c>
      <c r="AM19" s="51" t="str">
        <f aca="false">IF($C19="","",IF(N(T19)=0,"No requerido",IF(AND(U19="Apto",V19="Pasa"),"APTO/PASA",IF(AND(U19="Apto con limitaciones",V19="Pasa"),"APTO CON LIMITACIONES",IF(U19="No apto","NO APTO/REPARAR","REVISAR")))))</f>
        <v>APTO CON LIMITACIONES</v>
      </c>
      <c r="AN19" s="48" t="n">
        <f aca="false">IF($C19="","",IF(AM19="NO APTO/REPARAR",1,MAX(1,AI19*INDEX(EffRet,MATCH(S19,EffList,0))*INDEX(FFSfac,MATCH(AM19,FFSlist,0)))))</f>
        <v>9</v>
      </c>
      <c r="AO19" s="49" t="n">
        <f aca="false">IF($C19="","",AJ19*AN19*FMS)</f>
        <v>8.70891267610372E-005</v>
      </c>
      <c r="AP19" s="50" t="n">
        <f aca="false">IF($C19="","",AO19*O19)</f>
        <v>391.901070424667</v>
      </c>
      <c r="AQ19" s="50" t="n">
        <f aca="false">IF($C19="","",IFERROR(AJ19*FMS*INDEX(DFrep,AA19)*INDEX(FCrep,MATCH(AB19,CatLet,0)),AL19))</f>
        <v>1376.00820282439</v>
      </c>
      <c r="AR19" s="50" t="n">
        <f aca="false">IF($C19="","",IFERROR(AJ19*FMS*INDEX(DFrep,AC19)*INDEX(FCrep,MATCH(AD19,CatLet,0)),AP19))</f>
        <v>183.467760376585</v>
      </c>
      <c r="AS19" s="52" t="str">
        <f aca="false">IF($C19="","",(1+SUMPRODUCT(--(AI19&gt;PcutDF)))&amp;CHOOSE(1+SUMPRODUCT(--(O19&gt;CcutFC)),"A","B","C","D","E"))</f>
        <v>3D</v>
      </c>
      <c r="AT19" s="52" t="str">
        <f aca="false">IF($C19="","",(1+SUMPRODUCT(--(AN19&gt;PcutDF)))&amp;CHOOSE(1+SUMPRODUCT(--(O19&gt;CcutFC)),"A","B","C","D","E"))</f>
        <v>2D</v>
      </c>
      <c r="AU19" s="52" t="str">
        <f aca="false">IF($C19="","",IF(AND(AA19&amp;AB19=AS19,AC19&amp;AD19=AT19),"OK","REVISAR"))</f>
        <v>OK</v>
      </c>
      <c r="AV19" s="45" t="n">
        <f aca="false">IF($C19="","",IFERROR(INDEX(RAMlev,AA19,MATCH(AB19,CatLet,0)),""))</f>
        <v>3</v>
      </c>
      <c r="AW19" s="45" t="n">
        <f aca="false">IF($C19="","",IFERROR(INDEX(RAMlev,AC19,MATCH(AD19,CatLet,0)),""))</f>
        <v>2</v>
      </c>
      <c r="AX19" s="52" t="str">
        <f aca="false">IF($C19="","",IF(AW19="","",IF(AW19&lt;=ObjNivel,"Cumple","Excede")))</f>
        <v>Cumple</v>
      </c>
      <c r="AY19" s="50" t="n">
        <f aca="false">IF($C19="","",IF(Base="RAM",AQ19,AL19))</f>
        <v>2612.67380283112</v>
      </c>
      <c r="AZ19" s="50" t="n">
        <f aca="false">IF($C19="","",IF(Base="RAM",AR19,AP19))</f>
        <v>391.901070424667</v>
      </c>
      <c r="BA19" s="50" t="n">
        <f aca="false">IF($C19="","",AY19-AZ19)</f>
        <v>2220.77273240645</v>
      </c>
      <c r="BB19" s="50" t="n">
        <f aca="false">IF($C19="","",BA19*N(P19))</f>
        <v>1221.42500282355</v>
      </c>
      <c r="BC19" s="50" t="n">
        <f aca="false">IF($C19="","",BA19-BB19)</f>
        <v>999.347729582902</v>
      </c>
      <c r="BD19" s="50" t="n">
        <f aca="false">IF($C19="","",IFERROR(Q19*(1/X19-1/Y19),0))</f>
        <v>1500</v>
      </c>
      <c r="BE19" s="50" t="n">
        <f aca="false">IF($C19="","",IFERROR(Z19*(1/X19-1/Y19),0))</f>
        <v>20833.3333333333</v>
      </c>
      <c r="BF19" s="50" t="n">
        <f aca="false">IF($C19="","",IFERROR((Q19+Z19)/X19,0))</f>
        <v>67000</v>
      </c>
      <c r="BG19" s="50" t="n">
        <f aca="false">IF($C19="","",IFERROR((Q19+Z19)/Y19,0))</f>
        <v>44666.6666666667</v>
      </c>
      <c r="BH19" s="50" t="n">
        <f aca="false">IF($C19="","",BA19+BD19+BE19)</f>
        <v>24554.1060657398</v>
      </c>
      <c r="BI19" s="50" t="n">
        <f aca="false">IF($C19="","",Q19+INDEX(FFScost,N(T19)+1)+IF(OR(AM19="NO APTO/REPARAR",AM19="APTO CON LIMITACIONES"),N(W19),0)+RBIimpl)</f>
        <v>41210</v>
      </c>
      <c r="BJ19" s="47" t="n">
        <f aca="false">IF($C19="","",IF(R19=0,Horiz,(1-(1+R19)^(-Horiz))/R19))</f>
        <v>6.14456710570469</v>
      </c>
      <c r="BK19" s="50" t="n">
        <f aca="false">IF($C19="","",BH19*BJ19)</f>
        <v>150874.352441529</v>
      </c>
      <c r="BL19" s="53" t="n">
        <f aca="false">IF($C19="","",IFERROR(BK19/BI19,0))</f>
        <v>3.66111022668111</v>
      </c>
      <c r="BM19" s="54" t="n">
        <f aca="false">IF($C19="","",BK19-BI19)</f>
        <v>109664.352441529</v>
      </c>
      <c r="BN19" s="55" t="n">
        <f aca="false">IF($C19="","",IFERROR((Horiz*BH19-BI19)/BI19,0))</f>
        <v>4.95828829549619</v>
      </c>
      <c r="BO19" s="46" t="n">
        <f aca="false">IF($C19="","",IF(BH19&gt;0,BI19/BH19,"No recupera"))</f>
        <v>1.67833436451185</v>
      </c>
      <c r="BP19" s="46" t="n">
        <f aca="false">IF($C19="","",IF(BH19&lt;=0,"No recupera",IF(R19=0,BI19/BH19,IFERROR(-LN(1-BI19*R19/BH19)/LN(1+R19),"No recupera"))))</f>
        <v>1.92762894794326</v>
      </c>
      <c r="BQ19" s="54" t="n">
        <f aca="false">IF($C19="","",BH19-BI19/BJ19)</f>
        <v>17847.3683426315</v>
      </c>
      <c r="BR19" s="51" t="str">
        <f aca="false">IF($C19="","",IF(BL19&gt;1,"ACEPTABLE","NO ACEPTABLE"))</f>
        <v>ACEPTABLE</v>
      </c>
      <c r="BS19" s="56" t="str">
        <f aca="false">IF($C19="","",IF(ISNUMBER(AF19),IF(AF19&lt;0,IF(LEFT(AM19,4)="APTO","RUL&lt;0 con FFS apto: verificar","RUL&lt;0"),""),""))</f>
        <v/>
      </c>
      <c r="BT19" s="54" t="n">
        <f aca="false">IF($C19="","",-$BI19+IF($R19=0,$BH19*MIN(BT$15,Horiz),$BH19*(1-(1+$R19)^(-MIN(BT$15,Horiz)))/$R19))</f>
        <v>-41210</v>
      </c>
      <c r="BU19" s="54" t="n">
        <f aca="false">IF($C19="","",-$BI19+IF($R19=0,$BH19*MIN(BU$15,Horiz),$BH19*(1-(1+$R19)^(-MIN(BU$15,Horiz)))/$R19))</f>
        <v>-18888.085394782</v>
      </c>
      <c r="BV19" s="54" t="n">
        <f aca="false">IF($C19="","",-$BI19+IF($R19=0,$BH19*MIN(BV$15,Horiz),$BH19*(1-(1+$R19)^(-MIN(BV$15,Horiz)))/$R19))</f>
        <v>1404.56424632526</v>
      </c>
      <c r="BW19" s="54" t="n">
        <f aca="false">IF($C19="","",-$BI19+IF($R19=0,$BH19*MIN(BW$15,Horiz),$BH19*(1-(1+$R19)^(-MIN(BW$15,Horiz)))/$R19))</f>
        <v>19852.4275564228</v>
      </c>
      <c r="BX19" s="54" t="n">
        <f aca="false">IF($C19="","",-$BI19+IF($R19=0,$BH19*MIN(BX$15,Horiz),$BH19*(1-(1+$R19)^(-MIN(BX$15,Horiz)))/$R19))</f>
        <v>36623.2123837842</v>
      </c>
      <c r="BY19" s="54" t="n">
        <f aca="false">IF($C19="","",-$BI19+IF($R19=0,$BH19*MIN(BY$15,Horiz),$BH19*(1-(1+$R19)^(-MIN(BY$15,Horiz)))/$R19))</f>
        <v>51869.3804086582</v>
      </c>
      <c r="BZ19" s="54" t="n">
        <f aca="false">IF($C19="","",-$BI19+IF($R19=0,$BH19*MIN(BZ$15,Horiz),$BH19*(1-(1+$R19)^(-MIN(BZ$15,Horiz)))/$R19))</f>
        <v>65729.5331585436</v>
      </c>
      <c r="CA19" s="54" t="n">
        <f aca="false">IF($C19="","",-$BI19+IF($R19=0,$BH19*MIN(CA$15,Horiz),$BH19*(1-(1+$R19)^(-MIN(CA$15,Horiz)))/$R19))</f>
        <v>78329.6720220758</v>
      </c>
      <c r="CB19" s="54" t="n">
        <f aca="false">IF($C19="","",-$BI19+IF($R19=0,$BH19*MIN(CB$15,Horiz),$BH19*(1-(1+$R19)^(-MIN(CB$15,Horiz)))/$R19))</f>
        <v>89784.343716196</v>
      </c>
      <c r="CC19" s="54" t="n">
        <f aca="false">IF($C19="","",-$BI19+IF($R19=0,$BH19*MIN(CC$15,Horiz),$BH19*(1-(1+$R19)^(-MIN(CC$15,Horiz)))/$R19))</f>
        <v>100197.681619942</v>
      </c>
      <c r="CD19" s="54" t="n">
        <f aca="false">IF($C19="","",-$BI19+IF($R19=0,$BH19*MIN(CD$15,Horiz),$BH19*(1-(1+$R19)^(-MIN(CD$15,Horiz)))/$R19))</f>
        <v>109664.352441529</v>
      </c>
      <c r="CE19" s="54" t="n">
        <f aca="false">IF($C19="","",-$BI19+IF($R19=0,$BH19*MIN(CE$15,Horiz),$BH19*(1-(1+$R19)^(-MIN(CE$15,Horiz)))/$R19))</f>
        <v>109664.352441529</v>
      </c>
      <c r="CF19" s="54" t="n">
        <f aca="false">IF($C19="","",-$BI19+IF($R19=0,$BH19*MIN(CF$15,Horiz),$BH19*(1-(1+$R19)^(-MIN(CF$15,Horiz)))/$R19))</f>
        <v>109664.352441529</v>
      </c>
      <c r="CG19" s="54" t="n">
        <f aca="false">IF($C19="","",-$BI19+IF($R19=0,$BH19*MIN(CG$15,Horiz),$BH19*(1-(1+$R19)^(-MIN(CG$15,Horiz)))/$R19))</f>
        <v>109664.352441529</v>
      </c>
      <c r="CH19" s="54" t="n">
        <f aca="false">IF($C19="","",-$BI19+IF($R19=0,$BH19*MIN(CH$15,Horiz),$BH19*(1-(1+$R19)^(-MIN(CH$15,Horiz)))/$R19))</f>
        <v>109664.352441529</v>
      </c>
      <c r="CI19" s="54" t="n">
        <f aca="false">IF($C19="","",-$BI19+IF($R19=0,$BH19*MIN(CI$15,Horiz),$BH19*(1-(1+$R19)^(-MIN(CI$15,Horiz)))/$R19))</f>
        <v>109664.352441529</v>
      </c>
    </row>
    <row r="20" customFormat="false" ht="15" hidden="false" customHeight="false" outlineLevel="0" collapsed="false">
      <c r="A20" s="34" t="n">
        <v>5</v>
      </c>
      <c r="B20" s="35" t="s">
        <v>143</v>
      </c>
      <c r="C20" s="36" t="s">
        <v>144</v>
      </c>
      <c r="D20" s="35" t="s">
        <v>145</v>
      </c>
      <c r="E20" s="35" t="s">
        <v>146</v>
      </c>
      <c r="F20" s="37" t="n">
        <v>8</v>
      </c>
      <c r="G20" s="37" t="n">
        <v>60</v>
      </c>
      <c r="H20" s="38" t="n">
        <v>14</v>
      </c>
      <c r="I20" s="39" t="n">
        <v>0.05</v>
      </c>
      <c r="J20" s="40" t="n">
        <v>10</v>
      </c>
      <c r="K20" s="37" t="n">
        <v>2016</v>
      </c>
      <c r="L20" s="35" t="s">
        <v>147</v>
      </c>
      <c r="M20" s="36" t="s">
        <v>148</v>
      </c>
      <c r="N20" s="41"/>
      <c r="O20" s="42" t="n">
        <v>3000000</v>
      </c>
      <c r="P20" s="43" t="n">
        <v>0.4</v>
      </c>
      <c r="Q20" s="42" t="n">
        <v>22000</v>
      </c>
      <c r="R20" s="44" t="n">
        <v>0.1</v>
      </c>
      <c r="S20" s="36" t="s">
        <v>129</v>
      </c>
      <c r="T20" s="37" t="n">
        <v>2</v>
      </c>
      <c r="U20" s="36" t="s">
        <v>120</v>
      </c>
      <c r="V20" s="36" t="s">
        <v>136</v>
      </c>
      <c r="W20" s="42"/>
      <c r="X20" s="37" t="n">
        <v>6</v>
      </c>
      <c r="Y20" s="37" t="n">
        <v>9</v>
      </c>
      <c r="Z20" s="42" t="n">
        <v>300000</v>
      </c>
      <c r="AA20" s="37" t="n">
        <v>4</v>
      </c>
      <c r="AB20" s="36" t="s">
        <v>137</v>
      </c>
      <c r="AC20" s="37" t="n">
        <v>4</v>
      </c>
      <c r="AD20" s="36" t="s">
        <v>137</v>
      </c>
      <c r="AE20" s="45" t="n">
        <f aca="false">IF($C20="","",AnioEval-K20)</f>
        <v>10</v>
      </c>
      <c r="AF20" s="46" t="n">
        <f aca="false">IF($C20="","",IF(AND(ISNUMBER(J20),I20&gt;0),(H20-J20)/(I20*SensCR)-AE20,"n/d"))</f>
        <v>70</v>
      </c>
      <c r="AG20" s="47" t="n">
        <f aca="false">IF($C20="","",IFERROR(I20*SensCR*AE20/H20,0))</f>
        <v>0.0357142857142857</v>
      </c>
      <c r="AH20" s="48" t="n">
        <f aca="false">IF($C20="","",IF(INDEX(MecTipo,MATCH(L20,MecList,0))="F",IFERROR(INDEX(SusDF,MATCH(M20,SusList,0)),1),LOOKUP(AG20,ArtLim,ArtDF)))</f>
        <v>500</v>
      </c>
      <c r="AI20" s="48" t="n">
        <f aca="false">IF($C20="","",IF(ISNUMBER(N20),N20,AH20))</f>
        <v>500</v>
      </c>
      <c r="AJ20" s="49" t="n">
        <f aca="false">IF($C20="","",INDEX(GFFval,MATCH(D20,GFFtipo,0)))</f>
        <v>3.06E-005</v>
      </c>
      <c r="AK20" s="49" t="n">
        <f aca="false">IF($C20="","",AJ20*AI20*FMS)</f>
        <v>0.00483828482005762</v>
      </c>
      <c r="AL20" s="50" t="n">
        <f aca="false">IF($C20="","",AK20*O20)</f>
        <v>14514.8544601729</v>
      </c>
      <c r="AM20" s="51" t="str">
        <f aca="false">IF($C20="","",IF(N(T20)=0,"No requerido",IF(AND(U20="Apto",V20="Pasa"),"APTO/PASA",IF(AND(U20="Apto con limitaciones",V20="Pasa"),"APTO CON LIMITACIONES",IF(U20="No apto","NO APTO/REPARAR","REVISAR")))))</f>
        <v>REVISAR</v>
      </c>
      <c r="AN20" s="48" t="n">
        <f aca="false">IF($C20="","",IF(AM20="NO APTO/REPARAR",1,MAX(1,AI20*INDEX(EffRet,MATCH(S20,EffList,0))*INDEX(FFSfac,MATCH(AM20,FFSlist,0)))))</f>
        <v>150</v>
      </c>
      <c r="AO20" s="49" t="n">
        <f aca="false">IF($C20="","",AJ20*AN20*FMS)</f>
        <v>0.00145148544601729</v>
      </c>
      <c r="AP20" s="50" t="n">
        <f aca="false">IF($C20="","",AO20*O20)</f>
        <v>4354.45633805186</v>
      </c>
      <c r="AQ20" s="50" t="n">
        <f aca="false">IF($C20="","",IFERROR(AJ20*FMS*INDEX(DFrep,AA20)*INDEX(FCrep,MATCH(AB20,CatLet,0)),AL20))</f>
        <v>9662.63537983348</v>
      </c>
      <c r="AR20" s="50" t="n">
        <f aca="false">IF($C20="","",IFERROR(AJ20*FMS*INDEX(DFrep,AC20)*INDEX(FCrep,MATCH(AD20,CatLet,0)),AP20))</f>
        <v>9662.63537983348</v>
      </c>
      <c r="AS20" s="52" t="str">
        <f aca="false">IF($C20="","",(1+SUMPRODUCT(--(AI20&gt;PcutDF)))&amp;CHOOSE(1+SUMPRODUCT(--(O20&gt;CcutFC)),"A","B","C","D","E"))</f>
        <v>4D</v>
      </c>
      <c r="AT20" s="52" t="str">
        <f aca="false">IF($C20="","",(1+SUMPRODUCT(--(AN20&gt;PcutDF)))&amp;CHOOSE(1+SUMPRODUCT(--(O20&gt;CcutFC)),"A","B","C","D","E"))</f>
        <v>4D</v>
      </c>
      <c r="AU20" s="52" t="str">
        <f aca="false">IF($C20="","",IF(AND(AA20&amp;AB20=AS20,AC20&amp;AD20=AT20),"OK","REVISAR"))</f>
        <v>OK</v>
      </c>
      <c r="AV20" s="45" t="n">
        <f aca="false">IF($C20="","",IFERROR(INDEX(RAMlev,AA20,MATCH(AB20,CatLet,0)),""))</f>
        <v>3</v>
      </c>
      <c r="AW20" s="45" t="n">
        <f aca="false">IF($C20="","",IFERROR(INDEX(RAMlev,AC20,MATCH(AD20,CatLet,0)),""))</f>
        <v>3</v>
      </c>
      <c r="AX20" s="52" t="str">
        <f aca="false">IF($C20="","",IF(AW20="","",IF(AW20&lt;=ObjNivel,"Cumple","Excede")))</f>
        <v>Excede</v>
      </c>
      <c r="AY20" s="50" t="n">
        <f aca="false">IF($C20="","",IF(Base="RAM",AQ20,AL20))</f>
        <v>14514.8544601729</v>
      </c>
      <c r="AZ20" s="50" t="n">
        <f aca="false">IF($C20="","",IF(Base="RAM",AR20,AP20))</f>
        <v>4354.45633805186</v>
      </c>
      <c r="BA20" s="50" t="n">
        <f aca="false">IF($C20="","",AY20-AZ20)</f>
        <v>10160.398122121</v>
      </c>
      <c r="BB20" s="50" t="n">
        <f aca="false">IF($C20="","",BA20*N(P20))</f>
        <v>4064.1592488484</v>
      </c>
      <c r="BC20" s="50" t="n">
        <f aca="false">IF($C20="","",BA20-BB20)</f>
        <v>6096.2388732726</v>
      </c>
      <c r="BD20" s="50" t="n">
        <f aca="false">IF($C20="","",IFERROR(Q20*(1/X20-1/Y20),0))</f>
        <v>1222.22222222222</v>
      </c>
      <c r="BE20" s="50" t="n">
        <f aca="false">IF($C20="","",IFERROR(Z20*(1/X20-1/Y20),0))</f>
        <v>16666.6666666667</v>
      </c>
      <c r="BF20" s="50" t="n">
        <f aca="false">IF($C20="","",IFERROR((Q20+Z20)/X20,0))</f>
        <v>53666.6666666667</v>
      </c>
      <c r="BG20" s="50" t="n">
        <f aca="false">IF($C20="","",IFERROR((Q20+Z20)/Y20,0))</f>
        <v>35777.7777777778</v>
      </c>
      <c r="BH20" s="50" t="n">
        <f aca="false">IF($C20="","",BA20+BD20+BE20)</f>
        <v>28049.2870110099</v>
      </c>
      <c r="BI20" s="50" t="n">
        <f aca="false">IF($C20="","",Q20+INDEX(FFScost,N(T20)+1)+IF(OR(AM20="NO APTO/REPARAR",AM20="APTO CON LIMITACIONES"),N(W20),0)+RBIimpl)</f>
        <v>37210</v>
      </c>
      <c r="BJ20" s="47" t="n">
        <f aca="false">IF($C20="","",IF(R20=0,Horiz,(1-(1+R20)^(-Horiz))/R20))</f>
        <v>6.14456710570469</v>
      </c>
      <c r="BK20" s="50" t="n">
        <f aca="false">IF($C20="","",BH20*BJ20)</f>
        <v>172350.726306321</v>
      </c>
      <c r="BL20" s="53" t="n">
        <f aca="false">IF($C20="","",IFERROR(BK20/BI20,0))</f>
        <v>4.63183892250258</v>
      </c>
      <c r="BM20" s="54" t="n">
        <f aca="false">IF($C20="","",BK20-BI20)</f>
        <v>135140.726306321</v>
      </c>
      <c r="BN20" s="55" t="n">
        <f aca="false">IF($C20="","",IFERROR((Horiz*BH20-BI20)/BI20,0))</f>
        <v>6.53810454474869</v>
      </c>
      <c r="BO20" s="46" t="n">
        <f aca="false">IF($C20="","",IF(BH20&gt;0,BI20/BH20,"No recupera"))</f>
        <v>1.32659343481331</v>
      </c>
      <c r="BP20" s="46" t="n">
        <f aca="false">IF($C20="","",IF(BH20&lt;=0,"No recupera",IF(R20=0,BI20/BH20,IFERROR(-LN(1-BI20*R20/BH20)/LN(1+R20),"No recupera"))))</f>
        <v>1.4932661502819</v>
      </c>
      <c r="BQ20" s="54" t="n">
        <f aca="false">IF($C20="","",BH20-BI20/BJ20)</f>
        <v>21993.5308674316</v>
      </c>
      <c r="BR20" s="51" t="str">
        <f aca="false">IF($C20="","",IF(BL20&gt;1,"ACEPTABLE","NO ACEPTABLE"))</f>
        <v>ACEPTABLE</v>
      </c>
      <c r="BS20" s="56" t="str">
        <f aca="false">IF($C20="","",IF(ISNUMBER(AF20),IF(AF20&lt;0,IF(LEFT(AM20,4)="APTO","RUL&lt;0 con FFS apto: verificar","RUL&lt;0"),""),""))</f>
        <v/>
      </c>
      <c r="BT20" s="54" t="n">
        <f aca="false">IF($C20="","",-$BI20+IF($R20=0,$BH20*MIN(BT$15,Horiz),$BH20*(1-(1+$R20)^(-MIN(BT$15,Horiz)))/$R20))</f>
        <v>-37210</v>
      </c>
      <c r="BU20" s="54" t="n">
        <f aca="false">IF($C20="","",-$BI20+IF($R20=0,$BH20*MIN(BU$15,Horiz),$BH20*(1-(1+$R20)^(-MIN(BU$15,Horiz)))/$R20))</f>
        <v>-11710.6481718092</v>
      </c>
      <c r="BV20" s="54" t="n">
        <f aca="false">IF($C20="","",-$BI20+IF($R20=0,$BH20*MIN(BV$15,Horiz),$BH20*(1-(1+$R20)^(-MIN(BV$15,Horiz)))/$R20))</f>
        <v>11470.5807629097</v>
      </c>
      <c r="BW20" s="54" t="n">
        <f aca="false">IF($C20="","",-$BI20+IF($R20=0,$BH20*MIN(BW$15,Horiz),$BH20*(1-(1+$R20)^(-MIN(BW$15,Horiz)))/$R20))</f>
        <v>32544.4252490179</v>
      </c>
      <c r="BX20" s="54" t="n">
        <f aca="false">IF($C20="","",-$BI20+IF($R20=0,$BH20*MIN(BX$15,Horiz),$BH20*(1-(1+$R20)^(-MIN(BX$15,Horiz)))/$R20))</f>
        <v>51702.4656909343</v>
      </c>
      <c r="BY20" s="54" t="n">
        <f aca="false">IF($C20="","",-$BI20+IF($R20=0,$BH20*MIN(BY$15,Horiz),$BH20*(1-(1+$R20)^(-MIN(BY$15,Horiz)))/$R20))</f>
        <v>69118.8660926766</v>
      </c>
      <c r="BZ20" s="54" t="n">
        <f aca="false">IF($C20="","",-$BI20+IF($R20=0,$BH20*MIN(BZ$15,Horiz),$BH20*(1-(1+$R20)^(-MIN(BZ$15,Horiz)))/$R20))</f>
        <v>84951.9573669877</v>
      </c>
      <c r="CA20" s="54" t="n">
        <f aca="false">IF($C20="","",-$BI20+IF($R20=0,$BH20*MIN(CA$15,Horiz),$BH20*(1-(1+$R20)^(-MIN(CA$15,Horiz)))/$R20))</f>
        <v>99345.6767072706</v>
      </c>
      <c r="CB20" s="54" t="n">
        <f aca="false">IF($C20="","",-$BI20+IF($R20=0,$BH20*MIN(CB$15,Horiz),$BH20*(1-(1+$R20)^(-MIN(CB$15,Horiz)))/$R20))</f>
        <v>112430.876107528</v>
      </c>
      <c r="CC20" s="54" t="n">
        <f aca="false">IF($C20="","",-$BI20+IF($R20=0,$BH20*MIN(CC$15,Horiz),$BH20*(1-(1+$R20)^(-MIN(CC$15,Horiz)))/$R20))</f>
        <v>124326.511925943</v>
      </c>
      <c r="CD20" s="54" t="n">
        <f aca="false">IF($C20="","",-$BI20+IF($R20=0,$BH20*MIN(CD$15,Horiz),$BH20*(1-(1+$R20)^(-MIN(CD$15,Horiz)))/$R20))</f>
        <v>135140.726306321</v>
      </c>
      <c r="CE20" s="54" t="n">
        <f aca="false">IF($C20="","",-$BI20+IF($R20=0,$BH20*MIN(CE$15,Horiz),$BH20*(1-(1+$R20)^(-MIN(CE$15,Horiz)))/$R20))</f>
        <v>135140.726306321</v>
      </c>
      <c r="CF20" s="54" t="n">
        <f aca="false">IF($C20="","",-$BI20+IF($R20=0,$BH20*MIN(CF$15,Horiz),$BH20*(1-(1+$R20)^(-MIN(CF$15,Horiz)))/$R20))</f>
        <v>135140.726306321</v>
      </c>
      <c r="CG20" s="54" t="n">
        <f aca="false">IF($C20="","",-$BI20+IF($R20=0,$BH20*MIN(CG$15,Horiz),$BH20*(1-(1+$R20)^(-MIN(CG$15,Horiz)))/$R20))</f>
        <v>135140.726306321</v>
      </c>
      <c r="CH20" s="54" t="n">
        <f aca="false">IF($C20="","",-$BI20+IF($R20=0,$BH20*MIN(CH$15,Horiz),$BH20*(1-(1+$R20)^(-MIN(CH$15,Horiz)))/$R20))</f>
        <v>135140.726306321</v>
      </c>
      <c r="CI20" s="54" t="n">
        <f aca="false">IF($C20="","",-$BI20+IF($R20=0,$BH20*MIN(CI$15,Horiz),$BH20*(1-(1+$R20)^(-MIN(CI$15,Horiz)))/$R20))</f>
        <v>135140.726306321</v>
      </c>
    </row>
    <row r="21" customFormat="false" ht="15" hidden="false" customHeight="false" outlineLevel="0" collapsed="false">
      <c r="A21" s="34" t="n">
        <v>6</v>
      </c>
      <c r="B21" s="35" t="s">
        <v>114</v>
      </c>
      <c r="C21" s="36" t="s">
        <v>149</v>
      </c>
      <c r="D21" s="35" t="s">
        <v>132</v>
      </c>
      <c r="E21" s="35" t="s">
        <v>150</v>
      </c>
      <c r="F21" s="37" t="n">
        <v>0.1</v>
      </c>
      <c r="G21" s="37" t="n">
        <v>360</v>
      </c>
      <c r="H21" s="38" t="n">
        <v>20</v>
      </c>
      <c r="I21" s="39" t="n">
        <v>0.4</v>
      </c>
      <c r="J21" s="40" t="n">
        <v>15</v>
      </c>
      <c r="K21" s="37" t="n">
        <v>2018</v>
      </c>
      <c r="L21" s="35" t="s">
        <v>151</v>
      </c>
      <c r="M21" s="36"/>
      <c r="N21" s="41"/>
      <c r="O21" s="42" t="n">
        <v>8000000</v>
      </c>
      <c r="P21" s="43" t="n">
        <v>0.55</v>
      </c>
      <c r="Q21" s="42" t="n">
        <v>28000</v>
      </c>
      <c r="R21" s="44" t="n">
        <v>0.1</v>
      </c>
      <c r="S21" s="36" t="s">
        <v>129</v>
      </c>
      <c r="T21" s="37" t="n">
        <v>1</v>
      </c>
      <c r="U21" s="36" t="s">
        <v>120</v>
      </c>
      <c r="V21" s="36" t="s">
        <v>121</v>
      </c>
      <c r="W21" s="42"/>
      <c r="X21" s="37" t="n">
        <v>6</v>
      </c>
      <c r="Y21" s="37" t="n">
        <v>10</v>
      </c>
      <c r="Z21" s="42" t="n">
        <v>500000</v>
      </c>
      <c r="AA21" s="37" t="n">
        <v>2</v>
      </c>
      <c r="AB21" s="36" t="s">
        <v>137</v>
      </c>
      <c r="AC21" s="37" t="n">
        <v>1</v>
      </c>
      <c r="AD21" s="36" t="s">
        <v>137</v>
      </c>
      <c r="AE21" s="45" t="n">
        <f aca="false">IF($C21="","",AnioEval-K21)</f>
        <v>8</v>
      </c>
      <c r="AF21" s="46" t="n">
        <f aca="false">IF($C21="","",IF(AND(ISNUMBER(J21),I21&gt;0),(H21-J21)/(I21*SensCR)-AE21,"n/d"))</f>
        <v>4.5</v>
      </c>
      <c r="AG21" s="47" t="n">
        <f aca="false">IF($C21="","",IFERROR(I21*SensCR*AE21/H21,0))</f>
        <v>0.16</v>
      </c>
      <c r="AH21" s="48" t="n">
        <f aca="false">IF($C21="","",IF(INDEX(MecTipo,MATCH(L21,MecList,0))="F",IFERROR(INDEX(SusDF,MATCH(M21,SusList,0)),1),LOOKUP(AG21,ArtLim,ArtDF)))</f>
        <v>20</v>
      </c>
      <c r="AI21" s="48" t="n">
        <f aca="false">IF($C21="","",IF(ISNUMBER(N21),N21,AH21))</f>
        <v>20</v>
      </c>
      <c r="AJ21" s="49" t="n">
        <f aca="false">IF($C21="","",INDEX(GFFval,MATCH(D21,GFFtipo,0)))</f>
        <v>3.06E-005</v>
      </c>
      <c r="AK21" s="49" t="n">
        <f aca="false">IF($C21="","",AJ21*AI21*FMS)</f>
        <v>0.000193531392802305</v>
      </c>
      <c r="AL21" s="50" t="n">
        <f aca="false">IF($C21="","",AK21*O21)</f>
        <v>1548.25114241844</v>
      </c>
      <c r="AM21" s="51" t="str">
        <f aca="false">IF($C21="","",IF(N(T21)=0,"No requerido",IF(AND(U21="Apto",V21="Pasa"),"APTO/PASA",IF(AND(U21="Apto con limitaciones",V21="Pasa"),"APTO CON LIMITACIONES",IF(U21="No apto","NO APTO/REPARAR","REVISAR")))))</f>
        <v>APTO/PASA</v>
      </c>
      <c r="AN21" s="48" t="n">
        <f aca="false">IF($C21="","",IF(AM21="NO APTO/REPARAR",1,MAX(1,AI21*INDEX(EffRet,MATCH(S21,EffList,0))*INDEX(FFSfac,MATCH(AM21,FFSlist,0)))))</f>
        <v>1</v>
      </c>
      <c r="AO21" s="49" t="n">
        <f aca="false">IF($C21="","",AJ21*AN21*FMS)</f>
        <v>9.67656964011524E-006</v>
      </c>
      <c r="AP21" s="50" t="n">
        <f aca="false">IF($C21="","",AO21*O21)</f>
        <v>77.4125571209219</v>
      </c>
      <c r="AQ21" s="50" t="n">
        <f aca="false">IF($C21="","",IFERROR(AJ21*FMS*INDEX(DFrep,AA21)*INDEX(FCrep,MATCH(AB21,CatLet,0)),AL21))</f>
        <v>183.467760376585</v>
      </c>
      <c r="AR21" s="50" t="n">
        <f aca="false">IF($C21="","",IFERROR(AJ21*FMS*INDEX(DFrep,AC21)*INDEX(FCrep,MATCH(AD21,CatLet,0)),AP21))</f>
        <v>30.5779600627642</v>
      </c>
      <c r="AS21" s="52" t="str">
        <f aca="false">IF($C21="","",(1+SUMPRODUCT(--(AI21&gt;PcutDF)))&amp;CHOOSE(1+SUMPRODUCT(--(O21&gt;CcutFC)),"A","B","C","D","E"))</f>
        <v>2D</v>
      </c>
      <c r="AT21" s="52" t="str">
        <f aca="false">IF($C21="","",(1+SUMPRODUCT(--(AN21&gt;PcutDF)))&amp;CHOOSE(1+SUMPRODUCT(--(O21&gt;CcutFC)),"A","B","C","D","E"))</f>
        <v>1D</v>
      </c>
      <c r="AU21" s="52" t="str">
        <f aca="false">IF($C21="","",IF(AND(AA21&amp;AB21=AS21,AC21&amp;AD21=AT21),"OK","REVISAR"))</f>
        <v>OK</v>
      </c>
      <c r="AV21" s="45" t="n">
        <f aca="false">IF($C21="","",IFERROR(INDEX(RAMlev,AA21,MATCH(AB21,CatLet,0)),""))</f>
        <v>2</v>
      </c>
      <c r="AW21" s="45" t="n">
        <f aca="false">IF($C21="","",IFERROR(INDEX(RAMlev,AC21,MATCH(AD21,CatLet,0)),""))</f>
        <v>2</v>
      </c>
      <c r="AX21" s="52" t="str">
        <f aca="false">IF($C21="","",IF(AW21="","",IF(AW21&lt;=ObjNivel,"Cumple","Excede")))</f>
        <v>Cumple</v>
      </c>
      <c r="AY21" s="50" t="n">
        <f aca="false">IF($C21="","",IF(Base="RAM",AQ21,AL21))</f>
        <v>1548.25114241844</v>
      </c>
      <c r="AZ21" s="50" t="n">
        <f aca="false">IF($C21="","",IF(Base="RAM",AR21,AP21))</f>
        <v>77.4125571209219</v>
      </c>
      <c r="BA21" s="50" t="n">
        <f aca="false">IF($C21="","",AY21-AZ21)</f>
        <v>1470.83858529752</v>
      </c>
      <c r="BB21" s="50" t="n">
        <f aca="false">IF($C21="","",BA21*N(P21))</f>
        <v>808.961221913634</v>
      </c>
      <c r="BC21" s="50" t="n">
        <f aca="false">IF($C21="","",BA21-BB21)</f>
        <v>661.877363383882</v>
      </c>
      <c r="BD21" s="50" t="n">
        <f aca="false">IF($C21="","",IFERROR(Q21*(1/X21-1/Y21),0))</f>
        <v>1866.66666666667</v>
      </c>
      <c r="BE21" s="50" t="n">
        <f aca="false">IF($C21="","",IFERROR(Z21*(1/X21-1/Y21),0))</f>
        <v>33333.3333333333</v>
      </c>
      <c r="BF21" s="50" t="n">
        <f aca="false">IF($C21="","",IFERROR((Q21+Z21)/X21,0))</f>
        <v>88000</v>
      </c>
      <c r="BG21" s="50" t="n">
        <f aca="false">IF($C21="","",IFERROR((Q21+Z21)/Y21,0))</f>
        <v>52800</v>
      </c>
      <c r="BH21" s="50" t="n">
        <f aca="false">IF($C21="","",BA21+BD21+BE21)</f>
        <v>36670.8385852975</v>
      </c>
      <c r="BI21" s="50" t="n">
        <f aca="false">IF($C21="","",Q21+INDEX(FFScost,N(T21)+1)+IF(OR(AM21="NO APTO/REPARAR",AM21="APTO CON LIMITACIONES"),N(W21),0)+RBIimpl)</f>
        <v>31210</v>
      </c>
      <c r="BJ21" s="47" t="n">
        <f aca="false">IF($C21="","",IF(R21=0,Horiz,(1-(1+R21)^(-Horiz))/R21))</f>
        <v>6.14456710570469</v>
      </c>
      <c r="BK21" s="50" t="n">
        <f aca="false">IF($C21="","",BH21*BJ21)</f>
        <v>225326.428509825</v>
      </c>
      <c r="BL21" s="53" t="n">
        <f aca="false">IF($C21="","",IFERROR(BK21/BI21,0))</f>
        <v>7.21968691156121</v>
      </c>
      <c r="BM21" s="54" t="n">
        <f aca="false">IF($C21="","",BK21-BI21)</f>
        <v>194116.428509825</v>
      </c>
      <c r="BN21" s="55" t="n">
        <f aca="false">IF($C21="","",IFERROR((Horiz*BH21-BI21)/BI21,0))</f>
        <v>10.7497079735013</v>
      </c>
      <c r="BO21" s="46" t="n">
        <f aca="false">IF($C21="","",IF(BH21&gt;0,BI21/BH21,"No recupera"))</f>
        <v>0.851084982073823</v>
      </c>
      <c r="BP21" s="46" t="n">
        <f aca="false">IF($C21="","",IF(BH21&lt;=0,"No recupera",IF(R21=0,BI21/BH21,IFERROR(-LN(1-BI21*R21/BH21)/LN(1+R21),"No recupera"))))</f>
        <v>0.933266500975041</v>
      </c>
      <c r="BQ21" s="54" t="n">
        <f aca="false">IF($C21="","",BH21-BI21/BJ21)</f>
        <v>31591.5548110143</v>
      </c>
      <c r="BR21" s="51" t="str">
        <f aca="false">IF($C21="","",IF(BL21&gt;1,"ACEPTABLE","NO ACEPTABLE"))</f>
        <v>ACEPTABLE</v>
      </c>
      <c r="BS21" s="56" t="str">
        <f aca="false">IF($C21="","",IF(ISNUMBER(AF21),IF(AF21&lt;0,IF(LEFT(AM21,4)="APTO","RUL&lt;0 con FFS apto: verificar","RUL&lt;0"),""),""))</f>
        <v/>
      </c>
      <c r="BT21" s="54" t="n">
        <f aca="false">IF($C21="","",-$BI21+IF($R21=0,$BH21*MIN(BT$15,Horiz),$BH21*(1-(1+$R21)^(-MIN(BT$15,Horiz)))/$R21))</f>
        <v>-31210</v>
      </c>
      <c r="BU21" s="54" t="n">
        <f aca="false">IF($C21="","",-$BI21+IF($R21=0,$BH21*MIN(BU$15,Horiz),$BH21*(1-(1+$R21)^(-MIN(BU$15,Horiz)))/$R21))</f>
        <v>2127.12598663411</v>
      </c>
      <c r="BV21" s="54" t="n">
        <f aca="false">IF($C21="","",-$BI21+IF($R21=0,$BH21*MIN(BV$15,Horiz),$BH21*(1-(1+$R21)^(-MIN(BV$15,Horiz)))/$R21))</f>
        <v>32433.6041563015</v>
      </c>
      <c r="BW21" s="54" t="n">
        <f aca="false">IF($C21="","",-$BI21+IF($R21=0,$BH21*MIN(BW$15,Horiz),$BH21*(1-(1+$R21)^(-MIN(BW$15,Horiz)))/$R21))</f>
        <v>59984.9479469082</v>
      </c>
      <c r="BX21" s="54" t="n">
        <f aca="false">IF($C21="","",-$BI21+IF($R21=0,$BH21*MIN(BX$15,Horiz),$BH21*(1-(1+$R21)^(-MIN(BX$15,Horiz)))/$R21))</f>
        <v>85031.624120187</v>
      </c>
      <c r="BY21" s="54" t="n">
        <f aca="false">IF($C21="","",-$BI21+IF($R21=0,$BH21*MIN(BY$15,Horiz),$BH21*(1-(1+$R21)^(-MIN(BY$15,Horiz)))/$R21))</f>
        <v>107801.329732259</v>
      </c>
      <c r="BZ21" s="54" t="n">
        <f aca="false">IF($C21="","",-$BI21+IF($R21=0,$BH21*MIN(BZ$15,Horiz),$BH21*(1-(1+$R21)^(-MIN(BZ$15,Horiz)))/$R21))</f>
        <v>128501.062106869</v>
      </c>
      <c r="CA21" s="54" t="n">
        <f aca="false">IF($C21="","",-$BI21+IF($R21=0,$BH21*MIN(CA$15,Horiz),$BH21*(1-(1+$R21)^(-MIN(CA$15,Horiz)))/$R21))</f>
        <v>147319.000629243</v>
      </c>
      <c r="CB21" s="54" t="n">
        <f aca="false">IF($C21="","",-$BI21+IF($R21=0,$BH21*MIN(CB$15,Horiz),$BH21*(1-(1+$R21)^(-MIN(CB$15,Horiz)))/$R21))</f>
        <v>164426.217467764</v>
      </c>
      <c r="CC21" s="54" t="n">
        <f aca="false">IF($C21="","",-$BI21+IF($R21=0,$BH21*MIN(CC$15,Horiz),$BH21*(1-(1+$R21)^(-MIN(CC$15,Horiz)))/$R21))</f>
        <v>179978.23277551</v>
      </c>
      <c r="CD21" s="54" t="n">
        <f aca="false">IF($C21="","",-$BI21+IF($R21=0,$BH21*MIN(CD$15,Horiz),$BH21*(1-(1+$R21)^(-MIN(CD$15,Horiz)))/$R21))</f>
        <v>194116.428509825</v>
      </c>
      <c r="CE21" s="54" t="n">
        <f aca="false">IF($C21="","",-$BI21+IF($R21=0,$BH21*MIN(CE$15,Horiz),$BH21*(1-(1+$R21)^(-MIN(CE$15,Horiz)))/$R21))</f>
        <v>194116.428509825</v>
      </c>
      <c r="CF21" s="54" t="n">
        <f aca="false">IF($C21="","",-$BI21+IF($R21=0,$BH21*MIN(CF$15,Horiz),$BH21*(1-(1+$R21)^(-MIN(CF$15,Horiz)))/$R21))</f>
        <v>194116.428509825</v>
      </c>
      <c r="CG21" s="54" t="n">
        <f aca="false">IF($C21="","",-$BI21+IF($R21=0,$BH21*MIN(CG$15,Horiz),$BH21*(1-(1+$R21)^(-MIN(CG$15,Horiz)))/$R21))</f>
        <v>194116.428509825</v>
      </c>
      <c r="CH21" s="54" t="n">
        <f aca="false">IF($C21="","",-$BI21+IF($R21=0,$BH21*MIN(CH$15,Horiz),$BH21*(1-(1+$R21)^(-MIN(CH$15,Horiz)))/$R21))</f>
        <v>194116.428509825</v>
      </c>
      <c r="CI21" s="54" t="n">
        <f aca="false">IF($C21="","",-$BI21+IF($R21=0,$BH21*MIN(CI$15,Horiz),$BH21*(1-(1+$R21)^(-MIN(CI$15,Horiz)))/$R21))</f>
        <v>194116.428509825</v>
      </c>
    </row>
    <row r="22" customFormat="false" ht="15" hidden="false" customHeight="false" outlineLevel="0" collapsed="false">
      <c r="A22" s="34" t="n">
        <v>7</v>
      </c>
      <c r="B22" s="35" t="s">
        <v>123</v>
      </c>
      <c r="C22" s="36" t="s">
        <v>152</v>
      </c>
      <c r="D22" s="35" t="s">
        <v>116</v>
      </c>
      <c r="E22" s="35" t="s">
        <v>153</v>
      </c>
      <c r="F22" s="37" t="n">
        <v>20</v>
      </c>
      <c r="G22" s="37" t="n">
        <v>150</v>
      </c>
      <c r="H22" s="38" t="n">
        <v>9</v>
      </c>
      <c r="I22" s="39" t="n">
        <v>0.127</v>
      </c>
      <c r="J22" s="40" t="n">
        <v>6</v>
      </c>
      <c r="K22" s="37" t="n">
        <v>2015</v>
      </c>
      <c r="L22" s="35" t="s">
        <v>154</v>
      </c>
      <c r="M22" s="36"/>
      <c r="N22" s="41"/>
      <c r="O22" s="42" t="n">
        <v>900000</v>
      </c>
      <c r="P22" s="43" t="n">
        <v>0.3</v>
      </c>
      <c r="Q22" s="42" t="n">
        <v>6000</v>
      </c>
      <c r="R22" s="44" t="n">
        <v>0.1</v>
      </c>
      <c r="S22" s="36" t="s">
        <v>129</v>
      </c>
      <c r="T22" s="37" t="n">
        <v>0</v>
      </c>
      <c r="U22" s="36"/>
      <c r="V22" s="36"/>
      <c r="W22" s="42"/>
      <c r="X22" s="37" t="n">
        <v>5</v>
      </c>
      <c r="Y22" s="37" t="n">
        <v>8</v>
      </c>
      <c r="Z22" s="42" t="n">
        <v>60000</v>
      </c>
      <c r="AA22" s="37" t="n">
        <v>2</v>
      </c>
      <c r="AB22" s="36" t="s">
        <v>122</v>
      </c>
      <c r="AC22" s="37" t="n">
        <v>2</v>
      </c>
      <c r="AD22" s="36" t="s">
        <v>122</v>
      </c>
      <c r="AE22" s="45" t="n">
        <f aca="false">IF($C22="","",AnioEval-K22)</f>
        <v>11</v>
      </c>
      <c r="AF22" s="46" t="n">
        <f aca="false">IF($C22="","",IF(AND(ISNUMBER(J22),I22&gt;0),(H22-J22)/(I22*SensCR)-AE22,"n/d"))</f>
        <v>12.6220472440945</v>
      </c>
      <c r="AG22" s="47" t="n">
        <f aca="false">IF($C22="","",IFERROR(I22*SensCR*AE22/H22,0))</f>
        <v>0.155222222222222</v>
      </c>
      <c r="AH22" s="48" t="n">
        <f aca="false">IF($C22="","",IF(INDEX(MecTipo,MATCH(L22,MecList,0))="F",IFERROR(INDEX(SusDF,MATCH(M22,SusList,0)),1),LOOKUP(AG22,ArtLim,ArtDF)))</f>
        <v>20</v>
      </c>
      <c r="AI22" s="48" t="n">
        <f aca="false">IF($C22="","",IF(ISNUMBER(N22),N22,AH22))</f>
        <v>20</v>
      </c>
      <c r="AJ22" s="49" t="n">
        <f aca="false">IF($C22="","",INDEX(GFFval,MATCH(D22,GFFtipo,0)))</f>
        <v>3.06E-005</v>
      </c>
      <c r="AK22" s="49" t="n">
        <f aca="false">IF($C22="","",AJ22*AI22*FMS)</f>
        <v>0.000193531392802305</v>
      </c>
      <c r="AL22" s="50" t="n">
        <f aca="false">IF($C22="","",AK22*O22)</f>
        <v>174.178253522074</v>
      </c>
      <c r="AM22" s="51" t="str">
        <f aca="false">IF($C22="","",IF(N(T22)=0,"No requerido",IF(AND(U22="Apto",V22="Pasa"),"APTO/PASA",IF(AND(U22="Apto con limitaciones",V22="Pasa"),"APTO CON LIMITACIONES",IF(U22="No apto","NO APTO/REPARAR","REVISAR")))))</f>
        <v>No requerido</v>
      </c>
      <c r="AN22" s="48" t="n">
        <f aca="false">IF($C22="","",IF(AM22="NO APTO/REPARAR",1,MAX(1,AI22*INDEX(EffRet,MATCH(S22,EffList,0))*INDEX(FFSfac,MATCH(AM22,FFSlist,0)))))</f>
        <v>6</v>
      </c>
      <c r="AO22" s="49" t="n">
        <f aca="false">IF($C22="","",AJ22*AN22*FMS)</f>
        <v>5.80594178406915E-005</v>
      </c>
      <c r="AP22" s="50" t="n">
        <f aca="false">IF($C22="","",AO22*O22)</f>
        <v>52.2534760566223</v>
      </c>
      <c r="AQ22" s="50" t="n">
        <f aca="false">IF($C22="","",IFERROR(AJ22*FMS*INDEX(DFrep,AA22)*INDEX(FCrep,MATCH(AB22,CatLet,0)),AL22))</f>
        <v>18.3467760376585</v>
      </c>
      <c r="AR22" s="50" t="n">
        <f aca="false">IF($C22="","",IFERROR(AJ22*FMS*INDEX(DFrep,AC22)*INDEX(FCrep,MATCH(AD22,CatLet,0)),AP22))</f>
        <v>18.3467760376585</v>
      </c>
      <c r="AS22" s="52" t="str">
        <f aca="false">IF($C22="","",(1+SUMPRODUCT(--(AI22&gt;PcutDF)))&amp;CHOOSE(1+SUMPRODUCT(--(O22&gt;CcutFC)),"A","B","C","D","E"))</f>
        <v>2C</v>
      </c>
      <c r="AT22" s="52" t="str">
        <f aca="false">IF($C22="","",(1+SUMPRODUCT(--(AN22&gt;PcutDF)))&amp;CHOOSE(1+SUMPRODUCT(--(O22&gt;CcutFC)),"A","B","C","D","E"))</f>
        <v>2C</v>
      </c>
      <c r="AU22" s="52" t="str">
        <f aca="false">IF($C22="","",IF(AND(AA22&amp;AB22=AS22,AC22&amp;AD22=AT22),"OK","REVISAR"))</f>
        <v>OK</v>
      </c>
      <c r="AV22" s="45" t="n">
        <f aca="false">IF($C22="","",IFERROR(INDEX(RAMlev,AA22,MATCH(AB22,CatLet,0)),""))</f>
        <v>2</v>
      </c>
      <c r="AW22" s="45" t="n">
        <f aca="false">IF($C22="","",IFERROR(INDEX(RAMlev,AC22,MATCH(AD22,CatLet,0)),""))</f>
        <v>2</v>
      </c>
      <c r="AX22" s="52" t="str">
        <f aca="false">IF($C22="","",IF(AW22="","",IF(AW22&lt;=ObjNivel,"Cumple","Excede")))</f>
        <v>Cumple</v>
      </c>
      <c r="AY22" s="50" t="n">
        <f aca="false">IF($C22="","",IF(Base="RAM",AQ22,AL22))</f>
        <v>174.178253522074</v>
      </c>
      <c r="AZ22" s="50" t="n">
        <f aca="false">IF($C22="","",IF(Base="RAM",AR22,AP22))</f>
        <v>52.2534760566223</v>
      </c>
      <c r="BA22" s="50" t="n">
        <f aca="false">IF($C22="","",AY22-AZ22)</f>
        <v>121.924777465452</v>
      </c>
      <c r="BB22" s="50" t="n">
        <f aca="false">IF($C22="","",BA22*N(P22))</f>
        <v>36.5774332396356</v>
      </c>
      <c r="BC22" s="50" t="n">
        <f aca="false">IF($C22="","",BA22-BB22)</f>
        <v>85.3473442258164</v>
      </c>
      <c r="BD22" s="50" t="n">
        <f aca="false">IF($C22="","",IFERROR(Q22*(1/X22-1/Y22),0))</f>
        <v>450</v>
      </c>
      <c r="BE22" s="50" t="n">
        <f aca="false">IF($C22="","",IFERROR(Z22*(1/X22-1/Y22),0))</f>
        <v>4500</v>
      </c>
      <c r="BF22" s="50" t="n">
        <f aca="false">IF($C22="","",IFERROR((Q22+Z22)/X22,0))</f>
        <v>13200</v>
      </c>
      <c r="BG22" s="50" t="n">
        <f aca="false">IF($C22="","",IFERROR((Q22+Z22)/Y22,0))</f>
        <v>8250</v>
      </c>
      <c r="BH22" s="50" t="n">
        <f aca="false">IF($C22="","",BA22+BD22+BE22)</f>
        <v>5071.92477746545</v>
      </c>
      <c r="BI22" s="50" t="n">
        <f aca="false">IF($C22="","",Q22+INDEX(FFScost,N(T22)+1)+IF(OR(AM22="NO APTO/REPARAR",AM22="APTO CON LIMITACIONES"),N(W22),0)+RBIimpl)</f>
        <v>6210</v>
      </c>
      <c r="BJ22" s="47" t="n">
        <f aca="false">IF($C22="","",IF(R22=0,Horiz,(1-(1+R22)^(-Horiz))/R22))</f>
        <v>6.14456710570469</v>
      </c>
      <c r="BK22" s="50" t="n">
        <f aca="false">IF($C22="","",BH22*BJ22)</f>
        <v>31164.7821502228</v>
      </c>
      <c r="BL22" s="53" t="n">
        <f aca="false">IF($C22="","",IFERROR(BK22/BI22,0))</f>
        <v>5.0184834380391</v>
      </c>
      <c r="BM22" s="54" t="n">
        <f aca="false">IF($C22="","",BK22-BI22)</f>
        <v>24954.7821502228</v>
      </c>
      <c r="BN22" s="55" t="n">
        <f aca="false">IF($C22="","",IFERROR((Horiz*BH22-BI22)/BI22,0))</f>
        <v>7.16735068835017</v>
      </c>
      <c r="BO22" s="46" t="n">
        <f aca="false">IF($C22="","",IF(BH22&gt;0,BI22/BH22,"No recupera"))</f>
        <v>1.22438724398891</v>
      </c>
      <c r="BP22" s="46" t="n">
        <f aca="false">IF($C22="","",IF(BH22&lt;=0,"No recupera",IF(R22=0,BI22/BH22,IFERROR(-LN(1-BI22*R22/BH22)/LN(1+R22),"No recupera"))))</f>
        <v>1.3703520086038</v>
      </c>
      <c r="BQ22" s="54" t="n">
        <f aca="false">IF($C22="","",BH22-BI22/BJ22)</f>
        <v>4061.27587524506</v>
      </c>
      <c r="BR22" s="51" t="str">
        <f aca="false">IF($C22="","",IF(BL22&gt;1,"ACEPTABLE","NO ACEPTABLE"))</f>
        <v>ACEPTABLE</v>
      </c>
      <c r="BS22" s="56" t="str">
        <f aca="false">IF($C22="","",IF(ISNUMBER(AF22),IF(AF22&lt;0,IF(LEFT(AM22,4)="APTO","RUL&lt;0 con FFS apto: verificar","RUL&lt;0"),""),""))</f>
        <v/>
      </c>
      <c r="BT22" s="54" t="n">
        <f aca="false">IF($C22="","",-$BI22+IF($R22=0,$BH22*MIN(BT$15,Horiz),$BH22*(1-(1+$R22)^(-MIN(BT$15,Horiz)))/$R22))</f>
        <v>-6210</v>
      </c>
      <c r="BU22" s="54" t="n">
        <f aca="false">IF($C22="","",-$BI22+IF($R22=0,$BH22*MIN(BU$15,Horiz),$BH22*(1-(1+$R22)^(-MIN(BU$15,Horiz)))/$R22))</f>
        <v>-1599.15929321322</v>
      </c>
      <c r="BV22" s="54" t="n">
        <f aca="false">IF($C22="","",-$BI22+IF($R22=0,$BH22*MIN(BV$15,Horiz),$BH22*(1-(1+$R22)^(-MIN(BV$15,Horiz)))/$R22))</f>
        <v>2592.51407659294</v>
      </c>
      <c r="BW22" s="54" t="n">
        <f aca="false">IF($C22="","",-$BI22+IF($R22=0,$BH22*MIN(BW$15,Horiz),$BH22*(1-(1+$R22)^(-MIN(BW$15,Horiz)))/$R22))</f>
        <v>6403.12623096218</v>
      </c>
      <c r="BX22" s="54" t="n">
        <f aca="false">IF($C22="","",-$BI22+IF($R22=0,$BH22*MIN(BX$15,Horiz),$BH22*(1-(1+$R22)^(-MIN(BX$15,Horiz)))/$R22))</f>
        <v>9867.31909857058</v>
      </c>
      <c r="BY22" s="54" t="n">
        <f aca="false">IF($C22="","",-$BI22+IF($R22=0,$BH22*MIN(BY$15,Horiz),$BH22*(1-(1+$R22)^(-MIN(BY$15,Horiz)))/$R22))</f>
        <v>13016.5853418509</v>
      </c>
      <c r="BZ22" s="54" t="n">
        <f aca="false">IF($C22="","",-$BI22+IF($R22=0,$BH22*MIN(BZ$15,Horiz),$BH22*(1-(1+$R22)^(-MIN(BZ$15,Horiz)))/$R22))</f>
        <v>15879.554653924</v>
      </c>
      <c r="CA22" s="54" t="n">
        <f aca="false">IF($C22="","",-$BI22+IF($R22=0,$BH22*MIN(CA$15,Horiz),$BH22*(1-(1+$R22)^(-MIN(CA$15,Horiz)))/$R22))</f>
        <v>18482.2540285359</v>
      </c>
      <c r="CB22" s="54" t="n">
        <f aca="false">IF($C22="","",-$BI22+IF($R22=0,$BH22*MIN(CB$15,Horiz),$BH22*(1-(1+$R22)^(-MIN(CB$15,Horiz)))/$R22))</f>
        <v>20848.3443690921</v>
      </c>
      <c r="CC22" s="54" t="n">
        <f aca="false">IF($C22="","",-$BI22+IF($R22=0,$BH22*MIN(CC$15,Horiz),$BH22*(1-(1+$R22)^(-MIN(CC$15,Horiz)))/$R22))</f>
        <v>22999.3355877796</v>
      </c>
      <c r="CD22" s="54" t="n">
        <f aca="false">IF($C22="","",-$BI22+IF($R22=0,$BH22*MIN(CD$15,Horiz),$BH22*(1-(1+$R22)^(-MIN(CD$15,Horiz)))/$R22))</f>
        <v>24954.7821502228</v>
      </c>
      <c r="CE22" s="54" t="n">
        <f aca="false">IF($C22="","",-$BI22+IF($R22=0,$BH22*MIN(CE$15,Horiz),$BH22*(1-(1+$R22)^(-MIN(CE$15,Horiz)))/$R22))</f>
        <v>24954.7821502228</v>
      </c>
      <c r="CF22" s="54" t="n">
        <f aca="false">IF($C22="","",-$BI22+IF($R22=0,$BH22*MIN(CF$15,Horiz),$BH22*(1-(1+$R22)^(-MIN(CF$15,Horiz)))/$R22))</f>
        <v>24954.7821502228</v>
      </c>
      <c r="CG22" s="54" t="n">
        <f aca="false">IF($C22="","",-$BI22+IF($R22=0,$BH22*MIN(CG$15,Horiz),$BH22*(1-(1+$R22)^(-MIN(CG$15,Horiz)))/$R22))</f>
        <v>24954.7821502228</v>
      </c>
      <c r="CH22" s="54" t="n">
        <f aca="false">IF($C22="","",-$BI22+IF($R22=0,$BH22*MIN(CH$15,Horiz),$BH22*(1-(1+$R22)^(-MIN(CH$15,Horiz)))/$R22))</f>
        <v>24954.7821502228</v>
      </c>
      <c r="CI22" s="54" t="n">
        <f aca="false">IF($C22="","",-$BI22+IF($R22=0,$BH22*MIN(CI$15,Horiz),$BH22*(1-(1+$R22)^(-MIN(CI$15,Horiz)))/$R22))</f>
        <v>24954.7821502228</v>
      </c>
    </row>
    <row r="23" customFormat="false" ht="15" hidden="false" customHeight="false" outlineLevel="0" collapsed="false">
      <c r="A23" s="34" t="n">
        <v>8</v>
      </c>
      <c r="B23" s="35"/>
      <c r="C23" s="36"/>
      <c r="D23" s="35"/>
      <c r="E23" s="35"/>
      <c r="F23" s="37"/>
      <c r="G23" s="37"/>
      <c r="H23" s="38"/>
      <c r="I23" s="39"/>
      <c r="J23" s="40"/>
      <c r="K23" s="37"/>
      <c r="L23" s="35"/>
      <c r="M23" s="36"/>
      <c r="N23" s="41"/>
      <c r="O23" s="42"/>
      <c r="P23" s="43"/>
      <c r="Q23" s="42"/>
      <c r="R23" s="44"/>
      <c r="S23" s="36"/>
      <c r="T23" s="37"/>
      <c r="U23" s="36"/>
      <c r="V23" s="36"/>
      <c r="W23" s="42"/>
      <c r="X23" s="37"/>
      <c r="Y23" s="37"/>
      <c r="Z23" s="42"/>
      <c r="AA23" s="37"/>
      <c r="AB23" s="36"/>
      <c r="AC23" s="37"/>
      <c r="AD23" s="36"/>
      <c r="AE23" s="45" t="str">
        <f aca="false">IF($C23="","",AnioEval-K23)</f>
        <v/>
      </c>
      <c r="AF23" s="46" t="str">
        <f aca="false">IF($C23="","",IF(AND(ISNUMBER(J23),I23&gt;0),(H23-J23)/(I23*SensCR)-AE23,"n/d"))</f>
        <v/>
      </c>
      <c r="AG23" s="47" t="str">
        <f aca="false">IF($C23="","",IFERROR(I23*SensCR*AE23/H23,0))</f>
        <v/>
      </c>
      <c r="AH23" s="48" t="str">
        <f aca="false">IF($C23="","",IF(INDEX(MecTipo,MATCH(L23,MecList,0))="F",IFERROR(INDEX(SusDF,MATCH(M23,SusList,0)),1),LOOKUP(AG23,ArtLim,ArtDF)))</f>
        <v/>
      </c>
      <c r="AI23" s="48" t="str">
        <f aca="false">IF($C23="","",IF(ISNUMBER(N23),N23,AH23))</f>
        <v/>
      </c>
      <c r="AJ23" s="49" t="str">
        <f aca="false">IF($C23="","",INDEX(GFFval,MATCH(D23,GFFtipo,0)))</f>
        <v/>
      </c>
      <c r="AK23" s="49" t="str">
        <f aca="false">IF($C23="","",AJ23*AI23*FMS)</f>
        <v/>
      </c>
      <c r="AL23" s="50" t="str">
        <f aca="false">IF($C23="","",AK23*O23)</f>
        <v/>
      </c>
      <c r="AM23" s="51" t="str">
        <f aca="false">IF($C23="","",IF(N(T23)=0,"No requerido",IF(AND(U23="Apto",V23="Pasa"),"APTO/PASA",IF(AND(U23="Apto con limitaciones",V23="Pasa"),"APTO CON LIMITACIONES",IF(U23="No apto","NO APTO/REPARAR","REVISAR")))))</f>
        <v/>
      </c>
      <c r="AN23" s="48" t="str">
        <f aca="false">IF($C23="","",IF(AM23="NO APTO/REPARAR",1,MAX(1,AI23*INDEX(EffRet,MATCH(S23,EffList,0))*INDEX(FFSfac,MATCH(AM23,FFSlist,0)))))</f>
        <v/>
      </c>
      <c r="AO23" s="49" t="str">
        <f aca="false">IF($C23="","",AJ23*AN23*FMS)</f>
        <v/>
      </c>
      <c r="AP23" s="50" t="str">
        <f aca="false">IF($C23="","",AO23*O23)</f>
        <v/>
      </c>
      <c r="AQ23" s="50" t="str">
        <f aca="false">IF($C23="","",IFERROR(AJ23*FMS*INDEX(DFrep,AA23)*INDEX(FCrep,MATCH(AB23,CatLet,0)),AL23))</f>
        <v/>
      </c>
      <c r="AR23" s="50" t="str">
        <f aca="false">IF($C23="","",IFERROR(AJ23*FMS*INDEX(DFrep,AC23)*INDEX(FCrep,MATCH(AD23,CatLet,0)),AP23))</f>
        <v/>
      </c>
      <c r="AS23" s="52" t="str">
        <f aca="false">IF($C23="","",(1+SUMPRODUCT(--(AI23&gt;PcutDF)))&amp;CHOOSE(1+SUMPRODUCT(--(O23&gt;CcutFC)),"A","B","C","D","E"))</f>
        <v/>
      </c>
      <c r="AT23" s="52" t="str">
        <f aca="false">IF($C23="","",(1+SUMPRODUCT(--(AN23&gt;PcutDF)))&amp;CHOOSE(1+SUMPRODUCT(--(O23&gt;CcutFC)),"A","B","C","D","E"))</f>
        <v/>
      </c>
      <c r="AU23" s="52" t="str">
        <f aca="false">IF($C23="","",IF(AND(AA23&amp;AB23=AS23,AC23&amp;AD23=AT23),"OK","REVISAR"))</f>
        <v/>
      </c>
      <c r="AV23" s="45" t="str">
        <f aca="false">IF($C23="","",IFERROR(INDEX(RAMlev,AA23,MATCH(AB23,CatLet,0)),""))</f>
        <v/>
      </c>
      <c r="AW23" s="45" t="str">
        <f aca="false">IF($C23="","",IFERROR(INDEX(RAMlev,AC23,MATCH(AD23,CatLet,0)),""))</f>
        <v/>
      </c>
      <c r="AX23" s="52" t="str">
        <f aca="false">IF($C23="","",IF(AW23="","",IF(AW23&lt;=ObjNivel,"Cumple","Excede")))</f>
        <v/>
      </c>
      <c r="AY23" s="50" t="str">
        <f aca="false">IF($C23="","",IF(Base="RAM",AQ23,AL23))</f>
        <v/>
      </c>
      <c r="AZ23" s="50" t="str">
        <f aca="false">IF($C23="","",IF(Base="RAM",AR23,AP23))</f>
        <v/>
      </c>
      <c r="BA23" s="50" t="str">
        <f aca="false">IF($C23="","",AY23-AZ23)</f>
        <v/>
      </c>
      <c r="BB23" s="50" t="str">
        <f aca="false">IF($C23="","",BA23*N(P23))</f>
        <v/>
      </c>
      <c r="BC23" s="50" t="str">
        <f aca="false">IF($C23="","",BA23-BB23)</f>
        <v/>
      </c>
      <c r="BD23" s="50" t="str">
        <f aca="false">IF($C23="","",IFERROR(Q23*(1/X23-1/Y23),0))</f>
        <v/>
      </c>
      <c r="BE23" s="50" t="str">
        <f aca="false">IF($C23="","",IFERROR(Z23*(1/X23-1/Y23),0))</f>
        <v/>
      </c>
      <c r="BF23" s="50" t="str">
        <f aca="false">IF($C23="","",IFERROR((Q23+Z23)/X23,0))</f>
        <v/>
      </c>
      <c r="BG23" s="50" t="str">
        <f aca="false">IF($C23="","",IFERROR((Q23+Z23)/Y23,0))</f>
        <v/>
      </c>
      <c r="BH23" s="50" t="str">
        <f aca="false">IF($C23="","",BA23+BD23+BE23)</f>
        <v/>
      </c>
      <c r="BI23" s="50" t="str">
        <f aca="false">IF($C23="","",Q23+INDEX(FFScost,N(T23)+1)+IF(OR(AM23="NO APTO/REPARAR",AM23="APTO CON LIMITACIONES"),N(W23),0)+RBIimpl)</f>
        <v/>
      </c>
      <c r="BJ23" s="47" t="str">
        <f aca="false">IF($C23="","",IF(R23=0,Horiz,(1-(1+R23)^(-Horiz))/R23))</f>
        <v/>
      </c>
      <c r="BK23" s="50" t="str">
        <f aca="false">IF($C23="","",BH23*BJ23)</f>
        <v/>
      </c>
      <c r="BL23" s="53" t="str">
        <f aca="false">IF($C23="","",IFERROR(BK23/BI23,0))</f>
        <v/>
      </c>
      <c r="BM23" s="54" t="str">
        <f aca="false">IF($C23="","",BK23-BI23)</f>
        <v/>
      </c>
      <c r="BN23" s="55" t="str">
        <f aca="false">IF($C23="","",IFERROR((Horiz*BH23-BI23)/BI23,0))</f>
        <v/>
      </c>
      <c r="BO23" s="46" t="str">
        <f aca="false">IF($C23="","",IF(BH23&gt;0,BI23/BH23,"No recupera"))</f>
        <v/>
      </c>
      <c r="BP23" s="46" t="str">
        <f aca="false">IF($C23="","",IF(BH23&lt;=0,"No recupera",IF(R23=0,BI23/BH23,IFERROR(-LN(1-BI23*R23/BH23)/LN(1+R23),"No recupera"))))</f>
        <v/>
      </c>
      <c r="BQ23" s="54" t="str">
        <f aca="false">IF($C23="","",BH23-BI23/BJ23)</f>
        <v/>
      </c>
      <c r="BR23" s="51" t="str">
        <f aca="false">IF($C23="","",IF(BL23&gt;1,"ACEPTABLE","NO ACEPTABLE"))</f>
        <v/>
      </c>
      <c r="BS23" s="56" t="str">
        <f aca="false">IF($C23="","",IF(ISNUMBER(AF23),IF(AF23&lt;0,IF(LEFT(AM23,4)="APTO","RUL&lt;0 con FFS apto: verificar","RUL&lt;0"),""),""))</f>
        <v/>
      </c>
      <c r="BT23" s="54" t="str">
        <f aca="false">IF($C23="","",-$BI23+IF($R23=0,$BH23*MIN(BT$15,Horiz),$BH23*(1-(1+$R23)^(-MIN(BT$15,Horiz)))/$R23))</f>
        <v/>
      </c>
      <c r="BU23" s="54" t="str">
        <f aca="false">IF($C23="","",-$BI23+IF($R23=0,$BH23*MIN(BU$15,Horiz),$BH23*(1-(1+$R23)^(-MIN(BU$15,Horiz)))/$R23))</f>
        <v/>
      </c>
      <c r="BV23" s="54" t="str">
        <f aca="false">IF($C23="","",-$BI23+IF($R23=0,$BH23*MIN(BV$15,Horiz),$BH23*(1-(1+$R23)^(-MIN(BV$15,Horiz)))/$R23))</f>
        <v/>
      </c>
      <c r="BW23" s="54" t="str">
        <f aca="false">IF($C23="","",-$BI23+IF($R23=0,$BH23*MIN(BW$15,Horiz),$BH23*(1-(1+$R23)^(-MIN(BW$15,Horiz)))/$R23))</f>
        <v/>
      </c>
      <c r="BX23" s="54" t="str">
        <f aca="false">IF($C23="","",-$BI23+IF($R23=0,$BH23*MIN(BX$15,Horiz),$BH23*(1-(1+$R23)^(-MIN(BX$15,Horiz)))/$R23))</f>
        <v/>
      </c>
      <c r="BY23" s="54" t="str">
        <f aca="false">IF($C23="","",-$BI23+IF($R23=0,$BH23*MIN(BY$15,Horiz),$BH23*(1-(1+$R23)^(-MIN(BY$15,Horiz)))/$R23))</f>
        <v/>
      </c>
      <c r="BZ23" s="54" t="str">
        <f aca="false">IF($C23="","",-$BI23+IF($R23=0,$BH23*MIN(BZ$15,Horiz),$BH23*(1-(1+$R23)^(-MIN(BZ$15,Horiz)))/$R23))</f>
        <v/>
      </c>
      <c r="CA23" s="54" t="str">
        <f aca="false">IF($C23="","",-$BI23+IF($R23=0,$BH23*MIN(CA$15,Horiz),$BH23*(1-(1+$R23)^(-MIN(CA$15,Horiz)))/$R23))</f>
        <v/>
      </c>
      <c r="CB23" s="54" t="str">
        <f aca="false">IF($C23="","",-$BI23+IF($R23=0,$BH23*MIN(CB$15,Horiz),$BH23*(1-(1+$R23)^(-MIN(CB$15,Horiz)))/$R23))</f>
        <v/>
      </c>
      <c r="CC23" s="54" t="str">
        <f aca="false">IF($C23="","",-$BI23+IF($R23=0,$BH23*MIN(CC$15,Horiz),$BH23*(1-(1+$R23)^(-MIN(CC$15,Horiz)))/$R23))</f>
        <v/>
      </c>
      <c r="CD23" s="54" t="str">
        <f aca="false">IF($C23="","",-$BI23+IF($R23=0,$BH23*MIN(CD$15,Horiz),$BH23*(1-(1+$R23)^(-MIN(CD$15,Horiz)))/$R23))</f>
        <v/>
      </c>
      <c r="CE23" s="54" t="str">
        <f aca="false">IF($C23="","",-$BI23+IF($R23=0,$BH23*MIN(CE$15,Horiz),$BH23*(1-(1+$R23)^(-MIN(CE$15,Horiz)))/$R23))</f>
        <v/>
      </c>
      <c r="CF23" s="54" t="str">
        <f aca="false">IF($C23="","",-$BI23+IF($R23=0,$BH23*MIN(CF$15,Horiz),$BH23*(1-(1+$R23)^(-MIN(CF$15,Horiz)))/$R23))</f>
        <v/>
      </c>
      <c r="CG23" s="54" t="str">
        <f aca="false">IF($C23="","",-$BI23+IF($R23=0,$BH23*MIN(CG$15,Horiz),$BH23*(1-(1+$R23)^(-MIN(CG$15,Horiz)))/$R23))</f>
        <v/>
      </c>
      <c r="CH23" s="54" t="str">
        <f aca="false">IF($C23="","",-$BI23+IF($R23=0,$BH23*MIN(CH$15,Horiz),$BH23*(1-(1+$R23)^(-MIN(CH$15,Horiz)))/$R23))</f>
        <v/>
      </c>
      <c r="CI23" s="54" t="str">
        <f aca="false">IF($C23="","",-$BI23+IF($R23=0,$BH23*MIN(CI$15,Horiz),$BH23*(1-(1+$R23)^(-MIN(CI$15,Horiz)))/$R23))</f>
        <v/>
      </c>
    </row>
    <row r="24" customFormat="false" ht="15" hidden="false" customHeight="false" outlineLevel="0" collapsed="false">
      <c r="A24" s="34" t="n">
        <v>9</v>
      </c>
      <c r="B24" s="35"/>
      <c r="C24" s="36"/>
      <c r="D24" s="35"/>
      <c r="E24" s="35"/>
      <c r="F24" s="37"/>
      <c r="G24" s="37"/>
      <c r="H24" s="38"/>
      <c r="I24" s="39"/>
      <c r="J24" s="40"/>
      <c r="K24" s="37"/>
      <c r="L24" s="35"/>
      <c r="M24" s="36"/>
      <c r="N24" s="41"/>
      <c r="O24" s="42"/>
      <c r="P24" s="43"/>
      <c r="Q24" s="42"/>
      <c r="R24" s="44"/>
      <c r="S24" s="36"/>
      <c r="T24" s="37"/>
      <c r="U24" s="36"/>
      <c r="V24" s="36"/>
      <c r="W24" s="42"/>
      <c r="X24" s="37"/>
      <c r="Y24" s="37"/>
      <c r="Z24" s="42"/>
      <c r="AA24" s="37"/>
      <c r="AB24" s="36"/>
      <c r="AC24" s="37"/>
      <c r="AD24" s="36"/>
      <c r="AE24" s="45" t="str">
        <f aca="false">IF($C24="","",AnioEval-K24)</f>
        <v/>
      </c>
      <c r="AF24" s="46" t="str">
        <f aca="false">IF($C24="","",IF(AND(ISNUMBER(J24),I24&gt;0),(H24-J24)/(I24*SensCR)-AE24,"n/d"))</f>
        <v/>
      </c>
      <c r="AG24" s="47" t="str">
        <f aca="false">IF($C24="","",IFERROR(I24*SensCR*AE24/H24,0))</f>
        <v/>
      </c>
      <c r="AH24" s="48" t="str">
        <f aca="false">IF($C24="","",IF(INDEX(MecTipo,MATCH(L24,MecList,0))="F",IFERROR(INDEX(SusDF,MATCH(M24,SusList,0)),1),LOOKUP(AG24,ArtLim,ArtDF)))</f>
        <v/>
      </c>
      <c r="AI24" s="48" t="str">
        <f aca="false">IF($C24="","",IF(ISNUMBER(N24),N24,AH24))</f>
        <v/>
      </c>
      <c r="AJ24" s="49" t="str">
        <f aca="false">IF($C24="","",INDEX(GFFval,MATCH(D24,GFFtipo,0)))</f>
        <v/>
      </c>
      <c r="AK24" s="49" t="str">
        <f aca="false">IF($C24="","",AJ24*AI24*FMS)</f>
        <v/>
      </c>
      <c r="AL24" s="50" t="str">
        <f aca="false">IF($C24="","",AK24*O24)</f>
        <v/>
      </c>
      <c r="AM24" s="51" t="str">
        <f aca="false">IF($C24="","",IF(N(T24)=0,"No requerido",IF(AND(U24="Apto",V24="Pasa"),"APTO/PASA",IF(AND(U24="Apto con limitaciones",V24="Pasa"),"APTO CON LIMITACIONES",IF(U24="No apto","NO APTO/REPARAR","REVISAR")))))</f>
        <v/>
      </c>
      <c r="AN24" s="48" t="str">
        <f aca="false">IF($C24="","",IF(AM24="NO APTO/REPARAR",1,MAX(1,AI24*INDEX(EffRet,MATCH(S24,EffList,0))*INDEX(FFSfac,MATCH(AM24,FFSlist,0)))))</f>
        <v/>
      </c>
      <c r="AO24" s="49" t="str">
        <f aca="false">IF($C24="","",AJ24*AN24*FMS)</f>
        <v/>
      </c>
      <c r="AP24" s="50" t="str">
        <f aca="false">IF($C24="","",AO24*O24)</f>
        <v/>
      </c>
      <c r="AQ24" s="50" t="str">
        <f aca="false">IF($C24="","",IFERROR(AJ24*FMS*INDEX(DFrep,AA24)*INDEX(FCrep,MATCH(AB24,CatLet,0)),AL24))</f>
        <v/>
      </c>
      <c r="AR24" s="50" t="str">
        <f aca="false">IF($C24="","",IFERROR(AJ24*FMS*INDEX(DFrep,AC24)*INDEX(FCrep,MATCH(AD24,CatLet,0)),AP24))</f>
        <v/>
      </c>
      <c r="AS24" s="52" t="str">
        <f aca="false">IF($C24="","",(1+SUMPRODUCT(--(AI24&gt;PcutDF)))&amp;CHOOSE(1+SUMPRODUCT(--(O24&gt;CcutFC)),"A","B","C","D","E"))</f>
        <v/>
      </c>
      <c r="AT24" s="52" t="str">
        <f aca="false">IF($C24="","",(1+SUMPRODUCT(--(AN24&gt;PcutDF)))&amp;CHOOSE(1+SUMPRODUCT(--(O24&gt;CcutFC)),"A","B","C","D","E"))</f>
        <v/>
      </c>
      <c r="AU24" s="52" t="str">
        <f aca="false">IF($C24="","",IF(AND(AA24&amp;AB24=AS24,AC24&amp;AD24=AT24),"OK","REVISAR"))</f>
        <v/>
      </c>
      <c r="AV24" s="45" t="str">
        <f aca="false">IF($C24="","",IFERROR(INDEX(RAMlev,AA24,MATCH(AB24,CatLet,0)),""))</f>
        <v/>
      </c>
      <c r="AW24" s="45" t="str">
        <f aca="false">IF($C24="","",IFERROR(INDEX(RAMlev,AC24,MATCH(AD24,CatLet,0)),""))</f>
        <v/>
      </c>
      <c r="AX24" s="52" t="str">
        <f aca="false">IF($C24="","",IF(AW24="","",IF(AW24&lt;=ObjNivel,"Cumple","Excede")))</f>
        <v/>
      </c>
      <c r="AY24" s="50" t="str">
        <f aca="false">IF($C24="","",IF(Base="RAM",AQ24,AL24))</f>
        <v/>
      </c>
      <c r="AZ24" s="50" t="str">
        <f aca="false">IF($C24="","",IF(Base="RAM",AR24,AP24))</f>
        <v/>
      </c>
      <c r="BA24" s="50" t="str">
        <f aca="false">IF($C24="","",AY24-AZ24)</f>
        <v/>
      </c>
      <c r="BB24" s="50" t="str">
        <f aca="false">IF($C24="","",BA24*N(P24))</f>
        <v/>
      </c>
      <c r="BC24" s="50" t="str">
        <f aca="false">IF($C24="","",BA24-BB24)</f>
        <v/>
      </c>
      <c r="BD24" s="50" t="str">
        <f aca="false">IF($C24="","",IFERROR(Q24*(1/X24-1/Y24),0))</f>
        <v/>
      </c>
      <c r="BE24" s="50" t="str">
        <f aca="false">IF($C24="","",IFERROR(Z24*(1/X24-1/Y24),0))</f>
        <v/>
      </c>
      <c r="BF24" s="50" t="str">
        <f aca="false">IF($C24="","",IFERROR((Q24+Z24)/X24,0))</f>
        <v/>
      </c>
      <c r="BG24" s="50" t="str">
        <f aca="false">IF($C24="","",IFERROR((Q24+Z24)/Y24,0))</f>
        <v/>
      </c>
      <c r="BH24" s="50" t="str">
        <f aca="false">IF($C24="","",BA24+BD24+BE24)</f>
        <v/>
      </c>
      <c r="BI24" s="50" t="str">
        <f aca="false">IF($C24="","",Q24+INDEX(FFScost,N(T24)+1)+IF(OR(AM24="NO APTO/REPARAR",AM24="APTO CON LIMITACIONES"),N(W24),0)+RBIimpl)</f>
        <v/>
      </c>
      <c r="BJ24" s="47" t="str">
        <f aca="false">IF($C24="","",IF(R24=0,Horiz,(1-(1+R24)^(-Horiz))/R24))</f>
        <v/>
      </c>
      <c r="BK24" s="50" t="str">
        <f aca="false">IF($C24="","",BH24*BJ24)</f>
        <v/>
      </c>
      <c r="BL24" s="53" t="str">
        <f aca="false">IF($C24="","",IFERROR(BK24/BI24,0))</f>
        <v/>
      </c>
      <c r="BM24" s="54" t="str">
        <f aca="false">IF($C24="","",BK24-BI24)</f>
        <v/>
      </c>
      <c r="BN24" s="55" t="str">
        <f aca="false">IF($C24="","",IFERROR((Horiz*BH24-BI24)/BI24,0))</f>
        <v/>
      </c>
      <c r="BO24" s="46" t="str">
        <f aca="false">IF($C24="","",IF(BH24&gt;0,BI24/BH24,"No recupera"))</f>
        <v/>
      </c>
      <c r="BP24" s="46" t="str">
        <f aca="false">IF($C24="","",IF(BH24&lt;=0,"No recupera",IF(R24=0,BI24/BH24,IFERROR(-LN(1-BI24*R24/BH24)/LN(1+R24),"No recupera"))))</f>
        <v/>
      </c>
      <c r="BQ24" s="54" t="str">
        <f aca="false">IF($C24="","",BH24-BI24/BJ24)</f>
        <v/>
      </c>
      <c r="BR24" s="51" t="str">
        <f aca="false">IF($C24="","",IF(BL24&gt;1,"ACEPTABLE","NO ACEPTABLE"))</f>
        <v/>
      </c>
      <c r="BS24" s="56" t="str">
        <f aca="false">IF($C24="","",IF(ISNUMBER(AF24),IF(AF24&lt;0,IF(LEFT(AM24,4)="APTO","RUL&lt;0 con FFS apto: verificar","RUL&lt;0"),""),""))</f>
        <v/>
      </c>
      <c r="BT24" s="54" t="str">
        <f aca="false">IF($C24="","",-$BI24+IF($R24=0,$BH24*MIN(BT$15,Horiz),$BH24*(1-(1+$R24)^(-MIN(BT$15,Horiz)))/$R24))</f>
        <v/>
      </c>
      <c r="BU24" s="54" t="str">
        <f aca="false">IF($C24="","",-$BI24+IF($R24=0,$BH24*MIN(BU$15,Horiz),$BH24*(1-(1+$R24)^(-MIN(BU$15,Horiz)))/$R24))</f>
        <v/>
      </c>
      <c r="BV24" s="54" t="str">
        <f aca="false">IF($C24="","",-$BI24+IF($R24=0,$BH24*MIN(BV$15,Horiz),$BH24*(1-(1+$R24)^(-MIN(BV$15,Horiz)))/$R24))</f>
        <v/>
      </c>
      <c r="BW24" s="54" t="str">
        <f aca="false">IF($C24="","",-$BI24+IF($R24=0,$BH24*MIN(BW$15,Horiz),$BH24*(1-(1+$R24)^(-MIN(BW$15,Horiz)))/$R24))</f>
        <v/>
      </c>
      <c r="BX24" s="54" t="str">
        <f aca="false">IF($C24="","",-$BI24+IF($R24=0,$BH24*MIN(BX$15,Horiz),$BH24*(1-(1+$R24)^(-MIN(BX$15,Horiz)))/$R24))</f>
        <v/>
      </c>
      <c r="BY24" s="54" t="str">
        <f aca="false">IF($C24="","",-$BI24+IF($R24=0,$BH24*MIN(BY$15,Horiz),$BH24*(1-(1+$R24)^(-MIN(BY$15,Horiz)))/$R24))</f>
        <v/>
      </c>
      <c r="BZ24" s="54" t="str">
        <f aca="false">IF($C24="","",-$BI24+IF($R24=0,$BH24*MIN(BZ$15,Horiz),$BH24*(1-(1+$R24)^(-MIN(BZ$15,Horiz)))/$R24))</f>
        <v/>
      </c>
      <c r="CA24" s="54" t="str">
        <f aca="false">IF($C24="","",-$BI24+IF($R24=0,$BH24*MIN(CA$15,Horiz),$BH24*(1-(1+$R24)^(-MIN(CA$15,Horiz)))/$R24))</f>
        <v/>
      </c>
      <c r="CB24" s="54" t="str">
        <f aca="false">IF($C24="","",-$BI24+IF($R24=0,$BH24*MIN(CB$15,Horiz),$BH24*(1-(1+$R24)^(-MIN(CB$15,Horiz)))/$R24))</f>
        <v/>
      </c>
      <c r="CC24" s="54" t="str">
        <f aca="false">IF($C24="","",-$BI24+IF($R24=0,$BH24*MIN(CC$15,Horiz),$BH24*(1-(1+$R24)^(-MIN(CC$15,Horiz)))/$R24))</f>
        <v/>
      </c>
      <c r="CD24" s="54" t="str">
        <f aca="false">IF($C24="","",-$BI24+IF($R24=0,$BH24*MIN(CD$15,Horiz),$BH24*(1-(1+$R24)^(-MIN(CD$15,Horiz)))/$R24))</f>
        <v/>
      </c>
      <c r="CE24" s="54" t="str">
        <f aca="false">IF($C24="","",-$BI24+IF($R24=0,$BH24*MIN(CE$15,Horiz),$BH24*(1-(1+$R24)^(-MIN(CE$15,Horiz)))/$R24))</f>
        <v/>
      </c>
      <c r="CF24" s="54" t="str">
        <f aca="false">IF($C24="","",-$BI24+IF($R24=0,$BH24*MIN(CF$15,Horiz),$BH24*(1-(1+$R24)^(-MIN(CF$15,Horiz)))/$R24))</f>
        <v/>
      </c>
      <c r="CG24" s="54" t="str">
        <f aca="false">IF($C24="","",-$BI24+IF($R24=0,$BH24*MIN(CG$15,Horiz),$BH24*(1-(1+$R24)^(-MIN(CG$15,Horiz)))/$R24))</f>
        <v/>
      </c>
      <c r="CH24" s="54" t="str">
        <f aca="false">IF($C24="","",-$BI24+IF($R24=0,$BH24*MIN(CH$15,Horiz),$BH24*(1-(1+$R24)^(-MIN(CH$15,Horiz)))/$R24))</f>
        <v/>
      </c>
      <c r="CI24" s="54" t="str">
        <f aca="false">IF($C24="","",-$BI24+IF($R24=0,$BH24*MIN(CI$15,Horiz),$BH24*(1-(1+$R24)^(-MIN(CI$15,Horiz)))/$R24))</f>
        <v/>
      </c>
    </row>
    <row r="25" customFormat="false" ht="15" hidden="false" customHeight="false" outlineLevel="0" collapsed="false">
      <c r="A25" s="34" t="n">
        <v>10</v>
      </c>
      <c r="B25" s="35"/>
      <c r="C25" s="36"/>
      <c r="D25" s="35"/>
      <c r="E25" s="35"/>
      <c r="F25" s="37"/>
      <c r="G25" s="37"/>
      <c r="H25" s="38"/>
      <c r="I25" s="39"/>
      <c r="J25" s="40"/>
      <c r="K25" s="37"/>
      <c r="L25" s="35"/>
      <c r="M25" s="36"/>
      <c r="N25" s="41"/>
      <c r="O25" s="42"/>
      <c r="P25" s="43"/>
      <c r="Q25" s="42"/>
      <c r="R25" s="44"/>
      <c r="S25" s="36"/>
      <c r="T25" s="37"/>
      <c r="U25" s="36"/>
      <c r="V25" s="36"/>
      <c r="W25" s="42"/>
      <c r="X25" s="37"/>
      <c r="Y25" s="37"/>
      <c r="Z25" s="42"/>
      <c r="AA25" s="37"/>
      <c r="AB25" s="36"/>
      <c r="AC25" s="37"/>
      <c r="AD25" s="36"/>
      <c r="AE25" s="45" t="str">
        <f aca="false">IF($C25="","",AnioEval-K25)</f>
        <v/>
      </c>
      <c r="AF25" s="46" t="str">
        <f aca="false">IF($C25="","",IF(AND(ISNUMBER(J25),I25&gt;0),(H25-J25)/(I25*SensCR)-AE25,"n/d"))</f>
        <v/>
      </c>
      <c r="AG25" s="47" t="str">
        <f aca="false">IF($C25="","",IFERROR(I25*SensCR*AE25/H25,0))</f>
        <v/>
      </c>
      <c r="AH25" s="48" t="str">
        <f aca="false">IF($C25="","",IF(INDEX(MecTipo,MATCH(L25,MecList,0))="F",IFERROR(INDEX(SusDF,MATCH(M25,SusList,0)),1),LOOKUP(AG25,ArtLim,ArtDF)))</f>
        <v/>
      </c>
      <c r="AI25" s="48" t="str">
        <f aca="false">IF($C25="","",IF(ISNUMBER(N25),N25,AH25))</f>
        <v/>
      </c>
      <c r="AJ25" s="49" t="str">
        <f aca="false">IF($C25="","",INDEX(GFFval,MATCH(D25,GFFtipo,0)))</f>
        <v/>
      </c>
      <c r="AK25" s="49" t="str">
        <f aca="false">IF($C25="","",AJ25*AI25*FMS)</f>
        <v/>
      </c>
      <c r="AL25" s="50" t="str">
        <f aca="false">IF($C25="","",AK25*O25)</f>
        <v/>
      </c>
      <c r="AM25" s="51" t="str">
        <f aca="false">IF($C25="","",IF(N(T25)=0,"No requerido",IF(AND(U25="Apto",V25="Pasa"),"APTO/PASA",IF(AND(U25="Apto con limitaciones",V25="Pasa"),"APTO CON LIMITACIONES",IF(U25="No apto","NO APTO/REPARAR","REVISAR")))))</f>
        <v/>
      </c>
      <c r="AN25" s="48" t="str">
        <f aca="false">IF($C25="","",IF(AM25="NO APTO/REPARAR",1,MAX(1,AI25*INDEX(EffRet,MATCH(S25,EffList,0))*INDEX(FFSfac,MATCH(AM25,FFSlist,0)))))</f>
        <v/>
      </c>
      <c r="AO25" s="49" t="str">
        <f aca="false">IF($C25="","",AJ25*AN25*FMS)</f>
        <v/>
      </c>
      <c r="AP25" s="50" t="str">
        <f aca="false">IF($C25="","",AO25*O25)</f>
        <v/>
      </c>
      <c r="AQ25" s="50" t="str">
        <f aca="false">IF($C25="","",IFERROR(AJ25*FMS*INDEX(DFrep,AA25)*INDEX(FCrep,MATCH(AB25,CatLet,0)),AL25))</f>
        <v/>
      </c>
      <c r="AR25" s="50" t="str">
        <f aca="false">IF($C25="","",IFERROR(AJ25*FMS*INDEX(DFrep,AC25)*INDEX(FCrep,MATCH(AD25,CatLet,0)),AP25))</f>
        <v/>
      </c>
      <c r="AS25" s="52" t="str">
        <f aca="false">IF($C25="","",(1+SUMPRODUCT(--(AI25&gt;PcutDF)))&amp;CHOOSE(1+SUMPRODUCT(--(O25&gt;CcutFC)),"A","B","C","D","E"))</f>
        <v/>
      </c>
      <c r="AT25" s="52" t="str">
        <f aca="false">IF($C25="","",(1+SUMPRODUCT(--(AN25&gt;PcutDF)))&amp;CHOOSE(1+SUMPRODUCT(--(O25&gt;CcutFC)),"A","B","C","D","E"))</f>
        <v/>
      </c>
      <c r="AU25" s="52" t="str">
        <f aca="false">IF($C25="","",IF(AND(AA25&amp;AB25=AS25,AC25&amp;AD25=AT25),"OK","REVISAR"))</f>
        <v/>
      </c>
      <c r="AV25" s="45" t="str">
        <f aca="false">IF($C25="","",IFERROR(INDEX(RAMlev,AA25,MATCH(AB25,CatLet,0)),""))</f>
        <v/>
      </c>
      <c r="AW25" s="45" t="str">
        <f aca="false">IF($C25="","",IFERROR(INDEX(RAMlev,AC25,MATCH(AD25,CatLet,0)),""))</f>
        <v/>
      </c>
      <c r="AX25" s="52" t="str">
        <f aca="false">IF($C25="","",IF(AW25="","",IF(AW25&lt;=ObjNivel,"Cumple","Excede")))</f>
        <v/>
      </c>
      <c r="AY25" s="50" t="str">
        <f aca="false">IF($C25="","",IF(Base="RAM",AQ25,AL25))</f>
        <v/>
      </c>
      <c r="AZ25" s="50" t="str">
        <f aca="false">IF($C25="","",IF(Base="RAM",AR25,AP25))</f>
        <v/>
      </c>
      <c r="BA25" s="50" t="str">
        <f aca="false">IF($C25="","",AY25-AZ25)</f>
        <v/>
      </c>
      <c r="BB25" s="50" t="str">
        <f aca="false">IF($C25="","",BA25*N(P25))</f>
        <v/>
      </c>
      <c r="BC25" s="50" t="str">
        <f aca="false">IF($C25="","",BA25-BB25)</f>
        <v/>
      </c>
      <c r="BD25" s="50" t="str">
        <f aca="false">IF($C25="","",IFERROR(Q25*(1/X25-1/Y25),0))</f>
        <v/>
      </c>
      <c r="BE25" s="50" t="str">
        <f aca="false">IF($C25="","",IFERROR(Z25*(1/X25-1/Y25),0))</f>
        <v/>
      </c>
      <c r="BF25" s="50" t="str">
        <f aca="false">IF($C25="","",IFERROR((Q25+Z25)/X25,0))</f>
        <v/>
      </c>
      <c r="BG25" s="50" t="str">
        <f aca="false">IF($C25="","",IFERROR((Q25+Z25)/Y25,0))</f>
        <v/>
      </c>
      <c r="BH25" s="50" t="str">
        <f aca="false">IF($C25="","",BA25+BD25+BE25)</f>
        <v/>
      </c>
      <c r="BI25" s="50" t="str">
        <f aca="false">IF($C25="","",Q25+INDEX(FFScost,N(T25)+1)+IF(OR(AM25="NO APTO/REPARAR",AM25="APTO CON LIMITACIONES"),N(W25),0)+RBIimpl)</f>
        <v/>
      </c>
      <c r="BJ25" s="47" t="str">
        <f aca="false">IF($C25="","",IF(R25=0,Horiz,(1-(1+R25)^(-Horiz))/R25))</f>
        <v/>
      </c>
      <c r="BK25" s="50" t="str">
        <f aca="false">IF($C25="","",BH25*BJ25)</f>
        <v/>
      </c>
      <c r="BL25" s="53" t="str">
        <f aca="false">IF($C25="","",IFERROR(BK25/BI25,0))</f>
        <v/>
      </c>
      <c r="BM25" s="54" t="str">
        <f aca="false">IF($C25="","",BK25-BI25)</f>
        <v/>
      </c>
      <c r="BN25" s="55" t="str">
        <f aca="false">IF($C25="","",IFERROR((Horiz*BH25-BI25)/BI25,0))</f>
        <v/>
      </c>
      <c r="BO25" s="46" t="str">
        <f aca="false">IF($C25="","",IF(BH25&gt;0,BI25/BH25,"No recupera"))</f>
        <v/>
      </c>
      <c r="BP25" s="46" t="str">
        <f aca="false">IF($C25="","",IF(BH25&lt;=0,"No recupera",IF(R25=0,BI25/BH25,IFERROR(-LN(1-BI25*R25/BH25)/LN(1+R25),"No recupera"))))</f>
        <v/>
      </c>
      <c r="BQ25" s="54" t="str">
        <f aca="false">IF($C25="","",BH25-BI25/BJ25)</f>
        <v/>
      </c>
      <c r="BR25" s="51" t="str">
        <f aca="false">IF($C25="","",IF(BL25&gt;1,"ACEPTABLE","NO ACEPTABLE"))</f>
        <v/>
      </c>
      <c r="BS25" s="56" t="str">
        <f aca="false">IF($C25="","",IF(ISNUMBER(AF25),IF(AF25&lt;0,IF(LEFT(AM25,4)="APTO","RUL&lt;0 con FFS apto: verificar","RUL&lt;0"),""),""))</f>
        <v/>
      </c>
      <c r="BT25" s="54" t="str">
        <f aca="false">IF($C25="","",-$BI25+IF($R25=0,$BH25*MIN(BT$15,Horiz),$BH25*(1-(1+$R25)^(-MIN(BT$15,Horiz)))/$R25))</f>
        <v/>
      </c>
      <c r="BU25" s="54" t="str">
        <f aca="false">IF($C25="","",-$BI25+IF($R25=0,$BH25*MIN(BU$15,Horiz),$BH25*(1-(1+$R25)^(-MIN(BU$15,Horiz)))/$R25))</f>
        <v/>
      </c>
      <c r="BV25" s="54" t="str">
        <f aca="false">IF($C25="","",-$BI25+IF($R25=0,$BH25*MIN(BV$15,Horiz),$BH25*(1-(1+$R25)^(-MIN(BV$15,Horiz)))/$R25))</f>
        <v/>
      </c>
      <c r="BW25" s="54" t="str">
        <f aca="false">IF($C25="","",-$BI25+IF($R25=0,$BH25*MIN(BW$15,Horiz),$BH25*(1-(1+$R25)^(-MIN(BW$15,Horiz)))/$R25))</f>
        <v/>
      </c>
      <c r="BX25" s="54" t="str">
        <f aca="false">IF($C25="","",-$BI25+IF($R25=0,$BH25*MIN(BX$15,Horiz),$BH25*(1-(1+$R25)^(-MIN(BX$15,Horiz)))/$R25))</f>
        <v/>
      </c>
      <c r="BY25" s="54" t="str">
        <f aca="false">IF($C25="","",-$BI25+IF($R25=0,$BH25*MIN(BY$15,Horiz),$BH25*(1-(1+$R25)^(-MIN(BY$15,Horiz)))/$R25))</f>
        <v/>
      </c>
      <c r="BZ25" s="54" t="str">
        <f aca="false">IF($C25="","",-$BI25+IF($R25=0,$BH25*MIN(BZ$15,Horiz),$BH25*(1-(1+$R25)^(-MIN(BZ$15,Horiz)))/$R25))</f>
        <v/>
      </c>
      <c r="CA25" s="54" t="str">
        <f aca="false">IF($C25="","",-$BI25+IF($R25=0,$BH25*MIN(CA$15,Horiz),$BH25*(1-(1+$R25)^(-MIN(CA$15,Horiz)))/$R25))</f>
        <v/>
      </c>
      <c r="CB25" s="54" t="str">
        <f aca="false">IF($C25="","",-$BI25+IF($R25=0,$BH25*MIN(CB$15,Horiz),$BH25*(1-(1+$R25)^(-MIN(CB$15,Horiz)))/$R25))</f>
        <v/>
      </c>
      <c r="CC25" s="54" t="str">
        <f aca="false">IF($C25="","",-$BI25+IF($R25=0,$BH25*MIN(CC$15,Horiz),$BH25*(1-(1+$R25)^(-MIN(CC$15,Horiz)))/$R25))</f>
        <v/>
      </c>
      <c r="CD25" s="54" t="str">
        <f aca="false">IF($C25="","",-$BI25+IF($R25=0,$BH25*MIN(CD$15,Horiz),$BH25*(1-(1+$R25)^(-MIN(CD$15,Horiz)))/$R25))</f>
        <v/>
      </c>
      <c r="CE25" s="54" t="str">
        <f aca="false">IF($C25="","",-$BI25+IF($R25=0,$BH25*MIN(CE$15,Horiz),$BH25*(1-(1+$R25)^(-MIN(CE$15,Horiz)))/$R25))</f>
        <v/>
      </c>
      <c r="CF25" s="54" t="str">
        <f aca="false">IF($C25="","",-$BI25+IF($R25=0,$BH25*MIN(CF$15,Horiz),$BH25*(1-(1+$R25)^(-MIN(CF$15,Horiz)))/$R25))</f>
        <v/>
      </c>
      <c r="CG25" s="54" t="str">
        <f aca="false">IF($C25="","",-$BI25+IF($R25=0,$BH25*MIN(CG$15,Horiz),$BH25*(1-(1+$R25)^(-MIN(CG$15,Horiz)))/$R25))</f>
        <v/>
      </c>
      <c r="CH25" s="54" t="str">
        <f aca="false">IF($C25="","",-$BI25+IF($R25=0,$BH25*MIN(CH$15,Horiz),$BH25*(1-(1+$R25)^(-MIN(CH$15,Horiz)))/$R25))</f>
        <v/>
      </c>
      <c r="CI25" s="54" t="str">
        <f aca="false">IF($C25="","",-$BI25+IF($R25=0,$BH25*MIN(CI$15,Horiz),$BH25*(1-(1+$R25)^(-MIN(CI$15,Horiz)))/$R25))</f>
        <v/>
      </c>
    </row>
    <row r="26" customFormat="false" ht="15" hidden="false" customHeight="false" outlineLevel="0" collapsed="false">
      <c r="A26" s="34" t="n">
        <v>11</v>
      </c>
      <c r="B26" s="35"/>
      <c r="C26" s="36"/>
      <c r="D26" s="35"/>
      <c r="E26" s="35"/>
      <c r="F26" s="37"/>
      <c r="G26" s="37"/>
      <c r="H26" s="38"/>
      <c r="I26" s="39"/>
      <c r="J26" s="40"/>
      <c r="K26" s="37"/>
      <c r="L26" s="35"/>
      <c r="M26" s="36"/>
      <c r="N26" s="41"/>
      <c r="O26" s="42"/>
      <c r="P26" s="43"/>
      <c r="Q26" s="42"/>
      <c r="R26" s="44"/>
      <c r="S26" s="36"/>
      <c r="T26" s="37"/>
      <c r="U26" s="36"/>
      <c r="V26" s="36"/>
      <c r="W26" s="42"/>
      <c r="X26" s="37"/>
      <c r="Y26" s="37"/>
      <c r="Z26" s="42"/>
      <c r="AA26" s="37"/>
      <c r="AB26" s="36"/>
      <c r="AC26" s="37"/>
      <c r="AD26" s="36"/>
      <c r="AE26" s="45" t="str">
        <f aca="false">IF($C26="","",AnioEval-K26)</f>
        <v/>
      </c>
      <c r="AF26" s="46" t="str">
        <f aca="false">IF($C26="","",IF(AND(ISNUMBER(J26),I26&gt;0),(H26-J26)/(I26*SensCR)-AE26,"n/d"))</f>
        <v/>
      </c>
      <c r="AG26" s="47" t="str">
        <f aca="false">IF($C26="","",IFERROR(I26*SensCR*AE26/H26,0))</f>
        <v/>
      </c>
      <c r="AH26" s="48" t="str">
        <f aca="false">IF($C26="","",IF(INDEX(MecTipo,MATCH(L26,MecList,0))="F",IFERROR(INDEX(SusDF,MATCH(M26,SusList,0)),1),LOOKUP(AG26,ArtLim,ArtDF)))</f>
        <v/>
      </c>
      <c r="AI26" s="48" t="str">
        <f aca="false">IF($C26="","",IF(ISNUMBER(N26),N26,AH26))</f>
        <v/>
      </c>
      <c r="AJ26" s="49" t="str">
        <f aca="false">IF($C26="","",INDEX(GFFval,MATCH(D26,GFFtipo,0)))</f>
        <v/>
      </c>
      <c r="AK26" s="49" t="str">
        <f aca="false">IF($C26="","",AJ26*AI26*FMS)</f>
        <v/>
      </c>
      <c r="AL26" s="50" t="str">
        <f aca="false">IF($C26="","",AK26*O26)</f>
        <v/>
      </c>
      <c r="AM26" s="51" t="str">
        <f aca="false">IF($C26="","",IF(N(T26)=0,"No requerido",IF(AND(U26="Apto",V26="Pasa"),"APTO/PASA",IF(AND(U26="Apto con limitaciones",V26="Pasa"),"APTO CON LIMITACIONES",IF(U26="No apto","NO APTO/REPARAR","REVISAR")))))</f>
        <v/>
      </c>
      <c r="AN26" s="48" t="str">
        <f aca="false">IF($C26="","",IF(AM26="NO APTO/REPARAR",1,MAX(1,AI26*INDEX(EffRet,MATCH(S26,EffList,0))*INDEX(FFSfac,MATCH(AM26,FFSlist,0)))))</f>
        <v/>
      </c>
      <c r="AO26" s="49" t="str">
        <f aca="false">IF($C26="","",AJ26*AN26*FMS)</f>
        <v/>
      </c>
      <c r="AP26" s="50" t="str">
        <f aca="false">IF($C26="","",AO26*O26)</f>
        <v/>
      </c>
      <c r="AQ26" s="50" t="str">
        <f aca="false">IF($C26="","",IFERROR(AJ26*FMS*INDEX(DFrep,AA26)*INDEX(FCrep,MATCH(AB26,CatLet,0)),AL26))</f>
        <v/>
      </c>
      <c r="AR26" s="50" t="str">
        <f aca="false">IF($C26="","",IFERROR(AJ26*FMS*INDEX(DFrep,AC26)*INDEX(FCrep,MATCH(AD26,CatLet,0)),AP26))</f>
        <v/>
      </c>
      <c r="AS26" s="52" t="str">
        <f aca="false">IF($C26="","",(1+SUMPRODUCT(--(AI26&gt;PcutDF)))&amp;CHOOSE(1+SUMPRODUCT(--(O26&gt;CcutFC)),"A","B","C","D","E"))</f>
        <v/>
      </c>
      <c r="AT26" s="52" t="str">
        <f aca="false">IF($C26="","",(1+SUMPRODUCT(--(AN26&gt;PcutDF)))&amp;CHOOSE(1+SUMPRODUCT(--(O26&gt;CcutFC)),"A","B","C","D","E"))</f>
        <v/>
      </c>
      <c r="AU26" s="52" t="str">
        <f aca="false">IF($C26="","",IF(AND(AA26&amp;AB26=AS26,AC26&amp;AD26=AT26),"OK","REVISAR"))</f>
        <v/>
      </c>
      <c r="AV26" s="45" t="str">
        <f aca="false">IF($C26="","",IFERROR(INDEX(RAMlev,AA26,MATCH(AB26,CatLet,0)),""))</f>
        <v/>
      </c>
      <c r="AW26" s="45" t="str">
        <f aca="false">IF($C26="","",IFERROR(INDEX(RAMlev,AC26,MATCH(AD26,CatLet,0)),""))</f>
        <v/>
      </c>
      <c r="AX26" s="52" t="str">
        <f aca="false">IF($C26="","",IF(AW26="","",IF(AW26&lt;=ObjNivel,"Cumple","Excede")))</f>
        <v/>
      </c>
      <c r="AY26" s="50" t="str">
        <f aca="false">IF($C26="","",IF(Base="RAM",AQ26,AL26))</f>
        <v/>
      </c>
      <c r="AZ26" s="50" t="str">
        <f aca="false">IF($C26="","",IF(Base="RAM",AR26,AP26))</f>
        <v/>
      </c>
      <c r="BA26" s="50" t="str">
        <f aca="false">IF($C26="","",AY26-AZ26)</f>
        <v/>
      </c>
      <c r="BB26" s="50" t="str">
        <f aca="false">IF($C26="","",BA26*N(P26))</f>
        <v/>
      </c>
      <c r="BC26" s="50" t="str">
        <f aca="false">IF($C26="","",BA26-BB26)</f>
        <v/>
      </c>
      <c r="BD26" s="50" t="str">
        <f aca="false">IF($C26="","",IFERROR(Q26*(1/X26-1/Y26),0))</f>
        <v/>
      </c>
      <c r="BE26" s="50" t="str">
        <f aca="false">IF($C26="","",IFERROR(Z26*(1/X26-1/Y26),0))</f>
        <v/>
      </c>
      <c r="BF26" s="50" t="str">
        <f aca="false">IF($C26="","",IFERROR((Q26+Z26)/X26,0))</f>
        <v/>
      </c>
      <c r="BG26" s="50" t="str">
        <f aca="false">IF($C26="","",IFERROR((Q26+Z26)/Y26,0))</f>
        <v/>
      </c>
      <c r="BH26" s="50" t="str">
        <f aca="false">IF($C26="","",BA26+BD26+BE26)</f>
        <v/>
      </c>
      <c r="BI26" s="50" t="str">
        <f aca="false">IF($C26="","",Q26+INDEX(FFScost,N(T26)+1)+IF(OR(AM26="NO APTO/REPARAR",AM26="APTO CON LIMITACIONES"),N(W26),0)+RBIimpl)</f>
        <v/>
      </c>
      <c r="BJ26" s="47" t="str">
        <f aca="false">IF($C26="","",IF(R26=0,Horiz,(1-(1+R26)^(-Horiz))/R26))</f>
        <v/>
      </c>
      <c r="BK26" s="50" t="str">
        <f aca="false">IF($C26="","",BH26*BJ26)</f>
        <v/>
      </c>
      <c r="BL26" s="53" t="str">
        <f aca="false">IF($C26="","",IFERROR(BK26/BI26,0))</f>
        <v/>
      </c>
      <c r="BM26" s="54" t="str">
        <f aca="false">IF($C26="","",BK26-BI26)</f>
        <v/>
      </c>
      <c r="BN26" s="55" t="str">
        <f aca="false">IF($C26="","",IFERROR((Horiz*BH26-BI26)/BI26,0))</f>
        <v/>
      </c>
      <c r="BO26" s="46" t="str">
        <f aca="false">IF($C26="","",IF(BH26&gt;0,BI26/BH26,"No recupera"))</f>
        <v/>
      </c>
      <c r="BP26" s="46" t="str">
        <f aca="false">IF($C26="","",IF(BH26&lt;=0,"No recupera",IF(R26=0,BI26/BH26,IFERROR(-LN(1-BI26*R26/BH26)/LN(1+R26),"No recupera"))))</f>
        <v/>
      </c>
      <c r="BQ26" s="54" t="str">
        <f aca="false">IF($C26="","",BH26-BI26/BJ26)</f>
        <v/>
      </c>
      <c r="BR26" s="51" t="str">
        <f aca="false">IF($C26="","",IF(BL26&gt;1,"ACEPTABLE","NO ACEPTABLE"))</f>
        <v/>
      </c>
      <c r="BS26" s="56" t="str">
        <f aca="false">IF($C26="","",IF(ISNUMBER(AF26),IF(AF26&lt;0,IF(LEFT(AM26,4)="APTO","RUL&lt;0 con FFS apto: verificar","RUL&lt;0"),""),""))</f>
        <v/>
      </c>
      <c r="BT26" s="54" t="str">
        <f aca="false">IF($C26="","",-$BI26+IF($R26=0,$BH26*MIN(BT$15,Horiz),$BH26*(1-(1+$R26)^(-MIN(BT$15,Horiz)))/$R26))</f>
        <v/>
      </c>
      <c r="BU26" s="54" t="str">
        <f aca="false">IF($C26="","",-$BI26+IF($R26=0,$BH26*MIN(BU$15,Horiz),$BH26*(1-(1+$R26)^(-MIN(BU$15,Horiz)))/$R26))</f>
        <v/>
      </c>
      <c r="BV26" s="54" t="str">
        <f aca="false">IF($C26="","",-$BI26+IF($R26=0,$BH26*MIN(BV$15,Horiz),$BH26*(1-(1+$R26)^(-MIN(BV$15,Horiz)))/$R26))</f>
        <v/>
      </c>
      <c r="BW26" s="54" t="str">
        <f aca="false">IF($C26="","",-$BI26+IF($R26=0,$BH26*MIN(BW$15,Horiz),$BH26*(1-(1+$R26)^(-MIN(BW$15,Horiz)))/$R26))</f>
        <v/>
      </c>
      <c r="BX26" s="54" t="str">
        <f aca="false">IF($C26="","",-$BI26+IF($R26=0,$BH26*MIN(BX$15,Horiz),$BH26*(1-(1+$R26)^(-MIN(BX$15,Horiz)))/$R26))</f>
        <v/>
      </c>
      <c r="BY26" s="54" t="str">
        <f aca="false">IF($C26="","",-$BI26+IF($R26=0,$BH26*MIN(BY$15,Horiz),$BH26*(1-(1+$R26)^(-MIN(BY$15,Horiz)))/$R26))</f>
        <v/>
      </c>
      <c r="BZ26" s="54" t="str">
        <f aca="false">IF($C26="","",-$BI26+IF($R26=0,$BH26*MIN(BZ$15,Horiz),$BH26*(1-(1+$R26)^(-MIN(BZ$15,Horiz)))/$R26))</f>
        <v/>
      </c>
      <c r="CA26" s="54" t="str">
        <f aca="false">IF($C26="","",-$BI26+IF($R26=0,$BH26*MIN(CA$15,Horiz),$BH26*(1-(1+$R26)^(-MIN(CA$15,Horiz)))/$R26))</f>
        <v/>
      </c>
      <c r="CB26" s="54" t="str">
        <f aca="false">IF($C26="","",-$BI26+IF($R26=0,$BH26*MIN(CB$15,Horiz),$BH26*(1-(1+$R26)^(-MIN(CB$15,Horiz)))/$R26))</f>
        <v/>
      </c>
      <c r="CC26" s="54" t="str">
        <f aca="false">IF($C26="","",-$BI26+IF($R26=0,$BH26*MIN(CC$15,Horiz),$BH26*(1-(1+$R26)^(-MIN(CC$15,Horiz)))/$R26))</f>
        <v/>
      </c>
      <c r="CD26" s="54" t="str">
        <f aca="false">IF($C26="","",-$BI26+IF($R26=0,$BH26*MIN(CD$15,Horiz),$BH26*(1-(1+$R26)^(-MIN(CD$15,Horiz)))/$R26))</f>
        <v/>
      </c>
      <c r="CE26" s="54" t="str">
        <f aca="false">IF($C26="","",-$BI26+IF($R26=0,$BH26*MIN(CE$15,Horiz),$BH26*(1-(1+$R26)^(-MIN(CE$15,Horiz)))/$R26))</f>
        <v/>
      </c>
      <c r="CF26" s="54" t="str">
        <f aca="false">IF($C26="","",-$BI26+IF($R26=0,$BH26*MIN(CF$15,Horiz),$BH26*(1-(1+$R26)^(-MIN(CF$15,Horiz)))/$R26))</f>
        <v/>
      </c>
      <c r="CG26" s="54" t="str">
        <f aca="false">IF($C26="","",-$BI26+IF($R26=0,$BH26*MIN(CG$15,Horiz),$BH26*(1-(1+$R26)^(-MIN(CG$15,Horiz)))/$R26))</f>
        <v/>
      </c>
      <c r="CH26" s="54" t="str">
        <f aca="false">IF($C26="","",-$BI26+IF($R26=0,$BH26*MIN(CH$15,Horiz),$BH26*(1-(1+$R26)^(-MIN(CH$15,Horiz)))/$R26))</f>
        <v/>
      </c>
      <c r="CI26" s="54" t="str">
        <f aca="false">IF($C26="","",-$BI26+IF($R26=0,$BH26*MIN(CI$15,Horiz),$BH26*(1-(1+$R26)^(-MIN(CI$15,Horiz)))/$R26))</f>
        <v/>
      </c>
    </row>
    <row r="27" customFormat="false" ht="15" hidden="false" customHeight="false" outlineLevel="0" collapsed="false">
      <c r="A27" s="34" t="n">
        <v>12</v>
      </c>
      <c r="B27" s="35"/>
      <c r="C27" s="36"/>
      <c r="D27" s="35"/>
      <c r="E27" s="35"/>
      <c r="F27" s="37"/>
      <c r="G27" s="37"/>
      <c r="H27" s="38"/>
      <c r="I27" s="39"/>
      <c r="J27" s="40"/>
      <c r="K27" s="37"/>
      <c r="L27" s="35"/>
      <c r="M27" s="36"/>
      <c r="N27" s="41"/>
      <c r="O27" s="42"/>
      <c r="P27" s="43"/>
      <c r="Q27" s="42"/>
      <c r="R27" s="44"/>
      <c r="S27" s="36"/>
      <c r="T27" s="37"/>
      <c r="U27" s="36"/>
      <c r="V27" s="36"/>
      <c r="W27" s="42"/>
      <c r="X27" s="37"/>
      <c r="Y27" s="37"/>
      <c r="Z27" s="42"/>
      <c r="AA27" s="37"/>
      <c r="AB27" s="36"/>
      <c r="AC27" s="37"/>
      <c r="AD27" s="36"/>
      <c r="AE27" s="45" t="str">
        <f aca="false">IF($C27="","",AnioEval-K27)</f>
        <v/>
      </c>
      <c r="AF27" s="46" t="str">
        <f aca="false">IF($C27="","",IF(AND(ISNUMBER(J27),I27&gt;0),(H27-J27)/(I27*SensCR)-AE27,"n/d"))</f>
        <v/>
      </c>
      <c r="AG27" s="47" t="str">
        <f aca="false">IF($C27="","",IFERROR(I27*SensCR*AE27/H27,0))</f>
        <v/>
      </c>
      <c r="AH27" s="48" t="str">
        <f aca="false">IF($C27="","",IF(INDEX(MecTipo,MATCH(L27,MecList,0))="F",IFERROR(INDEX(SusDF,MATCH(M27,SusList,0)),1),LOOKUP(AG27,ArtLim,ArtDF)))</f>
        <v/>
      </c>
      <c r="AI27" s="48" t="str">
        <f aca="false">IF($C27="","",IF(ISNUMBER(N27),N27,AH27))</f>
        <v/>
      </c>
      <c r="AJ27" s="49" t="str">
        <f aca="false">IF($C27="","",INDEX(GFFval,MATCH(D27,GFFtipo,0)))</f>
        <v/>
      </c>
      <c r="AK27" s="49" t="str">
        <f aca="false">IF($C27="","",AJ27*AI27*FMS)</f>
        <v/>
      </c>
      <c r="AL27" s="50" t="str">
        <f aca="false">IF($C27="","",AK27*O27)</f>
        <v/>
      </c>
      <c r="AM27" s="51" t="str">
        <f aca="false">IF($C27="","",IF(N(T27)=0,"No requerido",IF(AND(U27="Apto",V27="Pasa"),"APTO/PASA",IF(AND(U27="Apto con limitaciones",V27="Pasa"),"APTO CON LIMITACIONES",IF(U27="No apto","NO APTO/REPARAR","REVISAR")))))</f>
        <v/>
      </c>
      <c r="AN27" s="48" t="str">
        <f aca="false">IF($C27="","",IF(AM27="NO APTO/REPARAR",1,MAX(1,AI27*INDEX(EffRet,MATCH(S27,EffList,0))*INDEX(FFSfac,MATCH(AM27,FFSlist,0)))))</f>
        <v/>
      </c>
      <c r="AO27" s="49" t="str">
        <f aca="false">IF($C27="","",AJ27*AN27*FMS)</f>
        <v/>
      </c>
      <c r="AP27" s="50" t="str">
        <f aca="false">IF($C27="","",AO27*O27)</f>
        <v/>
      </c>
      <c r="AQ27" s="50" t="str">
        <f aca="false">IF($C27="","",IFERROR(AJ27*FMS*INDEX(DFrep,AA27)*INDEX(FCrep,MATCH(AB27,CatLet,0)),AL27))</f>
        <v/>
      </c>
      <c r="AR27" s="50" t="str">
        <f aca="false">IF($C27="","",IFERROR(AJ27*FMS*INDEX(DFrep,AC27)*INDEX(FCrep,MATCH(AD27,CatLet,0)),AP27))</f>
        <v/>
      </c>
      <c r="AS27" s="52" t="str">
        <f aca="false">IF($C27="","",(1+SUMPRODUCT(--(AI27&gt;PcutDF)))&amp;CHOOSE(1+SUMPRODUCT(--(O27&gt;CcutFC)),"A","B","C","D","E"))</f>
        <v/>
      </c>
      <c r="AT27" s="52" t="str">
        <f aca="false">IF($C27="","",(1+SUMPRODUCT(--(AN27&gt;PcutDF)))&amp;CHOOSE(1+SUMPRODUCT(--(O27&gt;CcutFC)),"A","B","C","D","E"))</f>
        <v/>
      </c>
      <c r="AU27" s="52" t="str">
        <f aca="false">IF($C27="","",IF(AND(AA27&amp;AB27=AS27,AC27&amp;AD27=AT27),"OK","REVISAR"))</f>
        <v/>
      </c>
      <c r="AV27" s="45" t="str">
        <f aca="false">IF($C27="","",IFERROR(INDEX(RAMlev,AA27,MATCH(AB27,CatLet,0)),""))</f>
        <v/>
      </c>
      <c r="AW27" s="45" t="str">
        <f aca="false">IF($C27="","",IFERROR(INDEX(RAMlev,AC27,MATCH(AD27,CatLet,0)),""))</f>
        <v/>
      </c>
      <c r="AX27" s="52" t="str">
        <f aca="false">IF($C27="","",IF(AW27="","",IF(AW27&lt;=ObjNivel,"Cumple","Excede")))</f>
        <v/>
      </c>
      <c r="AY27" s="50" t="str">
        <f aca="false">IF($C27="","",IF(Base="RAM",AQ27,AL27))</f>
        <v/>
      </c>
      <c r="AZ27" s="50" t="str">
        <f aca="false">IF($C27="","",IF(Base="RAM",AR27,AP27))</f>
        <v/>
      </c>
      <c r="BA27" s="50" t="str">
        <f aca="false">IF($C27="","",AY27-AZ27)</f>
        <v/>
      </c>
      <c r="BB27" s="50" t="str">
        <f aca="false">IF($C27="","",BA27*N(P27))</f>
        <v/>
      </c>
      <c r="BC27" s="50" t="str">
        <f aca="false">IF($C27="","",BA27-BB27)</f>
        <v/>
      </c>
      <c r="BD27" s="50" t="str">
        <f aca="false">IF($C27="","",IFERROR(Q27*(1/X27-1/Y27),0))</f>
        <v/>
      </c>
      <c r="BE27" s="50" t="str">
        <f aca="false">IF($C27="","",IFERROR(Z27*(1/X27-1/Y27),0))</f>
        <v/>
      </c>
      <c r="BF27" s="50" t="str">
        <f aca="false">IF($C27="","",IFERROR((Q27+Z27)/X27,0))</f>
        <v/>
      </c>
      <c r="BG27" s="50" t="str">
        <f aca="false">IF($C27="","",IFERROR((Q27+Z27)/Y27,0))</f>
        <v/>
      </c>
      <c r="BH27" s="50" t="str">
        <f aca="false">IF($C27="","",BA27+BD27+BE27)</f>
        <v/>
      </c>
      <c r="BI27" s="50" t="str">
        <f aca="false">IF($C27="","",Q27+INDEX(FFScost,N(T27)+1)+IF(OR(AM27="NO APTO/REPARAR",AM27="APTO CON LIMITACIONES"),N(W27),0)+RBIimpl)</f>
        <v/>
      </c>
      <c r="BJ27" s="47" t="str">
        <f aca="false">IF($C27="","",IF(R27=0,Horiz,(1-(1+R27)^(-Horiz))/R27))</f>
        <v/>
      </c>
      <c r="BK27" s="50" t="str">
        <f aca="false">IF($C27="","",BH27*BJ27)</f>
        <v/>
      </c>
      <c r="BL27" s="53" t="str">
        <f aca="false">IF($C27="","",IFERROR(BK27/BI27,0))</f>
        <v/>
      </c>
      <c r="BM27" s="54" t="str">
        <f aca="false">IF($C27="","",BK27-BI27)</f>
        <v/>
      </c>
      <c r="BN27" s="55" t="str">
        <f aca="false">IF($C27="","",IFERROR((Horiz*BH27-BI27)/BI27,0))</f>
        <v/>
      </c>
      <c r="BO27" s="46" t="str">
        <f aca="false">IF($C27="","",IF(BH27&gt;0,BI27/BH27,"No recupera"))</f>
        <v/>
      </c>
      <c r="BP27" s="46" t="str">
        <f aca="false">IF($C27="","",IF(BH27&lt;=0,"No recupera",IF(R27=0,BI27/BH27,IFERROR(-LN(1-BI27*R27/BH27)/LN(1+R27),"No recupera"))))</f>
        <v/>
      </c>
      <c r="BQ27" s="54" t="str">
        <f aca="false">IF($C27="","",BH27-BI27/BJ27)</f>
        <v/>
      </c>
      <c r="BR27" s="51" t="str">
        <f aca="false">IF($C27="","",IF(BL27&gt;1,"ACEPTABLE","NO ACEPTABLE"))</f>
        <v/>
      </c>
      <c r="BS27" s="56" t="str">
        <f aca="false">IF($C27="","",IF(ISNUMBER(AF27),IF(AF27&lt;0,IF(LEFT(AM27,4)="APTO","RUL&lt;0 con FFS apto: verificar","RUL&lt;0"),""),""))</f>
        <v/>
      </c>
      <c r="BT27" s="54" t="str">
        <f aca="false">IF($C27="","",-$BI27+IF($R27=0,$BH27*MIN(BT$15,Horiz),$BH27*(1-(1+$R27)^(-MIN(BT$15,Horiz)))/$R27))</f>
        <v/>
      </c>
      <c r="BU27" s="54" t="str">
        <f aca="false">IF($C27="","",-$BI27+IF($R27=0,$BH27*MIN(BU$15,Horiz),$BH27*(1-(1+$R27)^(-MIN(BU$15,Horiz)))/$R27))</f>
        <v/>
      </c>
      <c r="BV27" s="54" t="str">
        <f aca="false">IF($C27="","",-$BI27+IF($R27=0,$BH27*MIN(BV$15,Horiz),$BH27*(1-(1+$R27)^(-MIN(BV$15,Horiz)))/$R27))</f>
        <v/>
      </c>
      <c r="BW27" s="54" t="str">
        <f aca="false">IF($C27="","",-$BI27+IF($R27=0,$BH27*MIN(BW$15,Horiz),$BH27*(1-(1+$R27)^(-MIN(BW$15,Horiz)))/$R27))</f>
        <v/>
      </c>
      <c r="BX27" s="54" t="str">
        <f aca="false">IF($C27="","",-$BI27+IF($R27=0,$BH27*MIN(BX$15,Horiz),$BH27*(1-(1+$R27)^(-MIN(BX$15,Horiz)))/$R27))</f>
        <v/>
      </c>
      <c r="BY27" s="54" t="str">
        <f aca="false">IF($C27="","",-$BI27+IF($R27=0,$BH27*MIN(BY$15,Horiz),$BH27*(1-(1+$R27)^(-MIN(BY$15,Horiz)))/$R27))</f>
        <v/>
      </c>
      <c r="BZ27" s="54" t="str">
        <f aca="false">IF($C27="","",-$BI27+IF($R27=0,$BH27*MIN(BZ$15,Horiz),$BH27*(1-(1+$R27)^(-MIN(BZ$15,Horiz)))/$R27))</f>
        <v/>
      </c>
      <c r="CA27" s="54" t="str">
        <f aca="false">IF($C27="","",-$BI27+IF($R27=0,$BH27*MIN(CA$15,Horiz),$BH27*(1-(1+$R27)^(-MIN(CA$15,Horiz)))/$R27))</f>
        <v/>
      </c>
      <c r="CB27" s="54" t="str">
        <f aca="false">IF($C27="","",-$BI27+IF($R27=0,$BH27*MIN(CB$15,Horiz),$BH27*(1-(1+$R27)^(-MIN(CB$15,Horiz)))/$R27))</f>
        <v/>
      </c>
      <c r="CC27" s="54" t="str">
        <f aca="false">IF($C27="","",-$BI27+IF($R27=0,$BH27*MIN(CC$15,Horiz),$BH27*(1-(1+$R27)^(-MIN(CC$15,Horiz)))/$R27))</f>
        <v/>
      </c>
      <c r="CD27" s="54" t="str">
        <f aca="false">IF($C27="","",-$BI27+IF($R27=0,$BH27*MIN(CD$15,Horiz),$BH27*(1-(1+$R27)^(-MIN(CD$15,Horiz)))/$R27))</f>
        <v/>
      </c>
      <c r="CE27" s="54" t="str">
        <f aca="false">IF($C27="","",-$BI27+IF($R27=0,$BH27*MIN(CE$15,Horiz),$BH27*(1-(1+$R27)^(-MIN(CE$15,Horiz)))/$R27))</f>
        <v/>
      </c>
      <c r="CF27" s="54" t="str">
        <f aca="false">IF($C27="","",-$BI27+IF($R27=0,$BH27*MIN(CF$15,Horiz),$BH27*(1-(1+$R27)^(-MIN(CF$15,Horiz)))/$R27))</f>
        <v/>
      </c>
      <c r="CG27" s="54" t="str">
        <f aca="false">IF($C27="","",-$BI27+IF($R27=0,$BH27*MIN(CG$15,Horiz),$BH27*(1-(1+$R27)^(-MIN(CG$15,Horiz)))/$R27))</f>
        <v/>
      </c>
      <c r="CH27" s="54" t="str">
        <f aca="false">IF($C27="","",-$BI27+IF($R27=0,$BH27*MIN(CH$15,Horiz),$BH27*(1-(1+$R27)^(-MIN(CH$15,Horiz)))/$R27))</f>
        <v/>
      </c>
      <c r="CI27" s="54" t="str">
        <f aca="false">IF($C27="","",-$BI27+IF($R27=0,$BH27*MIN(CI$15,Horiz),$BH27*(1-(1+$R27)^(-MIN(CI$15,Horiz)))/$R27))</f>
        <v/>
      </c>
    </row>
    <row r="28" customFormat="false" ht="15" hidden="false" customHeight="false" outlineLevel="0" collapsed="false">
      <c r="A28" s="34" t="n">
        <v>13</v>
      </c>
      <c r="B28" s="35"/>
      <c r="C28" s="36"/>
      <c r="D28" s="35"/>
      <c r="E28" s="35"/>
      <c r="F28" s="37"/>
      <c r="G28" s="37"/>
      <c r="H28" s="38"/>
      <c r="I28" s="39"/>
      <c r="J28" s="40"/>
      <c r="K28" s="37"/>
      <c r="L28" s="35"/>
      <c r="M28" s="36"/>
      <c r="N28" s="41"/>
      <c r="O28" s="42"/>
      <c r="P28" s="43"/>
      <c r="Q28" s="42"/>
      <c r="R28" s="44"/>
      <c r="S28" s="36"/>
      <c r="T28" s="37"/>
      <c r="U28" s="36"/>
      <c r="V28" s="36"/>
      <c r="W28" s="42"/>
      <c r="X28" s="37"/>
      <c r="Y28" s="37"/>
      <c r="Z28" s="42"/>
      <c r="AA28" s="37"/>
      <c r="AB28" s="36"/>
      <c r="AC28" s="37"/>
      <c r="AD28" s="36"/>
      <c r="AE28" s="45" t="str">
        <f aca="false">IF($C28="","",AnioEval-K28)</f>
        <v/>
      </c>
      <c r="AF28" s="46" t="str">
        <f aca="false">IF($C28="","",IF(AND(ISNUMBER(J28),I28&gt;0),(H28-J28)/(I28*SensCR)-AE28,"n/d"))</f>
        <v/>
      </c>
      <c r="AG28" s="47" t="str">
        <f aca="false">IF($C28="","",IFERROR(I28*SensCR*AE28/H28,0))</f>
        <v/>
      </c>
      <c r="AH28" s="48" t="str">
        <f aca="false">IF($C28="","",IF(INDEX(MecTipo,MATCH(L28,MecList,0))="F",IFERROR(INDEX(SusDF,MATCH(M28,SusList,0)),1),LOOKUP(AG28,ArtLim,ArtDF)))</f>
        <v/>
      </c>
      <c r="AI28" s="48" t="str">
        <f aca="false">IF($C28="","",IF(ISNUMBER(N28),N28,AH28))</f>
        <v/>
      </c>
      <c r="AJ28" s="49" t="str">
        <f aca="false">IF($C28="","",INDEX(GFFval,MATCH(D28,GFFtipo,0)))</f>
        <v/>
      </c>
      <c r="AK28" s="49" t="str">
        <f aca="false">IF($C28="","",AJ28*AI28*FMS)</f>
        <v/>
      </c>
      <c r="AL28" s="50" t="str">
        <f aca="false">IF($C28="","",AK28*O28)</f>
        <v/>
      </c>
      <c r="AM28" s="51" t="str">
        <f aca="false">IF($C28="","",IF(N(T28)=0,"No requerido",IF(AND(U28="Apto",V28="Pasa"),"APTO/PASA",IF(AND(U28="Apto con limitaciones",V28="Pasa"),"APTO CON LIMITACIONES",IF(U28="No apto","NO APTO/REPARAR","REVISAR")))))</f>
        <v/>
      </c>
      <c r="AN28" s="48" t="str">
        <f aca="false">IF($C28="","",IF(AM28="NO APTO/REPARAR",1,MAX(1,AI28*INDEX(EffRet,MATCH(S28,EffList,0))*INDEX(FFSfac,MATCH(AM28,FFSlist,0)))))</f>
        <v/>
      </c>
      <c r="AO28" s="49" t="str">
        <f aca="false">IF($C28="","",AJ28*AN28*FMS)</f>
        <v/>
      </c>
      <c r="AP28" s="50" t="str">
        <f aca="false">IF($C28="","",AO28*O28)</f>
        <v/>
      </c>
      <c r="AQ28" s="50" t="str">
        <f aca="false">IF($C28="","",IFERROR(AJ28*FMS*INDEX(DFrep,AA28)*INDEX(FCrep,MATCH(AB28,CatLet,0)),AL28))</f>
        <v/>
      </c>
      <c r="AR28" s="50" t="str">
        <f aca="false">IF($C28="","",IFERROR(AJ28*FMS*INDEX(DFrep,AC28)*INDEX(FCrep,MATCH(AD28,CatLet,0)),AP28))</f>
        <v/>
      </c>
      <c r="AS28" s="52" t="str">
        <f aca="false">IF($C28="","",(1+SUMPRODUCT(--(AI28&gt;PcutDF)))&amp;CHOOSE(1+SUMPRODUCT(--(O28&gt;CcutFC)),"A","B","C","D","E"))</f>
        <v/>
      </c>
      <c r="AT28" s="52" t="str">
        <f aca="false">IF($C28="","",(1+SUMPRODUCT(--(AN28&gt;PcutDF)))&amp;CHOOSE(1+SUMPRODUCT(--(O28&gt;CcutFC)),"A","B","C","D","E"))</f>
        <v/>
      </c>
      <c r="AU28" s="52" t="str">
        <f aca="false">IF($C28="","",IF(AND(AA28&amp;AB28=AS28,AC28&amp;AD28=AT28),"OK","REVISAR"))</f>
        <v/>
      </c>
      <c r="AV28" s="45" t="str">
        <f aca="false">IF($C28="","",IFERROR(INDEX(RAMlev,AA28,MATCH(AB28,CatLet,0)),""))</f>
        <v/>
      </c>
      <c r="AW28" s="45" t="str">
        <f aca="false">IF($C28="","",IFERROR(INDEX(RAMlev,AC28,MATCH(AD28,CatLet,0)),""))</f>
        <v/>
      </c>
      <c r="AX28" s="52" t="str">
        <f aca="false">IF($C28="","",IF(AW28="","",IF(AW28&lt;=ObjNivel,"Cumple","Excede")))</f>
        <v/>
      </c>
      <c r="AY28" s="50" t="str">
        <f aca="false">IF($C28="","",IF(Base="RAM",AQ28,AL28))</f>
        <v/>
      </c>
      <c r="AZ28" s="50" t="str">
        <f aca="false">IF($C28="","",IF(Base="RAM",AR28,AP28))</f>
        <v/>
      </c>
      <c r="BA28" s="50" t="str">
        <f aca="false">IF($C28="","",AY28-AZ28)</f>
        <v/>
      </c>
      <c r="BB28" s="50" t="str">
        <f aca="false">IF($C28="","",BA28*N(P28))</f>
        <v/>
      </c>
      <c r="BC28" s="50" t="str">
        <f aca="false">IF($C28="","",BA28-BB28)</f>
        <v/>
      </c>
      <c r="BD28" s="50" t="str">
        <f aca="false">IF($C28="","",IFERROR(Q28*(1/X28-1/Y28),0))</f>
        <v/>
      </c>
      <c r="BE28" s="50" t="str">
        <f aca="false">IF($C28="","",IFERROR(Z28*(1/X28-1/Y28),0))</f>
        <v/>
      </c>
      <c r="BF28" s="50" t="str">
        <f aca="false">IF($C28="","",IFERROR((Q28+Z28)/X28,0))</f>
        <v/>
      </c>
      <c r="BG28" s="50" t="str">
        <f aca="false">IF($C28="","",IFERROR((Q28+Z28)/Y28,0))</f>
        <v/>
      </c>
      <c r="BH28" s="50" t="str">
        <f aca="false">IF($C28="","",BA28+BD28+BE28)</f>
        <v/>
      </c>
      <c r="BI28" s="50" t="str">
        <f aca="false">IF($C28="","",Q28+INDEX(FFScost,N(T28)+1)+IF(OR(AM28="NO APTO/REPARAR",AM28="APTO CON LIMITACIONES"),N(W28),0)+RBIimpl)</f>
        <v/>
      </c>
      <c r="BJ28" s="47" t="str">
        <f aca="false">IF($C28="","",IF(R28=0,Horiz,(1-(1+R28)^(-Horiz))/R28))</f>
        <v/>
      </c>
      <c r="BK28" s="50" t="str">
        <f aca="false">IF($C28="","",BH28*BJ28)</f>
        <v/>
      </c>
      <c r="BL28" s="53" t="str">
        <f aca="false">IF($C28="","",IFERROR(BK28/BI28,0))</f>
        <v/>
      </c>
      <c r="BM28" s="54" t="str">
        <f aca="false">IF($C28="","",BK28-BI28)</f>
        <v/>
      </c>
      <c r="BN28" s="55" t="str">
        <f aca="false">IF($C28="","",IFERROR((Horiz*BH28-BI28)/BI28,0))</f>
        <v/>
      </c>
      <c r="BO28" s="46" t="str">
        <f aca="false">IF($C28="","",IF(BH28&gt;0,BI28/BH28,"No recupera"))</f>
        <v/>
      </c>
      <c r="BP28" s="46" t="str">
        <f aca="false">IF($C28="","",IF(BH28&lt;=0,"No recupera",IF(R28=0,BI28/BH28,IFERROR(-LN(1-BI28*R28/BH28)/LN(1+R28),"No recupera"))))</f>
        <v/>
      </c>
      <c r="BQ28" s="54" t="str">
        <f aca="false">IF($C28="","",BH28-BI28/BJ28)</f>
        <v/>
      </c>
      <c r="BR28" s="51" t="str">
        <f aca="false">IF($C28="","",IF(BL28&gt;1,"ACEPTABLE","NO ACEPTABLE"))</f>
        <v/>
      </c>
      <c r="BS28" s="56" t="str">
        <f aca="false">IF($C28="","",IF(ISNUMBER(AF28),IF(AF28&lt;0,IF(LEFT(AM28,4)="APTO","RUL&lt;0 con FFS apto: verificar","RUL&lt;0"),""),""))</f>
        <v/>
      </c>
      <c r="BT28" s="54" t="str">
        <f aca="false">IF($C28="","",-$BI28+IF($R28=0,$BH28*MIN(BT$15,Horiz),$BH28*(1-(1+$R28)^(-MIN(BT$15,Horiz)))/$R28))</f>
        <v/>
      </c>
      <c r="BU28" s="54" t="str">
        <f aca="false">IF($C28="","",-$BI28+IF($R28=0,$BH28*MIN(BU$15,Horiz),$BH28*(1-(1+$R28)^(-MIN(BU$15,Horiz)))/$R28))</f>
        <v/>
      </c>
      <c r="BV28" s="54" t="str">
        <f aca="false">IF($C28="","",-$BI28+IF($R28=0,$BH28*MIN(BV$15,Horiz),$BH28*(1-(1+$R28)^(-MIN(BV$15,Horiz)))/$R28))</f>
        <v/>
      </c>
      <c r="BW28" s="54" t="str">
        <f aca="false">IF($C28="","",-$BI28+IF($R28=0,$BH28*MIN(BW$15,Horiz),$BH28*(1-(1+$R28)^(-MIN(BW$15,Horiz)))/$R28))</f>
        <v/>
      </c>
      <c r="BX28" s="54" t="str">
        <f aca="false">IF($C28="","",-$BI28+IF($R28=0,$BH28*MIN(BX$15,Horiz),$BH28*(1-(1+$R28)^(-MIN(BX$15,Horiz)))/$R28))</f>
        <v/>
      </c>
      <c r="BY28" s="54" t="str">
        <f aca="false">IF($C28="","",-$BI28+IF($R28=0,$BH28*MIN(BY$15,Horiz),$BH28*(1-(1+$R28)^(-MIN(BY$15,Horiz)))/$R28))</f>
        <v/>
      </c>
      <c r="BZ28" s="54" t="str">
        <f aca="false">IF($C28="","",-$BI28+IF($R28=0,$BH28*MIN(BZ$15,Horiz),$BH28*(1-(1+$R28)^(-MIN(BZ$15,Horiz)))/$R28))</f>
        <v/>
      </c>
      <c r="CA28" s="54" t="str">
        <f aca="false">IF($C28="","",-$BI28+IF($R28=0,$BH28*MIN(CA$15,Horiz),$BH28*(1-(1+$R28)^(-MIN(CA$15,Horiz)))/$R28))</f>
        <v/>
      </c>
      <c r="CB28" s="54" t="str">
        <f aca="false">IF($C28="","",-$BI28+IF($R28=0,$BH28*MIN(CB$15,Horiz),$BH28*(1-(1+$R28)^(-MIN(CB$15,Horiz)))/$R28))</f>
        <v/>
      </c>
      <c r="CC28" s="54" t="str">
        <f aca="false">IF($C28="","",-$BI28+IF($R28=0,$BH28*MIN(CC$15,Horiz),$BH28*(1-(1+$R28)^(-MIN(CC$15,Horiz)))/$R28))</f>
        <v/>
      </c>
      <c r="CD28" s="54" t="str">
        <f aca="false">IF($C28="","",-$BI28+IF($R28=0,$BH28*MIN(CD$15,Horiz),$BH28*(1-(1+$R28)^(-MIN(CD$15,Horiz)))/$R28))</f>
        <v/>
      </c>
      <c r="CE28" s="54" t="str">
        <f aca="false">IF($C28="","",-$BI28+IF($R28=0,$BH28*MIN(CE$15,Horiz),$BH28*(1-(1+$R28)^(-MIN(CE$15,Horiz)))/$R28))</f>
        <v/>
      </c>
      <c r="CF28" s="54" t="str">
        <f aca="false">IF($C28="","",-$BI28+IF($R28=0,$BH28*MIN(CF$15,Horiz),$BH28*(1-(1+$R28)^(-MIN(CF$15,Horiz)))/$R28))</f>
        <v/>
      </c>
      <c r="CG28" s="54" t="str">
        <f aca="false">IF($C28="","",-$BI28+IF($R28=0,$BH28*MIN(CG$15,Horiz),$BH28*(1-(1+$R28)^(-MIN(CG$15,Horiz)))/$R28))</f>
        <v/>
      </c>
      <c r="CH28" s="54" t="str">
        <f aca="false">IF($C28="","",-$BI28+IF($R28=0,$BH28*MIN(CH$15,Horiz),$BH28*(1-(1+$R28)^(-MIN(CH$15,Horiz)))/$R28))</f>
        <v/>
      </c>
      <c r="CI28" s="54" t="str">
        <f aca="false">IF($C28="","",-$BI28+IF($R28=0,$BH28*MIN(CI$15,Horiz),$BH28*(1-(1+$R28)^(-MIN(CI$15,Horiz)))/$R28))</f>
        <v/>
      </c>
    </row>
    <row r="29" customFormat="false" ht="15" hidden="false" customHeight="false" outlineLevel="0" collapsed="false">
      <c r="A29" s="34" t="n">
        <v>14</v>
      </c>
      <c r="B29" s="35"/>
      <c r="C29" s="36"/>
      <c r="D29" s="35"/>
      <c r="E29" s="35"/>
      <c r="F29" s="37"/>
      <c r="G29" s="37"/>
      <c r="H29" s="38"/>
      <c r="I29" s="39"/>
      <c r="J29" s="40"/>
      <c r="K29" s="37"/>
      <c r="L29" s="35"/>
      <c r="M29" s="36"/>
      <c r="N29" s="41"/>
      <c r="O29" s="42"/>
      <c r="P29" s="43"/>
      <c r="Q29" s="42"/>
      <c r="R29" s="44"/>
      <c r="S29" s="36"/>
      <c r="T29" s="37"/>
      <c r="U29" s="36"/>
      <c r="V29" s="36"/>
      <c r="W29" s="42"/>
      <c r="X29" s="37"/>
      <c r="Y29" s="37"/>
      <c r="Z29" s="42"/>
      <c r="AA29" s="37"/>
      <c r="AB29" s="36"/>
      <c r="AC29" s="37"/>
      <c r="AD29" s="36"/>
      <c r="AE29" s="45" t="str">
        <f aca="false">IF($C29="","",AnioEval-K29)</f>
        <v/>
      </c>
      <c r="AF29" s="46" t="str">
        <f aca="false">IF($C29="","",IF(AND(ISNUMBER(J29),I29&gt;0),(H29-J29)/(I29*SensCR)-AE29,"n/d"))</f>
        <v/>
      </c>
      <c r="AG29" s="47" t="str">
        <f aca="false">IF($C29="","",IFERROR(I29*SensCR*AE29/H29,0))</f>
        <v/>
      </c>
      <c r="AH29" s="48" t="str">
        <f aca="false">IF($C29="","",IF(INDEX(MecTipo,MATCH(L29,MecList,0))="F",IFERROR(INDEX(SusDF,MATCH(M29,SusList,0)),1),LOOKUP(AG29,ArtLim,ArtDF)))</f>
        <v/>
      </c>
      <c r="AI29" s="48" t="str">
        <f aca="false">IF($C29="","",IF(ISNUMBER(N29),N29,AH29))</f>
        <v/>
      </c>
      <c r="AJ29" s="49" t="str">
        <f aca="false">IF($C29="","",INDEX(GFFval,MATCH(D29,GFFtipo,0)))</f>
        <v/>
      </c>
      <c r="AK29" s="49" t="str">
        <f aca="false">IF($C29="","",AJ29*AI29*FMS)</f>
        <v/>
      </c>
      <c r="AL29" s="50" t="str">
        <f aca="false">IF($C29="","",AK29*O29)</f>
        <v/>
      </c>
      <c r="AM29" s="51" t="str">
        <f aca="false">IF($C29="","",IF(N(T29)=0,"No requerido",IF(AND(U29="Apto",V29="Pasa"),"APTO/PASA",IF(AND(U29="Apto con limitaciones",V29="Pasa"),"APTO CON LIMITACIONES",IF(U29="No apto","NO APTO/REPARAR","REVISAR")))))</f>
        <v/>
      </c>
      <c r="AN29" s="48" t="str">
        <f aca="false">IF($C29="","",IF(AM29="NO APTO/REPARAR",1,MAX(1,AI29*INDEX(EffRet,MATCH(S29,EffList,0))*INDEX(FFSfac,MATCH(AM29,FFSlist,0)))))</f>
        <v/>
      </c>
      <c r="AO29" s="49" t="str">
        <f aca="false">IF($C29="","",AJ29*AN29*FMS)</f>
        <v/>
      </c>
      <c r="AP29" s="50" t="str">
        <f aca="false">IF($C29="","",AO29*O29)</f>
        <v/>
      </c>
      <c r="AQ29" s="50" t="str">
        <f aca="false">IF($C29="","",IFERROR(AJ29*FMS*INDEX(DFrep,AA29)*INDEX(FCrep,MATCH(AB29,CatLet,0)),AL29))</f>
        <v/>
      </c>
      <c r="AR29" s="50" t="str">
        <f aca="false">IF($C29="","",IFERROR(AJ29*FMS*INDEX(DFrep,AC29)*INDEX(FCrep,MATCH(AD29,CatLet,0)),AP29))</f>
        <v/>
      </c>
      <c r="AS29" s="52" t="str">
        <f aca="false">IF($C29="","",(1+SUMPRODUCT(--(AI29&gt;PcutDF)))&amp;CHOOSE(1+SUMPRODUCT(--(O29&gt;CcutFC)),"A","B","C","D","E"))</f>
        <v/>
      </c>
      <c r="AT29" s="52" t="str">
        <f aca="false">IF($C29="","",(1+SUMPRODUCT(--(AN29&gt;PcutDF)))&amp;CHOOSE(1+SUMPRODUCT(--(O29&gt;CcutFC)),"A","B","C","D","E"))</f>
        <v/>
      </c>
      <c r="AU29" s="52" t="str">
        <f aca="false">IF($C29="","",IF(AND(AA29&amp;AB29=AS29,AC29&amp;AD29=AT29),"OK","REVISAR"))</f>
        <v/>
      </c>
      <c r="AV29" s="45" t="str">
        <f aca="false">IF($C29="","",IFERROR(INDEX(RAMlev,AA29,MATCH(AB29,CatLet,0)),""))</f>
        <v/>
      </c>
      <c r="AW29" s="45" t="str">
        <f aca="false">IF($C29="","",IFERROR(INDEX(RAMlev,AC29,MATCH(AD29,CatLet,0)),""))</f>
        <v/>
      </c>
      <c r="AX29" s="52" t="str">
        <f aca="false">IF($C29="","",IF(AW29="","",IF(AW29&lt;=ObjNivel,"Cumple","Excede")))</f>
        <v/>
      </c>
      <c r="AY29" s="50" t="str">
        <f aca="false">IF($C29="","",IF(Base="RAM",AQ29,AL29))</f>
        <v/>
      </c>
      <c r="AZ29" s="50" t="str">
        <f aca="false">IF($C29="","",IF(Base="RAM",AR29,AP29))</f>
        <v/>
      </c>
      <c r="BA29" s="50" t="str">
        <f aca="false">IF($C29="","",AY29-AZ29)</f>
        <v/>
      </c>
      <c r="BB29" s="50" t="str">
        <f aca="false">IF($C29="","",BA29*N(P29))</f>
        <v/>
      </c>
      <c r="BC29" s="50" t="str">
        <f aca="false">IF($C29="","",BA29-BB29)</f>
        <v/>
      </c>
      <c r="BD29" s="50" t="str">
        <f aca="false">IF($C29="","",IFERROR(Q29*(1/X29-1/Y29),0))</f>
        <v/>
      </c>
      <c r="BE29" s="50" t="str">
        <f aca="false">IF($C29="","",IFERROR(Z29*(1/X29-1/Y29),0))</f>
        <v/>
      </c>
      <c r="BF29" s="50" t="str">
        <f aca="false">IF($C29="","",IFERROR((Q29+Z29)/X29,0))</f>
        <v/>
      </c>
      <c r="BG29" s="50" t="str">
        <f aca="false">IF($C29="","",IFERROR((Q29+Z29)/Y29,0))</f>
        <v/>
      </c>
      <c r="BH29" s="50" t="str">
        <f aca="false">IF($C29="","",BA29+BD29+BE29)</f>
        <v/>
      </c>
      <c r="BI29" s="50" t="str">
        <f aca="false">IF($C29="","",Q29+INDEX(FFScost,N(T29)+1)+IF(OR(AM29="NO APTO/REPARAR",AM29="APTO CON LIMITACIONES"),N(W29),0)+RBIimpl)</f>
        <v/>
      </c>
      <c r="BJ29" s="47" t="str">
        <f aca="false">IF($C29="","",IF(R29=0,Horiz,(1-(1+R29)^(-Horiz))/R29))</f>
        <v/>
      </c>
      <c r="BK29" s="50" t="str">
        <f aca="false">IF($C29="","",BH29*BJ29)</f>
        <v/>
      </c>
      <c r="BL29" s="53" t="str">
        <f aca="false">IF($C29="","",IFERROR(BK29/BI29,0))</f>
        <v/>
      </c>
      <c r="BM29" s="54" t="str">
        <f aca="false">IF($C29="","",BK29-BI29)</f>
        <v/>
      </c>
      <c r="BN29" s="55" t="str">
        <f aca="false">IF($C29="","",IFERROR((Horiz*BH29-BI29)/BI29,0))</f>
        <v/>
      </c>
      <c r="BO29" s="46" t="str">
        <f aca="false">IF($C29="","",IF(BH29&gt;0,BI29/BH29,"No recupera"))</f>
        <v/>
      </c>
      <c r="BP29" s="46" t="str">
        <f aca="false">IF($C29="","",IF(BH29&lt;=0,"No recupera",IF(R29=0,BI29/BH29,IFERROR(-LN(1-BI29*R29/BH29)/LN(1+R29),"No recupera"))))</f>
        <v/>
      </c>
      <c r="BQ29" s="54" t="str">
        <f aca="false">IF($C29="","",BH29-BI29/BJ29)</f>
        <v/>
      </c>
      <c r="BR29" s="51" t="str">
        <f aca="false">IF($C29="","",IF(BL29&gt;1,"ACEPTABLE","NO ACEPTABLE"))</f>
        <v/>
      </c>
      <c r="BS29" s="56" t="str">
        <f aca="false">IF($C29="","",IF(ISNUMBER(AF29),IF(AF29&lt;0,IF(LEFT(AM29,4)="APTO","RUL&lt;0 con FFS apto: verificar","RUL&lt;0"),""),""))</f>
        <v/>
      </c>
      <c r="BT29" s="54" t="str">
        <f aca="false">IF($C29="","",-$BI29+IF($R29=0,$BH29*MIN(BT$15,Horiz),$BH29*(1-(1+$R29)^(-MIN(BT$15,Horiz)))/$R29))</f>
        <v/>
      </c>
      <c r="BU29" s="54" t="str">
        <f aca="false">IF($C29="","",-$BI29+IF($R29=0,$BH29*MIN(BU$15,Horiz),$BH29*(1-(1+$R29)^(-MIN(BU$15,Horiz)))/$R29))</f>
        <v/>
      </c>
      <c r="BV29" s="54" t="str">
        <f aca="false">IF($C29="","",-$BI29+IF($R29=0,$BH29*MIN(BV$15,Horiz),$BH29*(1-(1+$R29)^(-MIN(BV$15,Horiz)))/$R29))</f>
        <v/>
      </c>
      <c r="BW29" s="54" t="str">
        <f aca="false">IF($C29="","",-$BI29+IF($R29=0,$BH29*MIN(BW$15,Horiz),$BH29*(1-(1+$R29)^(-MIN(BW$15,Horiz)))/$R29))</f>
        <v/>
      </c>
      <c r="BX29" s="54" t="str">
        <f aca="false">IF($C29="","",-$BI29+IF($R29=0,$BH29*MIN(BX$15,Horiz),$BH29*(1-(1+$R29)^(-MIN(BX$15,Horiz)))/$R29))</f>
        <v/>
      </c>
      <c r="BY29" s="54" t="str">
        <f aca="false">IF($C29="","",-$BI29+IF($R29=0,$BH29*MIN(BY$15,Horiz),$BH29*(1-(1+$R29)^(-MIN(BY$15,Horiz)))/$R29))</f>
        <v/>
      </c>
      <c r="BZ29" s="54" t="str">
        <f aca="false">IF($C29="","",-$BI29+IF($R29=0,$BH29*MIN(BZ$15,Horiz),$BH29*(1-(1+$R29)^(-MIN(BZ$15,Horiz)))/$R29))</f>
        <v/>
      </c>
      <c r="CA29" s="54" t="str">
        <f aca="false">IF($C29="","",-$BI29+IF($R29=0,$BH29*MIN(CA$15,Horiz),$BH29*(1-(1+$R29)^(-MIN(CA$15,Horiz)))/$R29))</f>
        <v/>
      </c>
      <c r="CB29" s="54" t="str">
        <f aca="false">IF($C29="","",-$BI29+IF($R29=0,$BH29*MIN(CB$15,Horiz),$BH29*(1-(1+$R29)^(-MIN(CB$15,Horiz)))/$R29))</f>
        <v/>
      </c>
      <c r="CC29" s="54" t="str">
        <f aca="false">IF($C29="","",-$BI29+IF($R29=0,$BH29*MIN(CC$15,Horiz),$BH29*(1-(1+$R29)^(-MIN(CC$15,Horiz)))/$R29))</f>
        <v/>
      </c>
      <c r="CD29" s="54" t="str">
        <f aca="false">IF($C29="","",-$BI29+IF($R29=0,$BH29*MIN(CD$15,Horiz),$BH29*(1-(1+$R29)^(-MIN(CD$15,Horiz)))/$R29))</f>
        <v/>
      </c>
      <c r="CE29" s="54" t="str">
        <f aca="false">IF($C29="","",-$BI29+IF($R29=0,$BH29*MIN(CE$15,Horiz),$BH29*(1-(1+$R29)^(-MIN(CE$15,Horiz)))/$R29))</f>
        <v/>
      </c>
      <c r="CF29" s="54" t="str">
        <f aca="false">IF($C29="","",-$BI29+IF($R29=0,$BH29*MIN(CF$15,Horiz),$BH29*(1-(1+$R29)^(-MIN(CF$15,Horiz)))/$R29))</f>
        <v/>
      </c>
      <c r="CG29" s="54" t="str">
        <f aca="false">IF($C29="","",-$BI29+IF($R29=0,$BH29*MIN(CG$15,Horiz),$BH29*(1-(1+$R29)^(-MIN(CG$15,Horiz)))/$R29))</f>
        <v/>
      </c>
      <c r="CH29" s="54" t="str">
        <f aca="false">IF($C29="","",-$BI29+IF($R29=0,$BH29*MIN(CH$15,Horiz),$BH29*(1-(1+$R29)^(-MIN(CH$15,Horiz)))/$R29))</f>
        <v/>
      </c>
      <c r="CI29" s="54" t="str">
        <f aca="false">IF($C29="","",-$BI29+IF($R29=0,$BH29*MIN(CI$15,Horiz),$BH29*(1-(1+$R29)^(-MIN(CI$15,Horiz)))/$R29))</f>
        <v/>
      </c>
    </row>
    <row r="30" customFormat="false" ht="15" hidden="false" customHeight="false" outlineLevel="0" collapsed="false">
      <c r="A30" s="34" t="n">
        <v>15</v>
      </c>
      <c r="B30" s="35"/>
      <c r="C30" s="36"/>
      <c r="D30" s="35"/>
      <c r="E30" s="35"/>
      <c r="F30" s="37"/>
      <c r="G30" s="37"/>
      <c r="H30" s="38"/>
      <c r="I30" s="39"/>
      <c r="J30" s="40"/>
      <c r="K30" s="37"/>
      <c r="L30" s="35"/>
      <c r="M30" s="36"/>
      <c r="N30" s="41"/>
      <c r="O30" s="42"/>
      <c r="P30" s="43"/>
      <c r="Q30" s="42"/>
      <c r="R30" s="44"/>
      <c r="S30" s="36"/>
      <c r="T30" s="37"/>
      <c r="U30" s="36"/>
      <c r="V30" s="36"/>
      <c r="W30" s="42"/>
      <c r="X30" s="37"/>
      <c r="Y30" s="37"/>
      <c r="Z30" s="42"/>
      <c r="AA30" s="37"/>
      <c r="AB30" s="36"/>
      <c r="AC30" s="37"/>
      <c r="AD30" s="36"/>
      <c r="AE30" s="45" t="str">
        <f aca="false">IF($C30="","",AnioEval-K30)</f>
        <v/>
      </c>
      <c r="AF30" s="46" t="str">
        <f aca="false">IF($C30="","",IF(AND(ISNUMBER(J30),I30&gt;0),(H30-J30)/(I30*SensCR)-AE30,"n/d"))</f>
        <v/>
      </c>
      <c r="AG30" s="47" t="str">
        <f aca="false">IF($C30="","",IFERROR(I30*SensCR*AE30/H30,0))</f>
        <v/>
      </c>
      <c r="AH30" s="48" t="str">
        <f aca="false">IF($C30="","",IF(INDEX(MecTipo,MATCH(L30,MecList,0))="F",IFERROR(INDEX(SusDF,MATCH(M30,SusList,0)),1),LOOKUP(AG30,ArtLim,ArtDF)))</f>
        <v/>
      </c>
      <c r="AI30" s="48" t="str">
        <f aca="false">IF($C30="","",IF(ISNUMBER(N30),N30,AH30))</f>
        <v/>
      </c>
      <c r="AJ30" s="49" t="str">
        <f aca="false">IF($C30="","",INDEX(GFFval,MATCH(D30,GFFtipo,0)))</f>
        <v/>
      </c>
      <c r="AK30" s="49" t="str">
        <f aca="false">IF($C30="","",AJ30*AI30*FMS)</f>
        <v/>
      </c>
      <c r="AL30" s="50" t="str">
        <f aca="false">IF($C30="","",AK30*O30)</f>
        <v/>
      </c>
      <c r="AM30" s="51" t="str">
        <f aca="false">IF($C30="","",IF(N(T30)=0,"No requerido",IF(AND(U30="Apto",V30="Pasa"),"APTO/PASA",IF(AND(U30="Apto con limitaciones",V30="Pasa"),"APTO CON LIMITACIONES",IF(U30="No apto","NO APTO/REPARAR","REVISAR")))))</f>
        <v/>
      </c>
      <c r="AN30" s="48" t="str">
        <f aca="false">IF($C30="","",IF(AM30="NO APTO/REPARAR",1,MAX(1,AI30*INDEX(EffRet,MATCH(S30,EffList,0))*INDEX(FFSfac,MATCH(AM30,FFSlist,0)))))</f>
        <v/>
      </c>
      <c r="AO30" s="49" t="str">
        <f aca="false">IF($C30="","",AJ30*AN30*FMS)</f>
        <v/>
      </c>
      <c r="AP30" s="50" t="str">
        <f aca="false">IF($C30="","",AO30*O30)</f>
        <v/>
      </c>
      <c r="AQ30" s="50" t="str">
        <f aca="false">IF($C30="","",IFERROR(AJ30*FMS*INDEX(DFrep,AA30)*INDEX(FCrep,MATCH(AB30,CatLet,0)),AL30))</f>
        <v/>
      </c>
      <c r="AR30" s="50" t="str">
        <f aca="false">IF($C30="","",IFERROR(AJ30*FMS*INDEX(DFrep,AC30)*INDEX(FCrep,MATCH(AD30,CatLet,0)),AP30))</f>
        <v/>
      </c>
      <c r="AS30" s="52" t="str">
        <f aca="false">IF($C30="","",(1+SUMPRODUCT(--(AI30&gt;PcutDF)))&amp;CHOOSE(1+SUMPRODUCT(--(O30&gt;CcutFC)),"A","B","C","D","E"))</f>
        <v/>
      </c>
      <c r="AT30" s="52" t="str">
        <f aca="false">IF($C30="","",(1+SUMPRODUCT(--(AN30&gt;PcutDF)))&amp;CHOOSE(1+SUMPRODUCT(--(O30&gt;CcutFC)),"A","B","C","D","E"))</f>
        <v/>
      </c>
      <c r="AU30" s="52" t="str">
        <f aca="false">IF($C30="","",IF(AND(AA30&amp;AB30=AS30,AC30&amp;AD30=AT30),"OK","REVISAR"))</f>
        <v/>
      </c>
      <c r="AV30" s="45" t="str">
        <f aca="false">IF($C30="","",IFERROR(INDEX(RAMlev,AA30,MATCH(AB30,CatLet,0)),""))</f>
        <v/>
      </c>
      <c r="AW30" s="45" t="str">
        <f aca="false">IF($C30="","",IFERROR(INDEX(RAMlev,AC30,MATCH(AD30,CatLet,0)),""))</f>
        <v/>
      </c>
      <c r="AX30" s="52" t="str">
        <f aca="false">IF($C30="","",IF(AW30="","",IF(AW30&lt;=ObjNivel,"Cumple","Excede")))</f>
        <v/>
      </c>
      <c r="AY30" s="50" t="str">
        <f aca="false">IF($C30="","",IF(Base="RAM",AQ30,AL30))</f>
        <v/>
      </c>
      <c r="AZ30" s="50" t="str">
        <f aca="false">IF($C30="","",IF(Base="RAM",AR30,AP30))</f>
        <v/>
      </c>
      <c r="BA30" s="50" t="str">
        <f aca="false">IF($C30="","",AY30-AZ30)</f>
        <v/>
      </c>
      <c r="BB30" s="50" t="str">
        <f aca="false">IF($C30="","",BA30*N(P30))</f>
        <v/>
      </c>
      <c r="BC30" s="50" t="str">
        <f aca="false">IF($C30="","",BA30-BB30)</f>
        <v/>
      </c>
      <c r="BD30" s="50" t="str">
        <f aca="false">IF($C30="","",IFERROR(Q30*(1/X30-1/Y30),0))</f>
        <v/>
      </c>
      <c r="BE30" s="50" t="str">
        <f aca="false">IF($C30="","",IFERROR(Z30*(1/X30-1/Y30),0))</f>
        <v/>
      </c>
      <c r="BF30" s="50" t="str">
        <f aca="false">IF($C30="","",IFERROR((Q30+Z30)/X30,0))</f>
        <v/>
      </c>
      <c r="BG30" s="50" t="str">
        <f aca="false">IF($C30="","",IFERROR((Q30+Z30)/Y30,0))</f>
        <v/>
      </c>
      <c r="BH30" s="50" t="str">
        <f aca="false">IF($C30="","",BA30+BD30+BE30)</f>
        <v/>
      </c>
      <c r="BI30" s="50" t="str">
        <f aca="false">IF($C30="","",Q30+INDEX(FFScost,N(T30)+1)+IF(OR(AM30="NO APTO/REPARAR",AM30="APTO CON LIMITACIONES"),N(W30),0)+RBIimpl)</f>
        <v/>
      </c>
      <c r="BJ30" s="47" t="str">
        <f aca="false">IF($C30="","",IF(R30=0,Horiz,(1-(1+R30)^(-Horiz))/R30))</f>
        <v/>
      </c>
      <c r="BK30" s="50" t="str">
        <f aca="false">IF($C30="","",BH30*BJ30)</f>
        <v/>
      </c>
      <c r="BL30" s="53" t="str">
        <f aca="false">IF($C30="","",IFERROR(BK30/BI30,0))</f>
        <v/>
      </c>
      <c r="BM30" s="54" t="str">
        <f aca="false">IF($C30="","",BK30-BI30)</f>
        <v/>
      </c>
      <c r="BN30" s="55" t="str">
        <f aca="false">IF($C30="","",IFERROR((Horiz*BH30-BI30)/BI30,0))</f>
        <v/>
      </c>
      <c r="BO30" s="46" t="str">
        <f aca="false">IF($C30="","",IF(BH30&gt;0,BI30/BH30,"No recupera"))</f>
        <v/>
      </c>
      <c r="BP30" s="46" t="str">
        <f aca="false">IF($C30="","",IF(BH30&lt;=0,"No recupera",IF(R30=0,BI30/BH30,IFERROR(-LN(1-BI30*R30/BH30)/LN(1+R30),"No recupera"))))</f>
        <v/>
      </c>
      <c r="BQ30" s="54" t="str">
        <f aca="false">IF($C30="","",BH30-BI30/BJ30)</f>
        <v/>
      </c>
      <c r="BR30" s="51" t="str">
        <f aca="false">IF($C30="","",IF(BL30&gt;1,"ACEPTABLE","NO ACEPTABLE"))</f>
        <v/>
      </c>
      <c r="BS30" s="56" t="str">
        <f aca="false">IF($C30="","",IF(ISNUMBER(AF30),IF(AF30&lt;0,IF(LEFT(AM30,4)="APTO","RUL&lt;0 con FFS apto: verificar","RUL&lt;0"),""),""))</f>
        <v/>
      </c>
      <c r="BT30" s="54" t="str">
        <f aca="false">IF($C30="","",-$BI30+IF($R30=0,$BH30*MIN(BT$15,Horiz),$BH30*(1-(1+$R30)^(-MIN(BT$15,Horiz)))/$R30))</f>
        <v/>
      </c>
      <c r="BU30" s="54" t="str">
        <f aca="false">IF($C30="","",-$BI30+IF($R30=0,$BH30*MIN(BU$15,Horiz),$BH30*(1-(1+$R30)^(-MIN(BU$15,Horiz)))/$R30))</f>
        <v/>
      </c>
      <c r="BV30" s="54" t="str">
        <f aca="false">IF($C30="","",-$BI30+IF($R30=0,$BH30*MIN(BV$15,Horiz),$BH30*(1-(1+$R30)^(-MIN(BV$15,Horiz)))/$R30))</f>
        <v/>
      </c>
      <c r="BW30" s="54" t="str">
        <f aca="false">IF($C30="","",-$BI30+IF($R30=0,$BH30*MIN(BW$15,Horiz),$BH30*(1-(1+$R30)^(-MIN(BW$15,Horiz)))/$R30))</f>
        <v/>
      </c>
      <c r="BX30" s="54" t="str">
        <f aca="false">IF($C30="","",-$BI30+IF($R30=0,$BH30*MIN(BX$15,Horiz),$BH30*(1-(1+$R30)^(-MIN(BX$15,Horiz)))/$R30))</f>
        <v/>
      </c>
      <c r="BY30" s="54" t="str">
        <f aca="false">IF($C30="","",-$BI30+IF($R30=0,$BH30*MIN(BY$15,Horiz),$BH30*(1-(1+$R30)^(-MIN(BY$15,Horiz)))/$R30))</f>
        <v/>
      </c>
      <c r="BZ30" s="54" t="str">
        <f aca="false">IF($C30="","",-$BI30+IF($R30=0,$BH30*MIN(BZ$15,Horiz),$BH30*(1-(1+$R30)^(-MIN(BZ$15,Horiz)))/$R30))</f>
        <v/>
      </c>
      <c r="CA30" s="54" t="str">
        <f aca="false">IF($C30="","",-$BI30+IF($R30=0,$BH30*MIN(CA$15,Horiz),$BH30*(1-(1+$R30)^(-MIN(CA$15,Horiz)))/$R30))</f>
        <v/>
      </c>
      <c r="CB30" s="54" t="str">
        <f aca="false">IF($C30="","",-$BI30+IF($R30=0,$BH30*MIN(CB$15,Horiz),$BH30*(1-(1+$R30)^(-MIN(CB$15,Horiz)))/$R30))</f>
        <v/>
      </c>
      <c r="CC30" s="54" t="str">
        <f aca="false">IF($C30="","",-$BI30+IF($R30=0,$BH30*MIN(CC$15,Horiz),$BH30*(1-(1+$R30)^(-MIN(CC$15,Horiz)))/$R30))</f>
        <v/>
      </c>
      <c r="CD30" s="54" t="str">
        <f aca="false">IF($C30="","",-$BI30+IF($R30=0,$BH30*MIN(CD$15,Horiz),$BH30*(1-(1+$R30)^(-MIN(CD$15,Horiz)))/$R30))</f>
        <v/>
      </c>
      <c r="CE30" s="54" t="str">
        <f aca="false">IF($C30="","",-$BI30+IF($R30=0,$BH30*MIN(CE$15,Horiz),$BH30*(1-(1+$R30)^(-MIN(CE$15,Horiz)))/$R30))</f>
        <v/>
      </c>
      <c r="CF30" s="54" t="str">
        <f aca="false">IF($C30="","",-$BI30+IF($R30=0,$BH30*MIN(CF$15,Horiz),$BH30*(1-(1+$R30)^(-MIN(CF$15,Horiz)))/$R30))</f>
        <v/>
      </c>
      <c r="CG30" s="54" t="str">
        <f aca="false">IF($C30="","",-$BI30+IF($R30=0,$BH30*MIN(CG$15,Horiz),$BH30*(1-(1+$R30)^(-MIN(CG$15,Horiz)))/$R30))</f>
        <v/>
      </c>
      <c r="CH30" s="54" t="str">
        <f aca="false">IF($C30="","",-$BI30+IF($R30=0,$BH30*MIN(CH$15,Horiz),$BH30*(1-(1+$R30)^(-MIN(CH$15,Horiz)))/$R30))</f>
        <v/>
      </c>
      <c r="CI30" s="54" t="str">
        <f aca="false">IF($C30="","",-$BI30+IF($R30=0,$BH30*MIN(CI$15,Horiz),$BH30*(1-(1+$R30)^(-MIN(CI$15,Horiz)))/$R30))</f>
        <v/>
      </c>
    </row>
    <row r="31" customFormat="false" ht="15" hidden="false" customHeight="false" outlineLevel="0" collapsed="false">
      <c r="A31" s="34" t="n">
        <v>16</v>
      </c>
      <c r="B31" s="35"/>
      <c r="C31" s="36"/>
      <c r="D31" s="35"/>
      <c r="E31" s="35"/>
      <c r="F31" s="37"/>
      <c r="G31" s="37"/>
      <c r="H31" s="38"/>
      <c r="I31" s="39"/>
      <c r="J31" s="40"/>
      <c r="K31" s="37"/>
      <c r="L31" s="35"/>
      <c r="M31" s="36"/>
      <c r="N31" s="41"/>
      <c r="O31" s="42"/>
      <c r="P31" s="43"/>
      <c r="Q31" s="42"/>
      <c r="R31" s="44"/>
      <c r="S31" s="36"/>
      <c r="T31" s="37"/>
      <c r="U31" s="36"/>
      <c r="V31" s="36"/>
      <c r="W31" s="42"/>
      <c r="X31" s="37"/>
      <c r="Y31" s="37"/>
      <c r="Z31" s="42"/>
      <c r="AA31" s="37"/>
      <c r="AB31" s="36"/>
      <c r="AC31" s="37"/>
      <c r="AD31" s="36"/>
      <c r="AE31" s="45" t="str">
        <f aca="false">IF($C31="","",AnioEval-K31)</f>
        <v/>
      </c>
      <c r="AF31" s="46" t="str">
        <f aca="false">IF($C31="","",IF(AND(ISNUMBER(J31),I31&gt;0),(H31-J31)/(I31*SensCR)-AE31,"n/d"))</f>
        <v/>
      </c>
      <c r="AG31" s="47" t="str">
        <f aca="false">IF($C31="","",IFERROR(I31*SensCR*AE31/H31,0))</f>
        <v/>
      </c>
      <c r="AH31" s="48" t="str">
        <f aca="false">IF($C31="","",IF(INDEX(MecTipo,MATCH(L31,MecList,0))="F",IFERROR(INDEX(SusDF,MATCH(M31,SusList,0)),1),LOOKUP(AG31,ArtLim,ArtDF)))</f>
        <v/>
      </c>
      <c r="AI31" s="48" t="str">
        <f aca="false">IF($C31="","",IF(ISNUMBER(N31),N31,AH31))</f>
        <v/>
      </c>
      <c r="AJ31" s="49" t="str">
        <f aca="false">IF($C31="","",INDEX(GFFval,MATCH(D31,GFFtipo,0)))</f>
        <v/>
      </c>
      <c r="AK31" s="49" t="str">
        <f aca="false">IF($C31="","",AJ31*AI31*FMS)</f>
        <v/>
      </c>
      <c r="AL31" s="50" t="str">
        <f aca="false">IF($C31="","",AK31*O31)</f>
        <v/>
      </c>
      <c r="AM31" s="51" t="str">
        <f aca="false">IF($C31="","",IF(N(T31)=0,"No requerido",IF(AND(U31="Apto",V31="Pasa"),"APTO/PASA",IF(AND(U31="Apto con limitaciones",V31="Pasa"),"APTO CON LIMITACIONES",IF(U31="No apto","NO APTO/REPARAR","REVISAR")))))</f>
        <v/>
      </c>
      <c r="AN31" s="48" t="str">
        <f aca="false">IF($C31="","",IF(AM31="NO APTO/REPARAR",1,MAX(1,AI31*INDEX(EffRet,MATCH(S31,EffList,0))*INDEX(FFSfac,MATCH(AM31,FFSlist,0)))))</f>
        <v/>
      </c>
      <c r="AO31" s="49" t="str">
        <f aca="false">IF($C31="","",AJ31*AN31*FMS)</f>
        <v/>
      </c>
      <c r="AP31" s="50" t="str">
        <f aca="false">IF($C31="","",AO31*O31)</f>
        <v/>
      </c>
      <c r="AQ31" s="50" t="str">
        <f aca="false">IF($C31="","",IFERROR(AJ31*FMS*INDEX(DFrep,AA31)*INDEX(FCrep,MATCH(AB31,CatLet,0)),AL31))</f>
        <v/>
      </c>
      <c r="AR31" s="50" t="str">
        <f aca="false">IF($C31="","",IFERROR(AJ31*FMS*INDEX(DFrep,AC31)*INDEX(FCrep,MATCH(AD31,CatLet,0)),AP31))</f>
        <v/>
      </c>
      <c r="AS31" s="52" t="str">
        <f aca="false">IF($C31="","",(1+SUMPRODUCT(--(AI31&gt;PcutDF)))&amp;CHOOSE(1+SUMPRODUCT(--(O31&gt;CcutFC)),"A","B","C","D","E"))</f>
        <v/>
      </c>
      <c r="AT31" s="52" t="str">
        <f aca="false">IF($C31="","",(1+SUMPRODUCT(--(AN31&gt;PcutDF)))&amp;CHOOSE(1+SUMPRODUCT(--(O31&gt;CcutFC)),"A","B","C","D","E"))</f>
        <v/>
      </c>
      <c r="AU31" s="52" t="str">
        <f aca="false">IF($C31="","",IF(AND(AA31&amp;AB31=AS31,AC31&amp;AD31=AT31),"OK","REVISAR"))</f>
        <v/>
      </c>
      <c r="AV31" s="45" t="str">
        <f aca="false">IF($C31="","",IFERROR(INDEX(RAMlev,AA31,MATCH(AB31,CatLet,0)),""))</f>
        <v/>
      </c>
      <c r="AW31" s="45" t="str">
        <f aca="false">IF($C31="","",IFERROR(INDEX(RAMlev,AC31,MATCH(AD31,CatLet,0)),""))</f>
        <v/>
      </c>
      <c r="AX31" s="52" t="str">
        <f aca="false">IF($C31="","",IF(AW31="","",IF(AW31&lt;=ObjNivel,"Cumple","Excede")))</f>
        <v/>
      </c>
      <c r="AY31" s="50" t="str">
        <f aca="false">IF($C31="","",IF(Base="RAM",AQ31,AL31))</f>
        <v/>
      </c>
      <c r="AZ31" s="50" t="str">
        <f aca="false">IF($C31="","",IF(Base="RAM",AR31,AP31))</f>
        <v/>
      </c>
      <c r="BA31" s="50" t="str">
        <f aca="false">IF($C31="","",AY31-AZ31)</f>
        <v/>
      </c>
      <c r="BB31" s="50" t="str">
        <f aca="false">IF($C31="","",BA31*N(P31))</f>
        <v/>
      </c>
      <c r="BC31" s="50" t="str">
        <f aca="false">IF($C31="","",BA31-BB31)</f>
        <v/>
      </c>
      <c r="BD31" s="50" t="str">
        <f aca="false">IF($C31="","",IFERROR(Q31*(1/X31-1/Y31),0))</f>
        <v/>
      </c>
      <c r="BE31" s="50" t="str">
        <f aca="false">IF($C31="","",IFERROR(Z31*(1/X31-1/Y31),0))</f>
        <v/>
      </c>
      <c r="BF31" s="50" t="str">
        <f aca="false">IF($C31="","",IFERROR((Q31+Z31)/X31,0))</f>
        <v/>
      </c>
      <c r="BG31" s="50" t="str">
        <f aca="false">IF($C31="","",IFERROR((Q31+Z31)/Y31,0))</f>
        <v/>
      </c>
      <c r="BH31" s="50" t="str">
        <f aca="false">IF($C31="","",BA31+BD31+BE31)</f>
        <v/>
      </c>
      <c r="BI31" s="50" t="str">
        <f aca="false">IF($C31="","",Q31+INDEX(FFScost,N(T31)+1)+IF(OR(AM31="NO APTO/REPARAR",AM31="APTO CON LIMITACIONES"),N(W31),0)+RBIimpl)</f>
        <v/>
      </c>
      <c r="BJ31" s="47" t="str">
        <f aca="false">IF($C31="","",IF(R31=0,Horiz,(1-(1+R31)^(-Horiz))/R31))</f>
        <v/>
      </c>
      <c r="BK31" s="50" t="str">
        <f aca="false">IF($C31="","",BH31*BJ31)</f>
        <v/>
      </c>
      <c r="BL31" s="53" t="str">
        <f aca="false">IF($C31="","",IFERROR(BK31/BI31,0))</f>
        <v/>
      </c>
      <c r="BM31" s="54" t="str">
        <f aca="false">IF($C31="","",BK31-BI31)</f>
        <v/>
      </c>
      <c r="BN31" s="55" t="str">
        <f aca="false">IF($C31="","",IFERROR((Horiz*BH31-BI31)/BI31,0))</f>
        <v/>
      </c>
      <c r="BO31" s="46" t="str">
        <f aca="false">IF($C31="","",IF(BH31&gt;0,BI31/BH31,"No recupera"))</f>
        <v/>
      </c>
      <c r="BP31" s="46" t="str">
        <f aca="false">IF($C31="","",IF(BH31&lt;=0,"No recupera",IF(R31=0,BI31/BH31,IFERROR(-LN(1-BI31*R31/BH31)/LN(1+R31),"No recupera"))))</f>
        <v/>
      </c>
      <c r="BQ31" s="54" t="str">
        <f aca="false">IF($C31="","",BH31-BI31/BJ31)</f>
        <v/>
      </c>
      <c r="BR31" s="51" t="str">
        <f aca="false">IF($C31="","",IF(BL31&gt;1,"ACEPTABLE","NO ACEPTABLE"))</f>
        <v/>
      </c>
      <c r="BS31" s="56" t="str">
        <f aca="false">IF($C31="","",IF(ISNUMBER(AF31),IF(AF31&lt;0,IF(LEFT(AM31,4)="APTO","RUL&lt;0 con FFS apto: verificar","RUL&lt;0"),""),""))</f>
        <v/>
      </c>
      <c r="BT31" s="54" t="str">
        <f aca="false">IF($C31="","",-$BI31+IF($R31=0,$BH31*MIN(BT$15,Horiz),$BH31*(1-(1+$R31)^(-MIN(BT$15,Horiz)))/$R31))</f>
        <v/>
      </c>
      <c r="BU31" s="54" t="str">
        <f aca="false">IF($C31="","",-$BI31+IF($R31=0,$BH31*MIN(BU$15,Horiz),$BH31*(1-(1+$R31)^(-MIN(BU$15,Horiz)))/$R31))</f>
        <v/>
      </c>
      <c r="BV31" s="54" t="str">
        <f aca="false">IF($C31="","",-$BI31+IF($R31=0,$BH31*MIN(BV$15,Horiz),$BH31*(1-(1+$R31)^(-MIN(BV$15,Horiz)))/$R31))</f>
        <v/>
      </c>
      <c r="BW31" s="54" t="str">
        <f aca="false">IF($C31="","",-$BI31+IF($R31=0,$BH31*MIN(BW$15,Horiz),$BH31*(1-(1+$R31)^(-MIN(BW$15,Horiz)))/$R31))</f>
        <v/>
      </c>
      <c r="BX31" s="54" t="str">
        <f aca="false">IF($C31="","",-$BI31+IF($R31=0,$BH31*MIN(BX$15,Horiz),$BH31*(1-(1+$R31)^(-MIN(BX$15,Horiz)))/$R31))</f>
        <v/>
      </c>
      <c r="BY31" s="54" t="str">
        <f aca="false">IF($C31="","",-$BI31+IF($R31=0,$BH31*MIN(BY$15,Horiz),$BH31*(1-(1+$R31)^(-MIN(BY$15,Horiz)))/$R31))</f>
        <v/>
      </c>
      <c r="BZ31" s="54" t="str">
        <f aca="false">IF($C31="","",-$BI31+IF($R31=0,$BH31*MIN(BZ$15,Horiz),$BH31*(1-(1+$R31)^(-MIN(BZ$15,Horiz)))/$R31))</f>
        <v/>
      </c>
      <c r="CA31" s="54" t="str">
        <f aca="false">IF($C31="","",-$BI31+IF($R31=0,$BH31*MIN(CA$15,Horiz),$BH31*(1-(1+$R31)^(-MIN(CA$15,Horiz)))/$R31))</f>
        <v/>
      </c>
      <c r="CB31" s="54" t="str">
        <f aca="false">IF($C31="","",-$BI31+IF($R31=0,$BH31*MIN(CB$15,Horiz),$BH31*(1-(1+$R31)^(-MIN(CB$15,Horiz)))/$R31))</f>
        <v/>
      </c>
      <c r="CC31" s="54" t="str">
        <f aca="false">IF($C31="","",-$BI31+IF($R31=0,$BH31*MIN(CC$15,Horiz),$BH31*(1-(1+$R31)^(-MIN(CC$15,Horiz)))/$R31))</f>
        <v/>
      </c>
      <c r="CD31" s="54" t="str">
        <f aca="false">IF($C31="","",-$BI31+IF($R31=0,$BH31*MIN(CD$15,Horiz),$BH31*(1-(1+$R31)^(-MIN(CD$15,Horiz)))/$R31))</f>
        <v/>
      </c>
      <c r="CE31" s="54" t="str">
        <f aca="false">IF($C31="","",-$BI31+IF($R31=0,$BH31*MIN(CE$15,Horiz),$BH31*(1-(1+$R31)^(-MIN(CE$15,Horiz)))/$R31))</f>
        <v/>
      </c>
      <c r="CF31" s="54" t="str">
        <f aca="false">IF($C31="","",-$BI31+IF($R31=0,$BH31*MIN(CF$15,Horiz),$BH31*(1-(1+$R31)^(-MIN(CF$15,Horiz)))/$R31))</f>
        <v/>
      </c>
      <c r="CG31" s="54" t="str">
        <f aca="false">IF($C31="","",-$BI31+IF($R31=0,$BH31*MIN(CG$15,Horiz),$BH31*(1-(1+$R31)^(-MIN(CG$15,Horiz)))/$R31))</f>
        <v/>
      </c>
      <c r="CH31" s="54" t="str">
        <f aca="false">IF($C31="","",-$BI31+IF($R31=0,$BH31*MIN(CH$15,Horiz),$BH31*(1-(1+$R31)^(-MIN(CH$15,Horiz)))/$R31))</f>
        <v/>
      </c>
      <c r="CI31" s="54" t="str">
        <f aca="false">IF($C31="","",-$BI31+IF($R31=0,$BH31*MIN(CI$15,Horiz),$BH31*(1-(1+$R31)^(-MIN(CI$15,Horiz)))/$R31))</f>
        <v/>
      </c>
    </row>
    <row r="32" customFormat="false" ht="15" hidden="false" customHeight="false" outlineLevel="0" collapsed="false">
      <c r="A32" s="34" t="n">
        <v>17</v>
      </c>
      <c r="B32" s="35"/>
      <c r="C32" s="36"/>
      <c r="D32" s="35"/>
      <c r="E32" s="35"/>
      <c r="F32" s="37"/>
      <c r="G32" s="37"/>
      <c r="H32" s="38"/>
      <c r="I32" s="39"/>
      <c r="J32" s="40"/>
      <c r="K32" s="37"/>
      <c r="L32" s="35"/>
      <c r="M32" s="36"/>
      <c r="N32" s="41"/>
      <c r="O32" s="42"/>
      <c r="P32" s="43"/>
      <c r="Q32" s="42"/>
      <c r="R32" s="44"/>
      <c r="S32" s="36"/>
      <c r="T32" s="37"/>
      <c r="U32" s="36"/>
      <c r="V32" s="36"/>
      <c r="W32" s="42"/>
      <c r="X32" s="37"/>
      <c r="Y32" s="37"/>
      <c r="Z32" s="42"/>
      <c r="AA32" s="37"/>
      <c r="AB32" s="36"/>
      <c r="AC32" s="37"/>
      <c r="AD32" s="36"/>
      <c r="AE32" s="45" t="str">
        <f aca="false">IF($C32="","",AnioEval-K32)</f>
        <v/>
      </c>
      <c r="AF32" s="46" t="str">
        <f aca="false">IF($C32="","",IF(AND(ISNUMBER(J32),I32&gt;0),(H32-J32)/(I32*SensCR)-AE32,"n/d"))</f>
        <v/>
      </c>
      <c r="AG32" s="47" t="str">
        <f aca="false">IF($C32="","",IFERROR(I32*SensCR*AE32/H32,0))</f>
        <v/>
      </c>
      <c r="AH32" s="48" t="str">
        <f aca="false">IF($C32="","",IF(INDEX(MecTipo,MATCH(L32,MecList,0))="F",IFERROR(INDEX(SusDF,MATCH(M32,SusList,0)),1),LOOKUP(AG32,ArtLim,ArtDF)))</f>
        <v/>
      </c>
      <c r="AI32" s="48" t="str">
        <f aca="false">IF($C32="","",IF(ISNUMBER(N32),N32,AH32))</f>
        <v/>
      </c>
      <c r="AJ32" s="49" t="str">
        <f aca="false">IF($C32="","",INDEX(GFFval,MATCH(D32,GFFtipo,0)))</f>
        <v/>
      </c>
      <c r="AK32" s="49" t="str">
        <f aca="false">IF($C32="","",AJ32*AI32*FMS)</f>
        <v/>
      </c>
      <c r="AL32" s="50" t="str">
        <f aca="false">IF($C32="","",AK32*O32)</f>
        <v/>
      </c>
      <c r="AM32" s="51" t="str">
        <f aca="false">IF($C32="","",IF(N(T32)=0,"No requerido",IF(AND(U32="Apto",V32="Pasa"),"APTO/PASA",IF(AND(U32="Apto con limitaciones",V32="Pasa"),"APTO CON LIMITACIONES",IF(U32="No apto","NO APTO/REPARAR","REVISAR")))))</f>
        <v/>
      </c>
      <c r="AN32" s="48" t="str">
        <f aca="false">IF($C32="","",IF(AM32="NO APTO/REPARAR",1,MAX(1,AI32*INDEX(EffRet,MATCH(S32,EffList,0))*INDEX(FFSfac,MATCH(AM32,FFSlist,0)))))</f>
        <v/>
      </c>
      <c r="AO32" s="49" t="str">
        <f aca="false">IF($C32="","",AJ32*AN32*FMS)</f>
        <v/>
      </c>
      <c r="AP32" s="50" t="str">
        <f aca="false">IF($C32="","",AO32*O32)</f>
        <v/>
      </c>
      <c r="AQ32" s="50" t="str">
        <f aca="false">IF($C32="","",IFERROR(AJ32*FMS*INDEX(DFrep,AA32)*INDEX(FCrep,MATCH(AB32,CatLet,0)),AL32))</f>
        <v/>
      </c>
      <c r="AR32" s="50" t="str">
        <f aca="false">IF($C32="","",IFERROR(AJ32*FMS*INDEX(DFrep,AC32)*INDEX(FCrep,MATCH(AD32,CatLet,0)),AP32))</f>
        <v/>
      </c>
      <c r="AS32" s="52" t="str">
        <f aca="false">IF($C32="","",(1+SUMPRODUCT(--(AI32&gt;PcutDF)))&amp;CHOOSE(1+SUMPRODUCT(--(O32&gt;CcutFC)),"A","B","C","D","E"))</f>
        <v/>
      </c>
      <c r="AT32" s="52" t="str">
        <f aca="false">IF($C32="","",(1+SUMPRODUCT(--(AN32&gt;PcutDF)))&amp;CHOOSE(1+SUMPRODUCT(--(O32&gt;CcutFC)),"A","B","C","D","E"))</f>
        <v/>
      </c>
      <c r="AU32" s="52" t="str">
        <f aca="false">IF($C32="","",IF(AND(AA32&amp;AB32=AS32,AC32&amp;AD32=AT32),"OK","REVISAR"))</f>
        <v/>
      </c>
      <c r="AV32" s="45" t="str">
        <f aca="false">IF($C32="","",IFERROR(INDEX(RAMlev,AA32,MATCH(AB32,CatLet,0)),""))</f>
        <v/>
      </c>
      <c r="AW32" s="45" t="str">
        <f aca="false">IF($C32="","",IFERROR(INDEX(RAMlev,AC32,MATCH(AD32,CatLet,0)),""))</f>
        <v/>
      </c>
      <c r="AX32" s="52" t="str">
        <f aca="false">IF($C32="","",IF(AW32="","",IF(AW32&lt;=ObjNivel,"Cumple","Excede")))</f>
        <v/>
      </c>
      <c r="AY32" s="50" t="str">
        <f aca="false">IF($C32="","",IF(Base="RAM",AQ32,AL32))</f>
        <v/>
      </c>
      <c r="AZ32" s="50" t="str">
        <f aca="false">IF($C32="","",IF(Base="RAM",AR32,AP32))</f>
        <v/>
      </c>
      <c r="BA32" s="50" t="str">
        <f aca="false">IF($C32="","",AY32-AZ32)</f>
        <v/>
      </c>
      <c r="BB32" s="50" t="str">
        <f aca="false">IF($C32="","",BA32*N(P32))</f>
        <v/>
      </c>
      <c r="BC32" s="50" t="str">
        <f aca="false">IF($C32="","",BA32-BB32)</f>
        <v/>
      </c>
      <c r="BD32" s="50" t="str">
        <f aca="false">IF($C32="","",IFERROR(Q32*(1/X32-1/Y32),0))</f>
        <v/>
      </c>
      <c r="BE32" s="50" t="str">
        <f aca="false">IF($C32="","",IFERROR(Z32*(1/X32-1/Y32),0))</f>
        <v/>
      </c>
      <c r="BF32" s="50" t="str">
        <f aca="false">IF($C32="","",IFERROR((Q32+Z32)/X32,0))</f>
        <v/>
      </c>
      <c r="BG32" s="50" t="str">
        <f aca="false">IF($C32="","",IFERROR((Q32+Z32)/Y32,0))</f>
        <v/>
      </c>
      <c r="BH32" s="50" t="str">
        <f aca="false">IF($C32="","",BA32+BD32+BE32)</f>
        <v/>
      </c>
      <c r="BI32" s="50" t="str">
        <f aca="false">IF($C32="","",Q32+INDEX(FFScost,N(T32)+1)+IF(OR(AM32="NO APTO/REPARAR",AM32="APTO CON LIMITACIONES"),N(W32),0)+RBIimpl)</f>
        <v/>
      </c>
      <c r="BJ32" s="47" t="str">
        <f aca="false">IF($C32="","",IF(R32=0,Horiz,(1-(1+R32)^(-Horiz))/R32))</f>
        <v/>
      </c>
      <c r="BK32" s="50" t="str">
        <f aca="false">IF($C32="","",BH32*BJ32)</f>
        <v/>
      </c>
      <c r="BL32" s="53" t="str">
        <f aca="false">IF($C32="","",IFERROR(BK32/BI32,0))</f>
        <v/>
      </c>
      <c r="BM32" s="54" t="str">
        <f aca="false">IF($C32="","",BK32-BI32)</f>
        <v/>
      </c>
      <c r="BN32" s="55" t="str">
        <f aca="false">IF($C32="","",IFERROR((Horiz*BH32-BI32)/BI32,0))</f>
        <v/>
      </c>
      <c r="BO32" s="46" t="str">
        <f aca="false">IF($C32="","",IF(BH32&gt;0,BI32/BH32,"No recupera"))</f>
        <v/>
      </c>
      <c r="BP32" s="46" t="str">
        <f aca="false">IF($C32="","",IF(BH32&lt;=0,"No recupera",IF(R32=0,BI32/BH32,IFERROR(-LN(1-BI32*R32/BH32)/LN(1+R32),"No recupera"))))</f>
        <v/>
      </c>
      <c r="BQ32" s="54" t="str">
        <f aca="false">IF($C32="","",BH32-BI32/BJ32)</f>
        <v/>
      </c>
      <c r="BR32" s="51" t="str">
        <f aca="false">IF($C32="","",IF(BL32&gt;1,"ACEPTABLE","NO ACEPTABLE"))</f>
        <v/>
      </c>
      <c r="BS32" s="56" t="str">
        <f aca="false">IF($C32="","",IF(ISNUMBER(AF32),IF(AF32&lt;0,IF(LEFT(AM32,4)="APTO","RUL&lt;0 con FFS apto: verificar","RUL&lt;0"),""),""))</f>
        <v/>
      </c>
      <c r="BT32" s="54" t="str">
        <f aca="false">IF($C32="","",-$BI32+IF($R32=0,$BH32*MIN(BT$15,Horiz),$BH32*(1-(1+$R32)^(-MIN(BT$15,Horiz)))/$R32))</f>
        <v/>
      </c>
      <c r="BU32" s="54" t="str">
        <f aca="false">IF($C32="","",-$BI32+IF($R32=0,$BH32*MIN(BU$15,Horiz),$BH32*(1-(1+$R32)^(-MIN(BU$15,Horiz)))/$R32))</f>
        <v/>
      </c>
      <c r="BV32" s="54" t="str">
        <f aca="false">IF($C32="","",-$BI32+IF($R32=0,$BH32*MIN(BV$15,Horiz),$BH32*(1-(1+$R32)^(-MIN(BV$15,Horiz)))/$R32))</f>
        <v/>
      </c>
      <c r="BW32" s="54" t="str">
        <f aca="false">IF($C32="","",-$BI32+IF($R32=0,$BH32*MIN(BW$15,Horiz),$BH32*(1-(1+$R32)^(-MIN(BW$15,Horiz)))/$R32))</f>
        <v/>
      </c>
      <c r="BX32" s="54" t="str">
        <f aca="false">IF($C32="","",-$BI32+IF($R32=0,$BH32*MIN(BX$15,Horiz),$BH32*(1-(1+$R32)^(-MIN(BX$15,Horiz)))/$R32))</f>
        <v/>
      </c>
      <c r="BY32" s="54" t="str">
        <f aca="false">IF($C32="","",-$BI32+IF($R32=0,$BH32*MIN(BY$15,Horiz),$BH32*(1-(1+$R32)^(-MIN(BY$15,Horiz)))/$R32))</f>
        <v/>
      </c>
      <c r="BZ32" s="54" t="str">
        <f aca="false">IF($C32="","",-$BI32+IF($R32=0,$BH32*MIN(BZ$15,Horiz),$BH32*(1-(1+$R32)^(-MIN(BZ$15,Horiz)))/$R32))</f>
        <v/>
      </c>
      <c r="CA32" s="54" t="str">
        <f aca="false">IF($C32="","",-$BI32+IF($R32=0,$BH32*MIN(CA$15,Horiz),$BH32*(1-(1+$R32)^(-MIN(CA$15,Horiz)))/$R32))</f>
        <v/>
      </c>
      <c r="CB32" s="54" t="str">
        <f aca="false">IF($C32="","",-$BI32+IF($R32=0,$BH32*MIN(CB$15,Horiz),$BH32*(1-(1+$R32)^(-MIN(CB$15,Horiz)))/$R32))</f>
        <v/>
      </c>
      <c r="CC32" s="54" t="str">
        <f aca="false">IF($C32="","",-$BI32+IF($R32=0,$BH32*MIN(CC$15,Horiz),$BH32*(1-(1+$R32)^(-MIN(CC$15,Horiz)))/$R32))</f>
        <v/>
      </c>
      <c r="CD32" s="54" t="str">
        <f aca="false">IF($C32="","",-$BI32+IF($R32=0,$BH32*MIN(CD$15,Horiz),$BH32*(1-(1+$R32)^(-MIN(CD$15,Horiz)))/$R32))</f>
        <v/>
      </c>
      <c r="CE32" s="54" t="str">
        <f aca="false">IF($C32="","",-$BI32+IF($R32=0,$BH32*MIN(CE$15,Horiz),$BH32*(1-(1+$R32)^(-MIN(CE$15,Horiz)))/$R32))</f>
        <v/>
      </c>
      <c r="CF32" s="54" t="str">
        <f aca="false">IF($C32="","",-$BI32+IF($R32=0,$BH32*MIN(CF$15,Horiz),$BH32*(1-(1+$R32)^(-MIN(CF$15,Horiz)))/$R32))</f>
        <v/>
      </c>
      <c r="CG32" s="54" t="str">
        <f aca="false">IF($C32="","",-$BI32+IF($R32=0,$BH32*MIN(CG$15,Horiz),$BH32*(1-(1+$R32)^(-MIN(CG$15,Horiz)))/$R32))</f>
        <v/>
      </c>
      <c r="CH32" s="54" t="str">
        <f aca="false">IF($C32="","",-$BI32+IF($R32=0,$BH32*MIN(CH$15,Horiz),$BH32*(1-(1+$R32)^(-MIN(CH$15,Horiz)))/$R32))</f>
        <v/>
      </c>
      <c r="CI32" s="54" t="str">
        <f aca="false">IF($C32="","",-$BI32+IF($R32=0,$BH32*MIN(CI$15,Horiz),$BH32*(1-(1+$R32)^(-MIN(CI$15,Horiz)))/$R32))</f>
        <v/>
      </c>
    </row>
    <row r="33" customFormat="false" ht="15" hidden="false" customHeight="false" outlineLevel="0" collapsed="false">
      <c r="A33" s="34" t="n">
        <v>18</v>
      </c>
      <c r="B33" s="35"/>
      <c r="C33" s="36"/>
      <c r="D33" s="35"/>
      <c r="E33" s="35"/>
      <c r="F33" s="37"/>
      <c r="G33" s="37"/>
      <c r="H33" s="38"/>
      <c r="I33" s="39"/>
      <c r="J33" s="40"/>
      <c r="K33" s="37"/>
      <c r="L33" s="35"/>
      <c r="M33" s="36"/>
      <c r="N33" s="41"/>
      <c r="O33" s="42"/>
      <c r="P33" s="43"/>
      <c r="Q33" s="42"/>
      <c r="R33" s="44"/>
      <c r="S33" s="36"/>
      <c r="T33" s="37"/>
      <c r="U33" s="36"/>
      <c r="V33" s="36"/>
      <c r="W33" s="42"/>
      <c r="X33" s="37"/>
      <c r="Y33" s="37"/>
      <c r="Z33" s="42"/>
      <c r="AA33" s="37"/>
      <c r="AB33" s="36"/>
      <c r="AC33" s="37"/>
      <c r="AD33" s="36"/>
      <c r="AE33" s="45" t="str">
        <f aca="false">IF($C33="","",AnioEval-K33)</f>
        <v/>
      </c>
      <c r="AF33" s="46" t="str">
        <f aca="false">IF($C33="","",IF(AND(ISNUMBER(J33),I33&gt;0),(H33-J33)/(I33*SensCR)-AE33,"n/d"))</f>
        <v/>
      </c>
      <c r="AG33" s="47" t="str">
        <f aca="false">IF($C33="","",IFERROR(I33*SensCR*AE33/H33,0))</f>
        <v/>
      </c>
      <c r="AH33" s="48" t="str">
        <f aca="false">IF($C33="","",IF(INDEX(MecTipo,MATCH(L33,MecList,0))="F",IFERROR(INDEX(SusDF,MATCH(M33,SusList,0)),1),LOOKUP(AG33,ArtLim,ArtDF)))</f>
        <v/>
      </c>
      <c r="AI33" s="48" t="str">
        <f aca="false">IF($C33="","",IF(ISNUMBER(N33),N33,AH33))</f>
        <v/>
      </c>
      <c r="AJ33" s="49" t="str">
        <f aca="false">IF($C33="","",INDEX(GFFval,MATCH(D33,GFFtipo,0)))</f>
        <v/>
      </c>
      <c r="AK33" s="49" t="str">
        <f aca="false">IF($C33="","",AJ33*AI33*FMS)</f>
        <v/>
      </c>
      <c r="AL33" s="50" t="str">
        <f aca="false">IF($C33="","",AK33*O33)</f>
        <v/>
      </c>
      <c r="AM33" s="51" t="str">
        <f aca="false">IF($C33="","",IF(N(T33)=0,"No requerido",IF(AND(U33="Apto",V33="Pasa"),"APTO/PASA",IF(AND(U33="Apto con limitaciones",V33="Pasa"),"APTO CON LIMITACIONES",IF(U33="No apto","NO APTO/REPARAR","REVISAR")))))</f>
        <v/>
      </c>
      <c r="AN33" s="48" t="str">
        <f aca="false">IF($C33="","",IF(AM33="NO APTO/REPARAR",1,MAX(1,AI33*INDEX(EffRet,MATCH(S33,EffList,0))*INDEX(FFSfac,MATCH(AM33,FFSlist,0)))))</f>
        <v/>
      </c>
      <c r="AO33" s="49" t="str">
        <f aca="false">IF($C33="","",AJ33*AN33*FMS)</f>
        <v/>
      </c>
      <c r="AP33" s="50" t="str">
        <f aca="false">IF($C33="","",AO33*O33)</f>
        <v/>
      </c>
      <c r="AQ33" s="50" t="str">
        <f aca="false">IF($C33="","",IFERROR(AJ33*FMS*INDEX(DFrep,AA33)*INDEX(FCrep,MATCH(AB33,CatLet,0)),AL33))</f>
        <v/>
      </c>
      <c r="AR33" s="50" t="str">
        <f aca="false">IF($C33="","",IFERROR(AJ33*FMS*INDEX(DFrep,AC33)*INDEX(FCrep,MATCH(AD33,CatLet,0)),AP33))</f>
        <v/>
      </c>
      <c r="AS33" s="52" t="str">
        <f aca="false">IF($C33="","",(1+SUMPRODUCT(--(AI33&gt;PcutDF)))&amp;CHOOSE(1+SUMPRODUCT(--(O33&gt;CcutFC)),"A","B","C","D","E"))</f>
        <v/>
      </c>
      <c r="AT33" s="52" t="str">
        <f aca="false">IF($C33="","",(1+SUMPRODUCT(--(AN33&gt;PcutDF)))&amp;CHOOSE(1+SUMPRODUCT(--(O33&gt;CcutFC)),"A","B","C","D","E"))</f>
        <v/>
      </c>
      <c r="AU33" s="52" t="str">
        <f aca="false">IF($C33="","",IF(AND(AA33&amp;AB33=AS33,AC33&amp;AD33=AT33),"OK","REVISAR"))</f>
        <v/>
      </c>
      <c r="AV33" s="45" t="str">
        <f aca="false">IF($C33="","",IFERROR(INDEX(RAMlev,AA33,MATCH(AB33,CatLet,0)),""))</f>
        <v/>
      </c>
      <c r="AW33" s="45" t="str">
        <f aca="false">IF($C33="","",IFERROR(INDEX(RAMlev,AC33,MATCH(AD33,CatLet,0)),""))</f>
        <v/>
      </c>
      <c r="AX33" s="52" t="str">
        <f aca="false">IF($C33="","",IF(AW33="","",IF(AW33&lt;=ObjNivel,"Cumple","Excede")))</f>
        <v/>
      </c>
      <c r="AY33" s="50" t="str">
        <f aca="false">IF($C33="","",IF(Base="RAM",AQ33,AL33))</f>
        <v/>
      </c>
      <c r="AZ33" s="50" t="str">
        <f aca="false">IF($C33="","",IF(Base="RAM",AR33,AP33))</f>
        <v/>
      </c>
      <c r="BA33" s="50" t="str">
        <f aca="false">IF($C33="","",AY33-AZ33)</f>
        <v/>
      </c>
      <c r="BB33" s="50" t="str">
        <f aca="false">IF($C33="","",BA33*N(P33))</f>
        <v/>
      </c>
      <c r="BC33" s="50" t="str">
        <f aca="false">IF($C33="","",BA33-BB33)</f>
        <v/>
      </c>
      <c r="BD33" s="50" t="str">
        <f aca="false">IF($C33="","",IFERROR(Q33*(1/X33-1/Y33),0))</f>
        <v/>
      </c>
      <c r="BE33" s="50" t="str">
        <f aca="false">IF($C33="","",IFERROR(Z33*(1/X33-1/Y33),0))</f>
        <v/>
      </c>
      <c r="BF33" s="50" t="str">
        <f aca="false">IF($C33="","",IFERROR((Q33+Z33)/X33,0))</f>
        <v/>
      </c>
      <c r="BG33" s="50" t="str">
        <f aca="false">IF($C33="","",IFERROR((Q33+Z33)/Y33,0))</f>
        <v/>
      </c>
      <c r="BH33" s="50" t="str">
        <f aca="false">IF($C33="","",BA33+BD33+BE33)</f>
        <v/>
      </c>
      <c r="BI33" s="50" t="str">
        <f aca="false">IF($C33="","",Q33+INDEX(FFScost,N(T33)+1)+IF(OR(AM33="NO APTO/REPARAR",AM33="APTO CON LIMITACIONES"),N(W33),0)+RBIimpl)</f>
        <v/>
      </c>
      <c r="BJ33" s="47" t="str">
        <f aca="false">IF($C33="","",IF(R33=0,Horiz,(1-(1+R33)^(-Horiz))/R33))</f>
        <v/>
      </c>
      <c r="BK33" s="50" t="str">
        <f aca="false">IF($C33="","",BH33*BJ33)</f>
        <v/>
      </c>
      <c r="BL33" s="53" t="str">
        <f aca="false">IF($C33="","",IFERROR(BK33/BI33,0))</f>
        <v/>
      </c>
      <c r="BM33" s="54" t="str">
        <f aca="false">IF($C33="","",BK33-BI33)</f>
        <v/>
      </c>
      <c r="BN33" s="55" t="str">
        <f aca="false">IF($C33="","",IFERROR((Horiz*BH33-BI33)/BI33,0))</f>
        <v/>
      </c>
      <c r="BO33" s="46" t="str">
        <f aca="false">IF($C33="","",IF(BH33&gt;0,BI33/BH33,"No recupera"))</f>
        <v/>
      </c>
      <c r="BP33" s="46" t="str">
        <f aca="false">IF($C33="","",IF(BH33&lt;=0,"No recupera",IF(R33=0,BI33/BH33,IFERROR(-LN(1-BI33*R33/BH33)/LN(1+R33),"No recupera"))))</f>
        <v/>
      </c>
      <c r="BQ33" s="54" t="str">
        <f aca="false">IF($C33="","",BH33-BI33/BJ33)</f>
        <v/>
      </c>
      <c r="BR33" s="51" t="str">
        <f aca="false">IF($C33="","",IF(BL33&gt;1,"ACEPTABLE","NO ACEPTABLE"))</f>
        <v/>
      </c>
      <c r="BS33" s="56" t="str">
        <f aca="false">IF($C33="","",IF(ISNUMBER(AF33),IF(AF33&lt;0,IF(LEFT(AM33,4)="APTO","RUL&lt;0 con FFS apto: verificar","RUL&lt;0"),""),""))</f>
        <v/>
      </c>
      <c r="BT33" s="54" t="str">
        <f aca="false">IF($C33="","",-$BI33+IF($R33=0,$BH33*MIN(BT$15,Horiz),$BH33*(1-(1+$R33)^(-MIN(BT$15,Horiz)))/$R33))</f>
        <v/>
      </c>
      <c r="BU33" s="54" t="str">
        <f aca="false">IF($C33="","",-$BI33+IF($R33=0,$BH33*MIN(BU$15,Horiz),$BH33*(1-(1+$R33)^(-MIN(BU$15,Horiz)))/$R33))</f>
        <v/>
      </c>
      <c r="BV33" s="54" t="str">
        <f aca="false">IF($C33="","",-$BI33+IF($R33=0,$BH33*MIN(BV$15,Horiz),$BH33*(1-(1+$R33)^(-MIN(BV$15,Horiz)))/$R33))</f>
        <v/>
      </c>
      <c r="BW33" s="54" t="str">
        <f aca="false">IF($C33="","",-$BI33+IF($R33=0,$BH33*MIN(BW$15,Horiz),$BH33*(1-(1+$R33)^(-MIN(BW$15,Horiz)))/$R33))</f>
        <v/>
      </c>
      <c r="BX33" s="54" t="str">
        <f aca="false">IF($C33="","",-$BI33+IF($R33=0,$BH33*MIN(BX$15,Horiz),$BH33*(1-(1+$R33)^(-MIN(BX$15,Horiz)))/$R33))</f>
        <v/>
      </c>
      <c r="BY33" s="54" t="str">
        <f aca="false">IF($C33="","",-$BI33+IF($R33=0,$BH33*MIN(BY$15,Horiz),$BH33*(1-(1+$R33)^(-MIN(BY$15,Horiz)))/$R33))</f>
        <v/>
      </c>
      <c r="BZ33" s="54" t="str">
        <f aca="false">IF($C33="","",-$BI33+IF($R33=0,$BH33*MIN(BZ$15,Horiz),$BH33*(1-(1+$R33)^(-MIN(BZ$15,Horiz)))/$R33))</f>
        <v/>
      </c>
      <c r="CA33" s="54" t="str">
        <f aca="false">IF($C33="","",-$BI33+IF($R33=0,$BH33*MIN(CA$15,Horiz),$BH33*(1-(1+$R33)^(-MIN(CA$15,Horiz)))/$R33))</f>
        <v/>
      </c>
      <c r="CB33" s="54" t="str">
        <f aca="false">IF($C33="","",-$BI33+IF($R33=0,$BH33*MIN(CB$15,Horiz),$BH33*(1-(1+$R33)^(-MIN(CB$15,Horiz)))/$R33))</f>
        <v/>
      </c>
      <c r="CC33" s="54" t="str">
        <f aca="false">IF($C33="","",-$BI33+IF($R33=0,$BH33*MIN(CC$15,Horiz),$BH33*(1-(1+$R33)^(-MIN(CC$15,Horiz)))/$R33))</f>
        <v/>
      </c>
      <c r="CD33" s="54" t="str">
        <f aca="false">IF($C33="","",-$BI33+IF($R33=0,$BH33*MIN(CD$15,Horiz),$BH33*(1-(1+$R33)^(-MIN(CD$15,Horiz)))/$R33))</f>
        <v/>
      </c>
      <c r="CE33" s="54" t="str">
        <f aca="false">IF($C33="","",-$BI33+IF($R33=0,$BH33*MIN(CE$15,Horiz),$BH33*(1-(1+$R33)^(-MIN(CE$15,Horiz)))/$R33))</f>
        <v/>
      </c>
      <c r="CF33" s="54" t="str">
        <f aca="false">IF($C33="","",-$BI33+IF($R33=0,$BH33*MIN(CF$15,Horiz),$BH33*(1-(1+$R33)^(-MIN(CF$15,Horiz)))/$R33))</f>
        <v/>
      </c>
      <c r="CG33" s="54" t="str">
        <f aca="false">IF($C33="","",-$BI33+IF($R33=0,$BH33*MIN(CG$15,Horiz),$BH33*(1-(1+$R33)^(-MIN(CG$15,Horiz)))/$R33))</f>
        <v/>
      </c>
      <c r="CH33" s="54" t="str">
        <f aca="false">IF($C33="","",-$BI33+IF($R33=0,$BH33*MIN(CH$15,Horiz),$BH33*(1-(1+$R33)^(-MIN(CH$15,Horiz)))/$R33))</f>
        <v/>
      </c>
      <c r="CI33" s="54" t="str">
        <f aca="false">IF($C33="","",-$BI33+IF($R33=0,$BH33*MIN(CI$15,Horiz),$BH33*(1-(1+$R33)^(-MIN(CI$15,Horiz)))/$R33))</f>
        <v/>
      </c>
    </row>
    <row r="34" customFormat="false" ht="15" hidden="false" customHeight="false" outlineLevel="0" collapsed="false">
      <c r="A34" s="34" t="n">
        <v>19</v>
      </c>
      <c r="B34" s="35"/>
      <c r="C34" s="36"/>
      <c r="D34" s="35"/>
      <c r="E34" s="35"/>
      <c r="F34" s="37"/>
      <c r="G34" s="37"/>
      <c r="H34" s="38"/>
      <c r="I34" s="39"/>
      <c r="J34" s="40"/>
      <c r="K34" s="37"/>
      <c r="L34" s="35"/>
      <c r="M34" s="36"/>
      <c r="N34" s="41"/>
      <c r="O34" s="42"/>
      <c r="P34" s="43"/>
      <c r="Q34" s="42"/>
      <c r="R34" s="44"/>
      <c r="S34" s="36"/>
      <c r="T34" s="37"/>
      <c r="U34" s="36"/>
      <c r="V34" s="36"/>
      <c r="W34" s="42"/>
      <c r="X34" s="37"/>
      <c r="Y34" s="37"/>
      <c r="Z34" s="42"/>
      <c r="AA34" s="37"/>
      <c r="AB34" s="36"/>
      <c r="AC34" s="37"/>
      <c r="AD34" s="36"/>
      <c r="AE34" s="45" t="str">
        <f aca="false">IF($C34="","",AnioEval-K34)</f>
        <v/>
      </c>
      <c r="AF34" s="46" t="str">
        <f aca="false">IF($C34="","",IF(AND(ISNUMBER(J34),I34&gt;0),(H34-J34)/(I34*SensCR)-AE34,"n/d"))</f>
        <v/>
      </c>
      <c r="AG34" s="47" t="str">
        <f aca="false">IF($C34="","",IFERROR(I34*SensCR*AE34/H34,0))</f>
        <v/>
      </c>
      <c r="AH34" s="48" t="str">
        <f aca="false">IF($C34="","",IF(INDEX(MecTipo,MATCH(L34,MecList,0))="F",IFERROR(INDEX(SusDF,MATCH(M34,SusList,0)),1),LOOKUP(AG34,ArtLim,ArtDF)))</f>
        <v/>
      </c>
      <c r="AI34" s="48" t="str">
        <f aca="false">IF($C34="","",IF(ISNUMBER(N34),N34,AH34))</f>
        <v/>
      </c>
      <c r="AJ34" s="49" t="str">
        <f aca="false">IF($C34="","",INDEX(GFFval,MATCH(D34,GFFtipo,0)))</f>
        <v/>
      </c>
      <c r="AK34" s="49" t="str">
        <f aca="false">IF($C34="","",AJ34*AI34*FMS)</f>
        <v/>
      </c>
      <c r="AL34" s="50" t="str">
        <f aca="false">IF($C34="","",AK34*O34)</f>
        <v/>
      </c>
      <c r="AM34" s="51" t="str">
        <f aca="false">IF($C34="","",IF(N(T34)=0,"No requerido",IF(AND(U34="Apto",V34="Pasa"),"APTO/PASA",IF(AND(U34="Apto con limitaciones",V34="Pasa"),"APTO CON LIMITACIONES",IF(U34="No apto","NO APTO/REPARAR","REVISAR")))))</f>
        <v/>
      </c>
      <c r="AN34" s="48" t="str">
        <f aca="false">IF($C34="","",IF(AM34="NO APTO/REPARAR",1,MAX(1,AI34*INDEX(EffRet,MATCH(S34,EffList,0))*INDEX(FFSfac,MATCH(AM34,FFSlist,0)))))</f>
        <v/>
      </c>
      <c r="AO34" s="49" t="str">
        <f aca="false">IF($C34="","",AJ34*AN34*FMS)</f>
        <v/>
      </c>
      <c r="AP34" s="50" t="str">
        <f aca="false">IF($C34="","",AO34*O34)</f>
        <v/>
      </c>
      <c r="AQ34" s="50" t="str">
        <f aca="false">IF($C34="","",IFERROR(AJ34*FMS*INDEX(DFrep,AA34)*INDEX(FCrep,MATCH(AB34,CatLet,0)),AL34))</f>
        <v/>
      </c>
      <c r="AR34" s="50" t="str">
        <f aca="false">IF($C34="","",IFERROR(AJ34*FMS*INDEX(DFrep,AC34)*INDEX(FCrep,MATCH(AD34,CatLet,0)),AP34))</f>
        <v/>
      </c>
      <c r="AS34" s="52" t="str">
        <f aca="false">IF($C34="","",(1+SUMPRODUCT(--(AI34&gt;PcutDF)))&amp;CHOOSE(1+SUMPRODUCT(--(O34&gt;CcutFC)),"A","B","C","D","E"))</f>
        <v/>
      </c>
      <c r="AT34" s="52" t="str">
        <f aca="false">IF($C34="","",(1+SUMPRODUCT(--(AN34&gt;PcutDF)))&amp;CHOOSE(1+SUMPRODUCT(--(O34&gt;CcutFC)),"A","B","C","D","E"))</f>
        <v/>
      </c>
      <c r="AU34" s="52" t="str">
        <f aca="false">IF($C34="","",IF(AND(AA34&amp;AB34=AS34,AC34&amp;AD34=AT34),"OK","REVISAR"))</f>
        <v/>
      </c>
      <c r="AV34" s="45" t="str">
        <f aca="false">IF($C34="","",IFERROR(INDEX(RAMlev,AA34,MATCH(AB34,CatLet,0)),""))</f>
        <v/>
      </c>
      <c r="AW34" s="45" t="str">
        <f aca="false">IF($C34="","",IFERROR(INDEX(RAMlev,AC34,MATCH(AD34,CatLet,0)),""))</f>
        <v/>
      </c>
      <c r="AX34" s="52" t="str">
        <f aca="false">IF($C34="","",IF(AW34="","",IF(AW34&lt;=ObjNivel,"Cumple","Excede")))</f>
        <v/>
      </c>
      <c r="AY34" s="50" t="str">
        <f aca="false">IF($C34="","",IF(Base="RAM",AQ34,AL34))</f>
        <v/>
      </c>
      <c r="AZ34" s="50" t="str">
        <f aca="false">IF($C34="","",IF(Base="RAM",AR34,AP34))</f>
        <v/>
      </c>
      <c r="BA34" s="50" t="str">
        <f aca="false">IF($C34="","",AY34-AZ34)</f>
        <v/>
      </c>
      <c r="BB34" s="50" t="str">
        <f aca="false">IF($C34="","",BA34*N(P34))</f>
        <v/>
      </c>
      <c r="BC34" s="50" t="str">
        <f aca="false">IF($C34="","",BA34-BB34)</f>
        <v/>
      </c>
      <c r="BD34" s="50" t="str">
        <f aca="false">IF($C34="","",IFERROR(Q34*(1/X34-1/Y34),0))</f>
        <v/>
      </c>
      <c r="BE34" s="50" t="str">
        <f aca="false">IF($C34="","",IFERROR(Z34*(1/X34-1/Y34),0))</f>
        <v/>
      </c>
      <c r="BF34" s="50" t="str">
        <f aca="false">IF($C34="","",IFERROR((Q34+Z34)/X34,0))</f>
        <v/>
      </c>
      <c r="BG34" s="50" t="str">
        <f aca="false">IF($C34="","",IFERROR((Q34+Z34)/Y34,0))</f>
        <v/>
      </c>
      <c r="BH34" s="50" t="str">
        <f aca="false">IF($C34="","",BA34+BD34+BE34)</f>
        <v/>
      </c>
      <c r="BI34" s="50" t="str">
        <f aca="false">IF($C34="","",Q34+INDEX(FFScost,N(T34)+1)+IF(OR(AM34="NO APTO/REPARAR",AM34="APTO CON LIMITACIONES"),N(W34),0)+RBIimpl)</f>
        <v/>
      </c>
      <c r="BJ34" s="47" t="str">
        <f aca="false">IF($C34="","",IF(R34=0,Horiz,(1-(1+R34)^(-Horiz))/R34))</f>
        <v/>
      </c>
      <c r="BK34" s="50" t="str">
        <f aca="false">IF($C34="","",BH34*BJ34)</f>
        <v/>
      </c>
      <c r="BL34" s="53" t="str">
        <f aca="false">IF($C34="","",IFERROR(BK34/BI34,0))</f>
        <v/>
      </c>
      <c r="BM34" s="54" t="str">
        <f aca="false">IF($C34="","",BK34-BI34)</f>
        <v/>
      </c>
      <c r="BN34" s="55" t="str">
        <f aca="false">IF($C34="","",IFERROR((Horiz*BH34-BI34)/BI34,0))</f>
        <v/>
      </c>
      <c r="BO34" s="46" t="str">
        <f aca="false">IF($C34="","",IF(BH34&gt;0,BI34/BH34,"No recupera"))</f>
        <v/>
      </c>
      <c r="BP34" s="46" t="str">
        <f aca="false">IF($C34="","",IF(BH34&lt;=0,"No recupera",IF(R34=0,BI34/BH34,IFERROR(-LN(1-BI34*R34/BH34)/LN(1+R34),"No recupera"))))</f>
        <v/>
      </c>
      <c r="BQ34" s="54" t="str">
        <f aca="false">IF($C34="","",BH34-BI34/BJ34)</f>
        <v/>
      </c>
      <c r="BR34" s="51" t="str">
        <f aca="false">IF($C34="","",IF(BL34&gt;1,"ACEPTABLE","NO ACEPTABLE"))</f>
        <v/>
      </c>
      <c r="BS34" s="56" t="str">
        <f aca="false">IF($C34="","",IF(ISNUMBER(AF34),IF(AF34&lt;0,IF(LEFT(AM34,4)="APTO","RUL&lt;0 con FFS apto: verificar","RUL&lt;0"),""),""))</f>
        <v/>
      </c>
      <c r="BT34" s="54" t="str">
        <f aca="false">IF($C34="","",-$BI34+IF($R34=0,$BH34*MIN(BT$15,Horiz),$BH34*(1-(1+$R34)^(-MIN(BT$15,Horiz)))/$R34))</f>
        <v/>
      </c>
      <c r="BU34" s="54" t="str">
        <f aca="false">IF($C34="","",-$BI34+IF($R34=0,$BH34*MIN(BU$15,Horiz),$BH34*(1-(1+$R34)^(-MIN(BU$15,Horiz)))/$R34))</f>
        <v/>
      </c>
      <c r="BV34" s="54" t="str">
        <f aca="false">IF($C34="","",-$BI34+IF($R34=0,$BH34*MIN(BV$15,Horiz),$BH34*(1-(1+$R34)^(-MIN(BV$15,Horiz)))/$R34))</f>
        <v/>
      </c>
      <c r="BW34" s="54" t="str">
        <f aca="false">IF($C34="","",-$BI34+IF($R34=0,$BH34*MIN(BW$15,Horiz),$BH34*(1-(1+$R34)^(-MIN(BW$15,Horiz)))/$R34))</f>
        <v/>
      </c>
      <c r="BX34" s="54" t="str">
        <f aca="false">IF($C34="","",-$BI34+IF($R34=0,$BH34*MIN(BX$15,Horiz),$BH34*(1-(1+$R34)^(-MIN(BX$15,Horiz)))/$R34))</f>
        <v/>
      </c>
      <c r="BY34" s="54" t="str">
        <f aca="false">IF($C34="","",-$BI34+IF($R34=0,$BH34*MIN(BY$15,Horiz),$BH34*(1-(1+$R34)^(-MIN(BY$15,Horiz)))/$R34))</f>
        <v/>
      </c>
      <c r="BZ34" s="54" t="str">
        <f aca="false">IF($C34="","",-$BI34+IF($R34=0,$BH34*MIN(BZ$15,Horiz),$BH34*(1-(1+$R34)^(-MIN(BZ$15,Horiz)))/$R34))</f>
        <v/>
      </c>
      <c r="CA34" s="54" t="str">
        <f aca="false">IF($C34="","",-$BI34+IF($R34=0,$BH34*MIN(CA$15,Horiz),$BH34*(1-(1+$R34)^(-MIN(CA$15,Horiz)))/$R34))</f>
        <v/>
      </c>
      <c r="CB34" s="54" t="str">
        <f aca="false">IF($C34="","",-$BI34+IF($R34=0,$BH34*MIN(CB$15,Horiz),$BH34*(1-(1+$R34)^(-MIN(CB$15,Horiz)))/$R34))</f>
        <v/>
      </c>
      <c r="CC34" s="54" t="str">
        <f aca="false">IF($C34="","",-$BI34+IF($R34=0,$BH34*MIN(CC$15,Horiz),$BH34*(1-(1+$R34)^(-MIN(CC$15,Horiz)))/$R34))</f>
        <v/>
      </c>
      <c r="CD34" s="54" t="str">
        <f aca="false">IF($C34="","",-$BI34+IF($R34=0,$BH34*MIN(CD$15,Horiz),$BH34*(1-(1+$R34)^(-MIN(CD$15,Horiz)))/$R34))</f>
        <v/>
      </c>
      <c r="CE34" s="54" t="str">
        <f aca="false">IF($C34="","",-$BI34+IF($R34=0,$BH34*MIN(CE$15,Horiz),$BH34*(1-(1+$R34)^(-MIN(CE$15,Horiz)))/$R34))</f>
        <v/>
      </c>
      <c r="CF34" s="54" t="str">
        <f aca="false">IF($C34="","",-$BI34+IF($R34=0,$BH34*MIN(CF$15,Horiz),$BH34*(1-(1+$R34)^(-MIN(CF$15,Horiz)))/$R34))</f>
        <v/>
      </c>
      <c r="CG34" s="54" t="str">
        <f aca="false">IF($C34="","",-$BI34+IF($R34=0,$BH34*MIN(CG$15,Horiz),$BH34*(1-(1+$R34)^(-MIN(CG$15,Horiz)))/$R34))</f>
        <v/>
      </c>
      <c r="CH34" s="54" t="str">
        <f aca="false">IF($C34="","",-$BI34+IF($R34=0,$BH34*MIN(CH$15,Horiz),$BH34*(1-(1+$R34)^(-MIN(CH$15,Horiz)))/$R34))</f>
        <v/>
      </c>
      <c r="CI34" s="54" t="str">
        <f aca="false">IF($C34="","",-$BI34+IF($R34=0,$BH34*MIN(CI$15,Horiz),$BH34*(1-(1+$R34)^(-MIN(CI$15,Horiz)))/$R34))</f>
        <v/>
      </c>
    </row>
    <row r="35" customFormat="false" ht="15" hidden="false" customHeight="false" outlineLevel="0" collapsed="false">
      <c r="A35" s="34" t="n">
        <v>20</v>
      </c>
      <c r="B35" s="35"/>
      <c r="C35" s="36"/>
      <c r="D35" s="35"/>
      <c r="E35" s="35"/>
      <c r="F35" s="37"/>
      <c r="G35" s="37"/>
      <c r="H35" s="38"/>
      <c r="I35" s="39"/>
      <c r="J35" s="40"/>
      <c r="K35" s="37"/>
      <c r="L35" s="35"/>
      <c r="M35" s="36"/>
      <c r="N35" s="41"/>
      <c r="O35" s="42"/>
      <c r="P35" s="43"/>
      <c r="Q35" s="42"/>
      <c r="R35" s="44"/>
      <c r="S35" s="36"/>
      <c r="T35" s="37"/>
      <c r="U35" s="36"/>
      <c r="V35" s="36"/>
      <c r="W35" s="42"/>
      <c r="X35" s="37"/>
      <c r="Y35" s="37"/>
      <c r="Z35" s="42"/>
      <c r="AA35" s="37"/>
      <c r="AB35" s="36"/>
      <c r="AC35" s="37"/>
      <c r="AD35" s="36"/>
      <c r="AE35" s="45" t="str">
        <f aca="false">IF($C35="","",AnioEval-K35)</f>
        <v/>
      </c>
      <c r="AF35" s="46" t="str">
        <f aca="false">IF($C35="","",IF(AND(ISNUMBER(J35),I35&gt;0),(H35-J35)/(I35*SensCR)-AE35,"n/d"))</f>
        <v/>
      </c>
      <c r="AG35" s="47" t="str">
        <f aca="false">IF($C35="","",IFERROR(I35*SensCR*AE35/H35,0))</f>
        <v/>
      </c>
      <c r="AH35" s="48" t="str">
        <f aca="false">IF($C35="","",IF(INDEX(MecTipo,MATCH(L35,MecList,0))="F",IFERROR(INDEX(SusDF,MATCH(M35,SusList,0)),1),LOOKUP(AG35,ArtLim,ArtDF)))</f>
        <v/>
      </c>
      <c r="AI35" s="48" t="str">
        <f aca="false">IF($C35="","",IF(ISNUMBER(N35),N35,AH35))</f>
        <v/>
      </c>
      <c r="AJ35" s="49" t="str">
        <f aca="false">IF($C35="","",INDEX(GFFval,MATCH(D35,GFFtipo,0)))</f>
        <v/>
      </c>
      <c r="AK35" s="49" t="str">
        <f aca="false">IF($C35="","",AJ35*AI35*FMS)</f>
        <v/>
      </c>
      <c r="AL35" s="50" t="str">
        <f aca="false">IF($C35="","",AK35*O35)</f>
        <v/>
      </c>
      <c r="AM35" s="51" t="str">
        <f aca="false">IF($C35="","",IF(N(T35)=0,"No requerido",IF(AND(U35="Apto",V35="Pasa"),"APTO/PASA",IF(AND(U35="Apto con limitaciones",V35="Pasa"),"APTO CON LIMITACIONES",IF(U35="No apto","NO APTO/REPARAR","REVISAR")))))</f>
        <v/>
      </c>
      <c r="AN35" s="48" t="str">
        <f aca="false">IF($C35="","",IF(AM35="NO APTO/REPARAR",1,MAX(1,AI35*INDEX(EffRet,MATCH(S35,EffList,0))*INDEX(FFSfac,MATCH(AM35,FFSlist,0)))))</f>
        <v/>
      </c>
      <c r="AO35" s="49" t="str">
        <f aca="false">IF($C35="","",AJ35*AN35*FMS)</f>
        <v/>
      </c>
      <c r="AP35" s="50" t="str">
        <f aca="false">IF($C35="","",AO35*O35)</f>
        <v/>
      </c>
      <c r="AQ35" s="50" t="str">
        <f aca="false">IF($C35="","",IFERROR(AJ35*FMS*INDEX(DFrep,AA35)*INDEX(FCrep,MATCH(AB35,CatLet,0)),AL35))</f>
        <v/>
      </c>
      <c r="AR35" s="50" t="str">
        <f aca="false">IF($C35="","",IFERROR(AJ35*FMS*INDEX(DFrep,AC35)*INDEX(FCrep,MATCH(AD35,CatLet,0)),AP35))</f>
        <v/>
      </c>
      <c r="AS35" s="52" t="str">
        <f aca="false">IF($C35="","",(1+SUMPRODUCT(--(AI35&gt;PcutDF)))&amp;CHOOSE(1+SUMPRODUCT(--(O35&gt;CcutFC)),"A","B","C","D","E"))</f>
        <v/>
      </c>
      <c r="AT35" s="52" t="str">
        <f aca="false">IF($C35="","",(1+SUMPRODUCT(--(AN35&gt;PcutDF)))&amp;CHOOSE(1+SUMPRODUCT(--(O35&gt;CcutFC)),"A","B","C","D","E"))</f>
        <v/>
      </c>
      <c r="AU35" s="52" t="str">
        <f aca="false">IF($C35="","",IF(AND(AA35&amp;AB35=AS35,AC35&amp;AD35=AT35),"OK","REVISAR"))</f>
        <v/>
      </c>
      <c r="AV35" s="45" t="str">
        <f aca="false">IF($C35="","",IFERROR(INDEX(RAMlev,AA35,MATCH(AB35,CatLet,0)),""))</f>
        <v/>
      </c>
      <c r="AW35" s="45" t="str">
        <f aca="false">IF($C35="","",IFERROR(INDEX(RAMlev,AC35,MATCH(AD35,CatLet,0)),""))</f>
        <v/>
      </c>
      <c r="AX35" s="52" t="str">
        <f aca="false">IF($C35="","",IF(AW35="","",IF(AW35&lt;=ObjNivel,"Cumple","Excede")))</f>
        <v/>
      </c>
      <c r="AY35" s="50" t="str">
        <f aca="false">IF($C35="","",IF(Base="RAM",AQ35,AL35))</f>
        <v/>
      </c>
      <c r="AZ35" s="50" t="str">
        <f aca="false">IF($C35="","",IF(Base="RAM",AR35,AP35))</f>
        <v/>
      </c>
      <c r="BA35" s="50" t="str">
        <f aca="false">IF($C35="","",AY35-AZ35)</f>
        <v/>
      </c>
      <c r="BB35" s="50" t="str">
        <f aca="false">IF($C35="","",BA35*N(P35))</f>
        <v/>
      </c>
      <c r="BC35" s="50" t="str">
        <f aca="false">IF($C35="","",BA35-BB35)</f>
        <v/>
      </c>
      <c r="BD35" s="50" t="str">
        <f aca="false">IF($C35="","",IFERROR(Q35*(1/X35-1/Y35),0))</f>
        <v/>
      </c>
      <c r="BE35" s="50" t="str">
        <f aca="false">IF($C35="","",IFERROR(Z35*(1/X35-1/Y35),0))</f>
        <v/>
      </c>
      <c r="BF35" s="50" t="str">
        <f aca="false">IF($C35="","",IFERROR((Q35+Z35)/X35,0))</f>
        <v/>
      </c>
      <c r="BG35" s="50" t="str">
        <f aca="false">IF($C35="","",IFERROR((Q35+Z35)/Y35,0))</f>
        <v/>
      </c>
      <c r="BH35" s="50" t="str">
        <f aca="false">IF($C35="","",BA35+BD35+BE35)</f>
        <v/>
      </c>
      <c r="BI35" s="50" t="str">
        <f aca="false">IF($C35="","",Q35+INDEX(FFScost,N(T35)+1)+IF(OR(AM35="NO APTO/REPARAR",AM35="APTO CON LIMITACIONES"),N(W35),0)+RBIimpl)</f>
        <v/>
      </c>
      <c r="BJ35" s="47" t="str">
        <f aca="false">IF($C35="","",IF(R35=0,Horiz,(1-(1+R35)^(-Horiz))/R35))</f>
        <v/>
      </c>
      <c r="BK35" s="50" t="str">
        <f aca="false">IF($C35="","",BH35*BJ35)</f>
        <v/>
      </c>
      <c r="BL35" s="53" t="str">
        <f aca="false">IF($C35="","",IFERROR(BK35/BI35,0))</f>
        <v/>
      </c>
      <c r="BM35" s="54" t="str">
        <f aca="false">IF($C35="","",BK35-BI35)</f>
        <v/>
      </c>
      <c r="BN35" s="55" t="str">
        <f aca="false">IF($C35="","",IFERROR((Horiz*BH35-BI35)/BI35,0))</f>
        <v/>
      </c>
      <c r="BO35" s="46" t="str">
        <f aca="false">IF($C35="","",IF(BH35&gt;0,BI35/BH35,"No recupera"))</f>
        <v/>
      </c>
      <c r="BP35" s="46" t="str">
        <f aca="false">IF($C35="","",IF(BH35&lt;=0,"No recupera",IF(R35=0,BI35/BH35,IFERROR(-LN(1-BI35*R35/BH35)/LN(1+R35),"No recupera"))))</f>
        <v/>
      </c>
      <c r="BQ35" s="54" t="str">
        <f aca="false">IF($C35="","",BH35-BI35/BJ35)</f>
        <v/>
      </c>
      <c r="BR35" s="51" t="str">
        <f aca="false">IF($C35="","",IF(BL35&gt;1,"ACEPTABLE","NO ACEPTABLE"))</f>
        <v/>
      </c>
      <c r="BS35" s="56" t="str">
        <f aca="false">IF($C35="","",IF(ISNUMBER(AF35),IF(AF35&lt;0,IF(LEFT(AM35,4)="APTO","RUL&lt;0 con FFS apto: verificar","RUL&lt;0"),""),""))</f>
        <v/>
      </c>
      <c r="BT35" s="54" t="str">
        <f aca="false">IF($C35="","",-$BI35+IF($R35=0,$BH35*MIN(BT$15,Horiz),$BH35*(1-(1+$R35)^(-MIN(BT$15,Horiz)))/$R35))</f>
        <v/>
      </c>
      <c r="BU35" s="54" t="str">
        <f aca="false">IF($C35="","",-$BI35+IF($R35=0,$BH35*MIN(BU$15,Horiz),$BH35*(1-(1+$R35)^(-MIN(BU$15,Horiz)))/$R35))</f>
        <v/>
      </c>
      <c r="BV35" s="54" t="str">
        <f aca="false">IF($C35="","",-$BI35+IF($R35=0,$BH35*MIN(BV$15,Horiz),$BH35*(1-(1+$R35)^(-MIN(BV$15,Horiz)))/$R35))</f>
        <v/>
      </c>
      <c r="BW35" s="54" t="str">
        <f aca="false">IF($C35="","",-$BI35+IF($R35=0,$BH35*MIN(BW$15,Horiz),$BH35*(1-(1+$R35)^(-MIN(BW$15,Horiz)))/$R35))</f>
        <v/>
      </c>
      <c r="BX35" s="54" t="str">
        <f aca="false">IF($C35="","",-$BI35+IF($R35=0,$BH35*MIN(BX$15,Horiz),$BH35*(1-(1+$R35)^(-MIN(BX$15,Horiz)))/$R35))</f>
        <v/>
      </c>
      <c r="BY35" s="54" t="str">
        <f aca="false">IF($C35="","",-$BI35+IF($R35=0,$BH35*MIN(BY$15,Horiz),$BH35*(1-(1+$R35)^(-MIN(BY$15,Horiz)))/$R35))</f>
        <v/>
      </c>
      <c r="BZ35" s="54" t="str">
        <f aca="false">IF($C35="","",-$BI35+IF($R35=0,$BH35*MIN(BZ$15,Horiz),$BH35*(1-(1+$R35)^(-MIN(BZ$15,Horiz)))/$R35))</f>
        <v/>
      </c>
      <c r="CA35" s="54" t="str">
        <f aca="false">IF($C35="","",-$BI35+IF($R35=0,$BH35*MIN(CA$15,Horiz),$BH35*(1-(1+$R35)^(-MIN(CA$15,Horiz)))/$R35))</f>
        <v/>
      </c>
      <c r="CB35" s="54" t="str">
        <f aca="false">IF($C35="","",-$BI35+IF($R35=0,$BH35*MIN(CB$15,Horiz),$BH35*(1-(1+$R35)^(-MIN(CB$15,Horiz)))/$R35))</f>
        <v/>
      </c>
      <c r="CC35" s="54" t="str">
        <f aca="false">IF($C35="","",-$BI35+IF($R35=0,$BH35*MIN(CC$15,Horiz),$BH35*(1-(1+$R35)^(-MIN(CC$15,Horiz)))/$R35))</f>
        <v/>
      </c>
      <c r="CD35" s="54" t="str">
        <f aca="false">IF($C35="","",-$BI35+IF($R35=0,$BH35*MIN(CD$15,Horiz),$BH35*(1-(1+$R35)^(-MIN(CD$15,Horiz)))/$R35))</f>
        <v/>
      </c>
      <c r="CE35" s="54" t="str">
        <f aca="false">IF($C35="","",-$BI35+IF($R35=0,$BH35*MIN(CE$15,Horiz),$BH35*(1-(1+$R35)^(-MIN(CE$15,Horiz)))/$R35))</f>
        <v/>
      </c>
      <c r="CF35" s="54" t="str">
        <f aca="false">IF($C35="","",-$BI35+IF($R35=0,$BH35*MIN(CF$15,Horiz),$BH35*(1-(1+$R35)^(-MIN(CF$15,Horiz)))/$R35))</f>
        <v/>
      </c>
      <c r="CG35" s="54" t="str">
        <f aca="false">IF($C35="","",-$BI35+IF($R35=0,$BH35*MIN(CG$15,Horiz),$BH35*(1-(1+$R35)^(-MIN(CG$15,Horiz)))/$R35))</f>
        <v/>
      </c>
      <c r="CH35" s="54" t="str">
        <f aca="false">IF($C35="","",-$BI35+IF($R35=0,$BH35*MIN(CH$15,Horiz),$BH35*(1-(1+$R35)^(-MIN(CH$15,Horiz)))/$R35))</f>
        <v/>
      </c>
      <c r="CI35" s="54" t="str">
        <f aca="false">IF($C35="","",-$BI35+IF($R35=0,$BH35*MIN(CI$15,Horiz),$BH35*(1-(1+$R35)^(-MIN(CI$15,Horiz)))/$R35))</f>
        <v/>
      </c>
    </row>
    <row r="36" customFormat="false" ht="15" hidden="false" customHeight="false" outlineLevel="0" collapsed="false">
      <c r="A36" s="34" t="n">
        <v>21</v>
      </c>
      <c r="B36" s="35"/>
      <c r="C36" s="36"/>
      <c r="D36" s="35"/>
      <c r="E36" s="35"/>
      <c r="F36" s="37"/>
      <c r="G36" s="37"/>
      <c r="H36" s="38"/>
      <c r="I36" s="39"/>
      <c r="J36" s="40"/>
      <c r="K36" s="37"/>
      <c r="L36" s="35"/>
      <c r="M36" s="36"/>
      <c r="N36" s="41"/>
      <c r="O36" s="42"/>
      <c r="P36" s="43"/>
      <c r="Q36" s="42"/>
      <c r="R36" s="44"/>
      <c r="S36" s="36"/>
      <c r="T36" s="37"/>
      <c r="U36" s="36"/>
      <c r="V36" s="36"/>
      <c r="W36" s="42"/>
      <c r="X36" s="37"/>
      <c r="Y36" s="37"/>
      <c r="Z36" s="42"/>
      <c r="AA36" s="37"/>
      <c r="AB36" s="36"/>
      <c r="AC36" s="37"/>
      <c r="AD36" s="36"/>
      <c r="AE36" s="45" t="str">
        <f aca="false">IF($C36="","",AnioEval-K36)</f>
        <v/>
      </c>
      <c r="AF36" s="46" t="str">
        <f aca="false">IF($C36="","",IF(AND(ISNUMBER(J36),I36&gt;0),(H36-J36)/(I36*SensCR)-AE36,"n/d"))</f>
        <v/>
      </c>
      <c r="AG36" s="47" t="str">
        <f aca="false">IF($C36="","",IFERROR(I36*SensCR*AE36/H36,0))</f>
        <v/>
      </c>
      <c r="AH36" s="48" t="str">
        <f aca="false">IF($C36="","",IF(INDEX(MecTipo,MATCH(L36,MecList,0))="F",IFERROR(INDEX(SusDF,MATCH(M36,SusList,0)),1),LOOKUP(AG36,ArtLim,ArtDF)))</f>
        <v/>
      </c>
      <c r="AI36" s="48" t="str">
        <f aca="false">IF($C36="","",IF(ISNUMBER(N36),N36,AH36))</f>
        <v/>
      </c>
      <c r="AJ36" s="49" t="str">
        <f aca="false">IF($C36="","",INDEX(GFFval,MATCH(D36,GFFtipo,0)))</f>
        <v/>
      </c>
      <c r="AK36" s="49" t="str">
        <f aca="false">IF($C36="","",AJ36*AI36*FMS)</f>
        <v/>
      </c>
      <c r="AL36" s="50" t="str">
        <f aca="false">IF($C36="","",AK36*O36)</f>
        <v/>
      </c>
      <c r="AM36" s="51" t="str">
        <f aca="false">IF($C36="","",IF(N(T36)=0,"No requerido",IF(AND(U36="Apto",V36="Pasa"),"APTO/PASA",IF(AND(U36="Apto con limitaciones",V36="Pasa"),"APTO CON LIMITACIONES",IF(U36="No apto","NO APTO/REPARAR","REVISAR")))))</f>
        <v/>
      </c>
      <c r="AN36" s="48" t="str">
        <f aca="false">IF($C36="","",IF(AM36="NO APTO/REPARAR",1,MAX(1,AI36*INDEX(EffRet,MATCH(S36,EffList,0))*INDEX(FFSfac,MATCH(AM36,FFSlist,0)))))</f>
        <v/>
      </c>
      <c r="AO36" s="49" t="str">
        <f aca="false">IF($C36="","",AJ36*AN36*FMS)</f>
        <v/>
      </c>
      <c r="AP36" s="50" t="str">
        <f aca="false">IF($C36="","",AO36*O36)</f>
        <v/>
      </c>
      <c r="AQ36" s="50" t="str">
        <f aca="false">IF($C36="","",IFERROR(AJ36*FMS*INDEX(DFrep,AA36)*INDEX(FCrep,MATCH(AB36,CatLet,0)),AL36))</f>
        <v/>
      </c>
      <c r="AR36" s="50" t="str">
        <f aca="false">IF($C36="","",IFERROR(AJ36*FMS*INDEX(DFrep,AC36)*INDEX(FCrep,MATCH(AD36,CatLet,0)),AP36))</f>
        <v/>
      </c>
      <c r="AS36" s="52" t="str">
        <f aca="false">IF($C36="","",(1+SUMPRODUCT(--(AI36&gt;PcutDF)))&amp;CHOOSE(1+SUMPRODUCT(--(O36&gt;CcutFC)),"A","B","C","D","E"))</f>
        <v/>
      </c>
      <c r="AT36" s="52" t="str">
        <f aca="false">IF($C36="","",(1+SUMPRODUCT(--(AN36&gt;PcutDF)))&amp;CHOOSE(1+SUMPRODUCT(--(O36&gt;CcutFC)),"A","B","C","D","E"))</f>
        <v/>
      </c>
      <c r="AU36" s="52" t="str">
        <f aca="false">IF($C36="","",IF(AND(AA36&amp;AB36=AS36,AC36&amp;AD36=AT36),"OK","REVISAR"))</f>
        <v/>
      </c>
      <c r="AV36" s="45" t="str">
        <f aca="false">IF($C36="","",IFERROR(INDEX(RAMlev,AA36,MATCH(AB36,CatLet,0)),""))</f>
        <v/>
      </c>
      <c r="AW36" s="45" t="str">
        <f aca="false">IF($C36="","",IFERROR(INDEX(RAMlev,AC36,MATCH(AD36,CatLet,0)),""))</f>
        <v/>
      </c>
      <c r="AX36" s="52" t="str">
        <f aca="false">IF($C36="","",IF(AW36="","",IF(AW36&lt;=ObjNivel,"Cumple","Excede")))</f>
        <v/>
      </c>
      <c r="AY36" s="50" t="str">
        <f aca="false">IF($C36="","",IF(Base="RAM",AQ36,AL36))</f>
        <v/>
      </c>
      <c r="AZ36" s="50" t="str">
        <f aca="false">IF($C36="","",IF(Base="RAM",AR36,AP36))</f>
        <v/>
      </c>
      <c r="BA36" s="50" t="str">
        <f aca="false">IF($C36="","",AY36-AZ36)</f>
        <v/>
      </c>
      <c r="BB36" s="50" t="str">
        <f aca="false">IF($C36="","",BA36*N(P36))</f>
        <v/>
      </c>
      <c r="BC36" s="50" t="str">
        <f aca="false">IF($C36="","",BA36-BB36)</f>
        <v/>
      </c>
      <c r="BD36" s="50" t="str">
        <f aca="false">IF($C36="","",IFERROR(Q36*(1/X36-1/Y36),0))</f>
        <v/>
      </c>
      <c r="BE36" s="50" t="str">
        <f aca="false">IF($C36="","",IFERROR(Z36*(1/X36-1/Y36),0))</f>
        <v/>
      </c>
      <c r="BF36" s="50" t="str">
        <f aca="false">IF($C36="","",IFERROR((Q36+Z36)/X36,0))</f>
        <v/>
      </c>
      <c r="BG36" s="50" t="str">
        <f aca="false">IF($C36="","",IFERROR((Q36+Z36)/Y36,0))</f>
        <v/>
      </c>
      <c r="BH36" s="50" t="str">
        <f aca="false">IF($C36="","",BA36+BD36+BE36)</f>
        <v/>
      </c>
      <c r="BI36" s="50" t="str">
        <f aca="false">IF($C36="","",Q36+INDEX(FFScost,N(T36)+1)+IF(OR(AM36="NO APTO/REPARAR",AM36="APTO CON LIMITACIONES"),N(W36),0)+RBIimpl)</f>
        <v/>
      </c>
      <c r="BJ36" s="47" t="str">
        <f aca="false">IF($C36="","",IF(R36=0,Horiz,(1-(1+R36)^(-Horiz))/R36))</f>
        <v/>
      </c>
      <c r="BK36" s="50" t="str">
        <f aca="false">IF($C36="","",BH36*BJ36)</f>
        <v/>
      </c>
      <c r="BL36" s="53" t="str">
        <f aca="false">IF($C36="","",IFERROR(BK36/BI36,0))</f>
        <v/>
      </c>
      <c r="BM36" s="54" t="str">
        <f aca="false">IF($C36="","",BK36-BI36)</f>
        <v/>
      </c>
      <c r="BN36" s="55" t="str">
        <f aca="false">IF($C36="","",IFERROR((Horiz*BH36-BI36)/BI36,0))</f>
        <v/>
      </c>
      <c r="BO36" s="46" t="str">
        <f aca="false">IF($C36="","",IF(BH36&gt;0,BI36/BH36,"No recupera"))</f>
        <v/>
      </c>
      <c r="BP36" s="46" t="str">
        <f aca="false">IF($C36="","",IF(BH36&lt;=0,"No recupera",IF(R36=0,BI36/BH36,IFERROR(-LN(1-BI36*R36/BH36)/LN(1+R36),"No recupera"))))</f>
        <v/>
      </c>
      <c r="BQ36" s="54" t="str">
        <f aca="false">IF($C36="","",BH36-BI36/BJ36)</f>
        <v/>
      </c>
      <c r="BR36" s="51" t="str">
        <f aca="false">IF($C36="","",IF(BL36&gt;1,"ACEPTABLE","NO ACEPTABLE"))</f>
        <v/>
      </c>
      <c r="BS36" s="56" t="str">
        <f aca="false">IF($C36="","",IF(ISNUMBER(AF36),IF(AF36&lt;0,IF(LEFT(AM36,4)="APTO","RUL&lt;0 con FFS apto: verificar","RUL&lt;0"),""),""))</f>
        <v/>
      </c>
      <c r="BT36" s="54" t="str">
        <f aca="false">IF($C36="","",-$BI36+IF($R36=0,$BH36*MIN(BT$15,Horiz),$BH36*(1-(1+$R36)^(-MIN(BT$15,Horiz)))/$R36))</f>
        <v/>
      </c>
      <c r="BU36" s="54" t="str">
        <f aca="false">IF($C36="","",-$BI36+IF($R36=0,$BH36*MIN(BU$15,Horiz),$BH36*(1-(1+$R36)^(-MIN(BU$15,Horiz)))/$R36))</f>
        <v/>
      </c>
      <c r="BV36" s="54" t="str">
        <f aca="false">IF($C36="","",-$BI36+IF($R36=0,$BH36*MIN(BV$15,Horiz),$BH36*(1-(1+$R36)^(-MIN(BV$15,Horiz)))/$R36))</f>
        <v/>
      </c>
      <c r="BW36" s="54" t="str">
        <f aca="false">IF($C36="","",-$BI36+IF($R36=0,$BH36*MIN(BW$15,Horiz),$BH36*(1-(1+$R36)^(-MIN(BW$15,Horiz)))/$R36))</f>
        <v/>
      </c>
      <c r="BX36" s="54" t="str">
        <f aca="false">IF($C36="","",-$BI36+IF($R36=0,$BH36*MIN(BX$15,Horiz),$BH36*(1-(1+$R36)^(-MIN(BX$15,Horiz)))/$R36))</f>
        <v/>
      </c>
      <c r="BY36" s="54" t="str">
        <f aca="false">IF($C36="","",-$BI36+IF($R36=0,$BH36*MIN(BY$15,Horiz),$BH36*(1-(1+$R36)^(-MIN(BY$15,Horiz)))/$R36))</f>
        <v/>
      </c>
      <c r="BZ36" s="54" t="str">
        <f aca="false">IF($C36="","",-$BI36+IF($R36=0,$BH36*MIN(BZ$15,Horiz),$BH36*(1-(1+$R36)^(-MIN(BZ$15,Horiz)))/$R36))</f>
        <v/>
      </c>
      <c r="CA36" s="54" t="str">
        <f aca="false">IF($C36="","",-$BI36+IF($R36=0,$BH36*MIN(CA$15,Horiz),$BH36*(1-(1+$R36)^(-MIN(CA$15,Horiz)))/$R36))</f>
        <v/>
      </c>
      <c r="CB36" s="54" t="str">
        <f aca="false">IF($C36="","",-$BI36+IF($R36=0,$BH36*MIN(CB$15,Horiz),$BH36*(1-(1+$R36)^(-MIN(CB$15,Horiz)))/$R36))</f>
        <v/>
      </c>
      <c r="CC36" s="54" t="str">
        <f aca="false">IF($C36="","",-$BI36+IF($R36=0,$BH36*MIN(CC$15,Horiz),$BH36*(1-(1+$R36)^(-MIN(CC$15,Horiz)))/$R36))</f>
        <v/>
      </c>
      <c r="CD36" s="54" t="str">
        <f aca="false">IF($C36="","",-$BI36+IF($R36=0,$BH36*MIN(CD$15,Horiz),$BH36*(1-(1+$R36)^(-MIN(CD$15,Horiz)))/$R36))</f>
        <v/>
      </c>
      <c r="CE36" s="54" t="str">
        <f aca="false">IF($C36="","",-$BI36+IF($R36=0,$BH36*MIN(CE$15,Horiz),$BH36*(1-(1+$R36)^(-MIN(CE$15,Horiz)))/$R36))</f>
        <v/>
      </c>
      <c r="CF36" s="54" t="str">
        <f aca="false">IF($C36="","",-$BI36+IF($R36=0,$BH36*MIN(CF$15,Horiz),$BH36*(1-(1+$R36)^(-MIN(CF$15,Horiz)))/$R36))</f>
        <v/>
      </c>
      <c r="CG36" s="54" t="str">
        <f aca="false">IF($C36="","",-$BI36+IF($R36=0,$BH36*MIN(CG$15,Horiz),$BH36*(1-(1+$R36)^(-MIN(CG$15,Horiz)))/$R36))</f>
        <v/>
      </c>
      <c r="CH36" s="54" t="str">
        <f aca="false">IF($C36="","",-$BI36+IF($R36=0,$BH36*MIN(CH$15,Horiz),$BH36*(1-(1+$R36)^(-MIN(CH$15,Horiz)))/$R36))</f>
        <v/>
      </c>
      <c r="CI36" s="54" t="str">
        <f aca="false">IF($C36="","",-$BI36+IF($R36=0,$BH36*MIN(CI$15,Horiz),$BH36*(1-(1+$R36)^(-MIN(CI$15,Horiz)))/$R36))</f>
        <v/>
      </c>
    </row>
    <row r="37" customFormat="false" ht="15" hidden="false" customHeight="false" outlineLevel="0" collapsed="false">
      <c r="A37" s="34" t="n">
        <v>22</v>
      </c>
      <c r="B37" s="35"/>
      <c r="C37" s="36"/>
      <c r="D37" s="35"/>
      <c r="E37" s="35"/>
      <c r="F37" s="37"/>
      <c r="G37" s="37"/>
      <c r="H37" s="38"/>
      <c r="I37" s="39"/>
      <c r="J37" s="40"/>
      <c r="K37" s="37"/>
      <c r="L37" s="35"/>
      <c r="M37" s="36"/>
      <c r="N37" s="41"/>
      <c r="O37" s="42"/>
      <c r="P37" s="43"/>
      <c r="Q37" s="42"/>
      <c r="R37" s="44"/>
      <c r="S37" s="36"/>
      <c r="T37" s="37"/>
      <c r="U37" s="36"/>
      <c r="V37" s="36"/>
      <c r="W37" s="42"/>
      <c r="X37" s="37"/>
      <c r="Y37" s="37"/>
      <c r="Z37" s="42"/>
      <c r="AA37" s="37"/>
      <c r="AB37" s="36"/>
      <c r="AC37" s="37"/>
      <c r="AD37" s="36"/>
      <c r="AE37" s="45" t="str">
        <f aca="false">IF($C37="","",AnioEval-K37)</f>
        <v/>
      </c>
      <c r="AF37" s="46" t="str">
        <f aca="false">IF($C37="","",IF(AND(ISNUMBER(J37),I37&gt;0),(H37-J37)/(I37*SensCR)-AE37,"n/d"))</f>
        <v/>
      </c>
      <c r="AG37" s="47" t="str">
        <f aca="false">IF($C37="","",IFERROR(I37*SensCR*AE37/H37,0))</f>
        <v/>
      </c>
      <c r="AH37" s="48" t="str">
        <f aca="false">IF($C37="","",IF(INDEX(MecTipo,MATCH(L37,MecList,0))="F",IFERROR(INDEX(SusDF,MATCH(M37,SusList,0)),1),LOOKUP(AG37,ArtLim,ArtDF)))</f>
        <v/>
      </c>
      <c r="AI37" s="48" t="str">
        <f aca="false">IF($C37="","",IF(ISNUMBER(N37),N37,AH37))</f>
        <v/>
      </c>
      <c r="AJ37" s="49" t="str">
        <f aca="false">IF($C37="","",INDEX(GFFval,MATCH(D37,GFFtipo,0)))</f>
        <v/>
      </c>
      <c r="AK37" s="49" t="str">
        <f aca="false">IF($C37="","",AJ37*AI37*FMS)</f>
        <v/>
      </c>
      <c r="AL37" s="50" t="str">
        <f aca="false">IF($C37="","",AK37*O37)</f>
        <v/>
      </c>
      <c r="AM37" s="51" t="str">
        <f aca="false">IF($C37="","",IF(N(T37)=0,"No requerido",IF(AND(U37="Apto",V37="Pasa"),"APTO/PASA",IF(AND(U37="Apto con limitaciones",V37="Pasa"),"APTO CON LIMITACIONES",IF(U37="No apto","NO APTO/REPARAR","REVISAR")))))</f>
        <v/>
      </c>
      <c r="AN37" s="48" t="str">
        <f aca="false">IF($C37="","",IF(AM37="NO APTO/REPARAR",1,MAX(1,AI37*INDEX(EffRet,MATCH(S37,EffList,0))*INDEX(FFSfac,MATCH(AM37,FFSlist,0)))))</f>
        <v/>
      </c>
      <c r="AO37" s="49" t="str">
        <f aca="false">IF($C37="","",AJ37*AN37*FMS)</f>
        <v/>
      </c>
      <c r="AP37" s="50" t="str">
        <f aca="false">IF($C37="","",AO37*O37)</f>
        <v/>
      </c>
      <c r="AQ37" s="50" t="str">
        <f aca="false">IF($C37="","",IFERROR(AJ37*FMS*INDEX(DFrep,AA37)*INDEX(FCrep,MATCH(AB37,CatLet,0)),AL37))</f>
        <v/>
      </c>
      <c r="AR37" s="50" t="str">
        <f aca="false">IF($C37="","",IFERROR(AJ37*FMS*INDEX(DFrep,AC37)*INDEX(FCrep,MATCH(AD37,CatLet,0)),AP37))</f>
        <v/>
      </c>
      <c r="AS37" s="52" t="str">
        <f aca="false">IF($C37="","",(1+SUMPRODUCT(--(AI37&gt;PcutDF)))&amp;CHOOSE(1+SUMPRODUCT(--(O37&gt;CcutFC)),"A","B","C","D","E"))</f>
        <v/>
      </c>
      <c r="AT37" s="52" t="str">
        <f aca="false">IF($C37="","",(1+SUMPRODUCT(--(AN37&gt;PcutDF)))&amp;CHOOSE(1+SUMPRODUCT(--(O37&gt;CcutFC)),"A","B","C","D","E"))</f>
        <v/>
      </c>
      <c r="AU37" s="52" t="str">
        <f aca="false">IF($C37="","",IF(AND(AA37&amp;AB37=AS37,AC37&amp;AD37=AT37),"OK","REVISAR"))</f>
        <v/>
      </c>
      <c r="AV37" s="45" t="str">
        <f aca="false">IF($C37="","",IFERROR(INDEX(RAMlev,AA37,MATCH(AB37,CatLet,0)),""))</f>
        <v/>
      </c>
      <c r="AW37" s="45" t="str">
        <f aca="false">IF($C37="","",IFERROR(INDEX(RAMlev,AC37,MATCH(AD37,CatLet,0)),""))</f>
        <v/>
      </c>
      <c r="AX37" s="52" t="str">
        <f aca="false">IF($C37="","",IF(AW37="","",IF(AW37&lt;=ObjNivel,"Cumple","Excede")))</f>
        <v/>
      </c>
      <c r="AY37" s="50" t="str">
        <f aca="false">IF($C37="","",IF(Base="RAM",AQ37,AL37))</f>
        <v/>
      </c>
      <c r="AZ37" s="50" t="str">
        <f aca="false">IF($C37="","",IF(Base="RAM",AR37,AP37))</f>
        <v/>
      </c>
      <c r="BA37" s="50" t="str">
        <f aca="false">IF($C37="","",AY37-AZ37)</f>
        <v/>
      </c>
      <c r="BB37" s="50" t="str">
        <f aca="false">IF($C37="","",BA37*N(P37))</f>
        <v/>
      </c>
      <c r="BC37" s="50" t="str">
        <f aca="false">IF($C37="","",BA37-BB37)</f>
        <v/>
      </c>
      <c r="BD37" s="50" t="str">
        <f aca="false">IF($C37="","",IFERROR(Q37*(1/X37-1/Y37),0))</f>
        <v/>
      </c>
      <c r="BE37" s="50" t="str">
        <f aca="false">IF($C37="","",IFERROR(Z37*(1/X37-1/Y37),0))</f>
        <v/>
      </c>
      <c r="BF37" s="50" t="str">
        <f aca="false">IF($C37="","",IFERROR((Q37+Z37)/X37,0))</f>
        <v/>
      </c>
      <c r="BG37" s="50" t="str">
        <f aca="false">IF($C37="","",IFERROR((Q37+Z37)/Y37,0))</f>
        <v/>
      </c>
      <c r="BH37" s="50" t="str">
        <f aca="false">IF($C37="","",BA37+BD37+BE37)</f>
        <v/>
      </c>
      <c r="BI37" s="50" t="str">
        <f aca="false">IF($C37="","",Q37+INDEX(FFScost,N(T37)+1)+IF(OR(AM37="NO APTO/REPARAR",AM37="APTO CON LIMITACIONES"),N(W37),0)+RBIimpl)</f>
        <v/>
      </c>
      <c r="BJ37" s="47" t="str">
        <f aca="false">IF($C37="","",IF(R37=0,Horiz,(1-(1+R37)^(-Horiz))/R37))</f>
        <v/>
      </c>
      <c r="BK37" s="50" t="str">
        <f aca="false">IF($C37="","",BH37*BJ37)</f>
        <v/>
      </c>
      <c r="BL37" s="53" t="str">
        <f aca="false">IF($C37="","",IFERROR(BK37/BI37,0))</f>
        <v/>
      </c>
      <c r="BM37" s="54" t="str">
        <f aca="false">IF($C37="","",BK37-BI37)</f>
        <v/>
      </c>
      <c r="BN37" s="55" t="str">
        <f aca="false">IF($C37="","",IFERROR((Horiz*BH37-BI37)/BI37,0))</f>
        <v/>
      </c>
      <c r="BO37" s="46" t="str">
        <f aca="false">IF($C37="","",IF(BH37&gt;0,BI37/BH37,"No recupera"))</f>
        <v/>
      </c>
      <c r="BP37" s="46" t="str">
        <f aca="false">IF($C37="","",IF(BH37&lt;=0,"No recupera",IF(R37=0,BI37/BH37,IFERROR(-LN(1-BI37*R37/BH37)/LN(1+R37),"No recupera"))))</f>
        <v/>
      </c>
      <c r="BQ37" s="54" t="str">
        <f aca="false">IF($C37="","",BH37-BI37/BJ37)</f>
        <v/>
      </c>
      <c r="BR37" s="51" t="str">
        <f aca="false">IF($C37="","",IF(BL37&gt;1,"ACEPTABLE","NO ACEPTABLE"))</f>
        <v/>
      </c>
      <c r="BS37" s="56" t="str">
        <f aca="false">IF($C37="","",IF(ISNUMBER(AF37),IF(AF37&lt;0,IF(LEFT(AM37,4)="APTO","RUL&lt;0 con FFS apto: verificar","RUL&lt;0"),""),""))</f>
        <v/>
      </c>
      <c r="BT37" s="54" t="str">
        <f aca="false">IF($C37="","",-$BI37+IF($R37=0,$BH37*MIN(BT$15,Horiz),$BH37*(1-(1+$R37)^(-MIN(BT$15,Horiz)))/$R37))</f>
        <v/>
      </c>
      <c r="BU37" s="54" t="str">
        <f aca="false">IF($C37="","",-$BI37+IF($R37=0,$BH37*MIN(BU$15,Horiz),$BH37*(1-(1+$R37)^(-MIN(BU$15,Horiz)))/$R37))</f>
        <v/>
      </c>
      <c r="BV37" s="54" t="str">
        <f aca="false">IF($C37="","",-$BI37+IF($R37=0,$BH37*MIN(BV$15,Horiz),$BH37*(1-(1+$R37)^(-MIN(BV$15,Horiz)))/$R37))</f>
        <v/>
      </c>
      <c r="BW37" s="54" t="str">
        <f aca="false">IF($C37="","",-$BI37+IF($R37=0,$BH37*MIN(BW$15,Horiz),$BH37*(1-(1+$R37)^(-MIN(BW$15,Horiz)))/$R37))</f>
        <v/>
      </c>
      <c r="BX37" s="54" t="str">
        <f aca="false">IF($C37="","",-$BI37+IF($R37=0,$BH37*MIN(BX$15,Horiz),$BH37*(1-(1+$R37)^(-MIN(BX$15,Horiz)))/$R37))</f>
        <v/>
      </c>
      <c r="BY37" s="54" t="str">
        <f aca="false">IF($C37="","",-$BI37+IF($R37=0,$BH37*MIN(BY$15,Horiz),$BH37*(1-(1+$R37)^(-MIN(BY$15,Horiz)))/$R37))</f>
        <v/>
      </c>
      <c r="BZ37" s="54" t="str">
        <f aca="false">IF($C37="","",-$BI37+IF($R37=0,$BH37*MIN(BZ$15,Horiz),$BH37*(1-(1+$R37)^(-MIN(BZ$15,Horiz)))/$R37))</f>
        <v/>
      </c>
      <c r="CA37" s="54" t="str">
        <f aca="false">IF($C37="","",-$BI37+IF($R37=0,$BH37*MIN(CA$15,Horiz),$BH37*(1-(1+$R37)^(-MIN(CA$15,Horiz)))/$R37))</f>
        <v/>
      </c>
      <c r="CB37" s="54" t="str">
        <f aca="false">IF($C37="","",-$BI37+IF($R37=0,$BH37*MIN(CB$15,Horiz),$BH37*(1-(1+$R37)^(-MIN(CB$15,Horiz)))/$R37))</f>
        <v/>
      </c>
      <c r="CC37" s="54" t="str">
        <f aca="false">IF($C37="","",-$BI37+IF($R37=0,$BH37*MIN(CC$15,Horiz),$BH37*(1-(1+$R37)^(-MIN(CC$15,Horiz)))/$R37))</f>
        <v/>
      </c>
      <c r="CD37" s="54" t="str">
        <f aca="false">IF($C37="","",-$BI37+IF($R37=0,$BH37*MIN(CD$15,Horiz),$BH37*(1-(1+$R37)^(-MIN(CD$15,Horiz)))/$R37))</f>
        <v/>
      </c>
      <c r="CE37" s="54" t="str">
        <f aca="false">IF($C37="","",-$BI37+IF($R37=0,$BH37*MIN(CE$15,Horiz),$BH37*(1-(1+$R37)^(-MIN(CE$15,Horiz)))/$R37))</f>
        <v/>
      </c>
      <c r="CF37" s="54" t="str">
        <f aca="false">IF($C37="","",-$BI37+IF($R37=0,$BH37*MIN(CF$15,Horiz),$BH37*(1-(1+$R37)^(-MIN(CF$15,Horiz)))/$R37))</f>
        <v/>
      </c>
      <c r="CG37" s="54" t="str">
        <f aca="false">IF($C37="","",-$BI37+IF($R37=0,$BH37*MIN(CG$15,Horiz),$BH37*(1-(1+$R37)^(-MIN(CG$15,Horiz)))/$R37))</f>
        <v/>
      </c>
      <c r="CH37" s="54" t="str">
        <f aca="false">IF($C37="","",-$BI37+IF($R37=0,$BH37*MIN(CH$15,Horiz),$BH37*(1-(1+$R37)^(-MIN(CH$15,Horiz)))/$R37))</f>
        <v/>
      </c>
      <c r="CI37" s="54" t="str">
        <f aca="false">IF($C37="","",-$BI37+IF($R37=0,$BH37*MIN(CI$15,Horiz),$BH37*(1-(1+$R37)^(-MIN(CI$15,Horiz)))/$R37))</f>
        <v/>
      </c>
    </row>
    <row r="38" customFormat="false" ht="15" hidden="false" customHeight="false" outlineLevel="0" collapsed="false">
      <c r="A38" s="34" t="n">
        <v>23</v>
      </c>
      <c r="B38" s="35"/>
      <c r="C38" s="36"/>
      <c r="D38" s="35"/>
      <c r="E38" s="35"/>
      <c r="F38" s="37"/>
      <c r="G38" s="37"/>
      <c r="H38" s="38"/>
      <c r="I38" s="39"/>
      <c r="J38" s="40"/>
      <c r="K38" s="37"/>
      <c r="L38" s="35"/>
      <c r="M38" s="36"/>
      <c r="N38" s="41"/>
      <c r="O38" s="42"/>
      <c r="P38" s="43"/>
      <c r="Q38" s="42"/>
      <c r="R38" s="44"/>
      <c r="S38" s="36"/>
      <c r="T38" s="37"/>
      <c r="U38" s="36"/>
      <c r="V38" s="36"/>
      <c r="W38" s="42"/>
      <c r="X38" s="37"/>
      <c r="Y38" s="37"/>
      <c r="Z38" s="42"/>
      <c r="AA38" s="37"/>
      <c r="AB38" s="36"/>
      <c r="AC38" s="37"/>
      <c r="AD38" s="36"/>
      <c r="AE38" s="45" t="str">
        <f aca="false">IF($C38="","",AnioEval-K38)</f>
        <v/>
      </c>
      <c r="AF38" s="46" t="str">
        <f aca="false">IF($C38="","",IF(AND(ISNUMBER(J38),I38&gt;0),(H38-J38)/(I38*SensCR)-AE38,"n/d"))</f>
        <v/>
      </c>
      <c r="AG38" s="47" t="str">
        <f aca="false">IF($C38="","",IFERROR(I38*SensCR*AE38/H38,0))</f>
        <v/>
      </c>
      <c r="AH38" s="48" t="str">
        <f aca="false">IF($C38="","",IF(INDEX(MecTipo,MATCH(L38,MecList,0))="F",IFERROR(INDEX(SusDF,MATCH(M38,SusList,0)),1),LOOKUP(AG38,ArtLim,ArtDF)))</f>
        <v/>
      </c>
      <c r="AI38" s="48" t="str">
        <f aca="false">IF($C38="","",IF(ISNUMBER(N38),N38,AH38))</f>
        <v/>
      </c>
      <c r="AJ38" s="49" t="str">
        <f aca="false">IF($C38="","",INDEX(GFFval,MATCH(D38,GFFtipo,0)))</f>
        <v/>
      </c>
      <c r="AK38" s="49" t="str">
        <f aca="false">IF($C38="","",AJ38*AI38*FMS)</f>
        <v/>
      </c>
      <c r="AL38" s="50" t="str">
        <f aca="false">IF($C38="","",AK38*O38)</f>
        <v/>
      </c>
      <c r="AM38" s="51" t="str">
        <f aca="false">IF($C38="","",IF(N(T38)=0,"No requerido",IF(AND(U38="Apto",V38="Pasa"),"APTO/PASA",IF(AND(U38="Apto con limitaciones",V38="Pasa"),"APTO CON LIMITACIONES",IF(U38="No apto","NO APTO/REPARAR","REVISAR")))))</f>
        <v/>
      </c>
      <c r="AN38" s="48" t="str">
        <f aca="false">IF($C38="","",IF(AM38="NO APTO/REPARAR",1,MAX(1,AI38*INDEX(EffRet,MATCH(S38,EffList,0))*INDEX(FFSfac,MATCH(AM38,FFSlist,0)))))</f>
        <v/>
      </c>
      <c r="AO38" s="49" t="str">
        <f aca="false">IF($C38="","",AJ38*AN38*FMS)</f>
        <v/>
      </c>
      <c r="AP38" s="50" t="str">
        <f aca="false">IF($C38="","",AO38*O38)</f>
        <v/>
      </c>
      <c r="AQ38" s="50" t="str">
        <f aca="false">IF($C38="","",IFERROR(AJ38*FMS*INDEX(DFrep,AA38)*INDEX(FCrep,MATCH(AB38,CatLet,0)),AL38))</f>
        <v/>
      </c>
      <c r="AR38" s="50" t="str">
        <f aca="false">IF($C38="","",IFERROR(AJ38*FMS*INDEX(DFrep,AC38)*INDEX(FCrep,MATCH(AD38,CatLet,0)),AP38))</f>
        <v/>
      </c>
      <c r="AS38" s="52" t="str">
        <f aca="false">IF($C38="","",(1+SUMPRODUCT(--(AI38&gt;PcutDF)))&amp;CHOOSE(1+SUMPRODUCT(--(O38&gt;CcutFC)),"A","B","C","D","E"))</f>
        <v/>
      </c>
      <c r="AT38" s="52" t="str">
        <f aca="false">IF($C38="","",(1+SUMPRODUCT(--(AN38&gt;PcutDF)))&amp;CHOOSE(1+SUMPRODUCT(--(O38&gt;CcutFC)),"A","B","C","D","E"))</f>
        <v/>
      </c>
      <c r="AU38" s="52" t="str">
        <f aca="false">IF($C38="","",IF(AND(AA38&amp;AB38=AS38,AC38&amp;AD38=AT38),"OK","REVISAR"))</f>
        <v/>
      </c>
      <c r="AV38" s="45" t="str">
        <f aca="false">IF($C38="","",IFERROR(INDEX(RAMlev,AA38,MATCH(AB38,CatLet,0)),""))</f>
        <v/>
      </c>
      <c r="AW38" s="45" t="str">
        <f aca="false">IF($C38="","",IFERROR(INDEX(RAMlev,AC38,MATCH(AD38,CatLet,0)),""))</f>
        <v/>
      </c>
      <c r="AX38" s="52" t="str">
        <f aca="false">IF($C38="","",IF(AW38="","",IF(AW38&lt;=ObjNivel,"Cumple","Excede")))</f>
        <v/>
      </c>
      <c r="AY38" s="50" t="str">
        <f aca="false">IF($C38="","",IF(Base="RAM",AQ38,AL38))</f>
        <v/>
      </c>
      <c r="AZ38" s="50" t="str">
        <f aca="false">IF($C38="","",IF(Base="RAM",AR38,AP38))</f>
        <v/>
      </c>
      <c r="BA38" s="50" t="str">
        <f aca="false">IF($C38="","",AY38-AZ38)</f>
        <v/>
      </c>
      <c r="BB38" s="50" t="str">
        <f aca="false">IF($C38="","",BA38*N(P38))</f>
        <v/>
      </c>
      <c r="BC38" s="50" t="str">
        <f aca="false">IF($C38="","",BA38-BB38)</f>
        <v/>
      </c>
      <c r="BD38" s="50" t="str">
        <f aca="false">IF($C38="","",IFERROR(Q38*(1/X38-1/Y38),0))</f>
        <v/>
      </c>
      <c r="BE38" s="50" t="str">
        <f aca="false">IF($C38="","",IFERROR(Z38*(1/X38-1/Y38),0))</f>
        <v/>
      </c>
      <c r="BF38" s="50" t="str">
        <f aca="false">IF($C38="","",IFERROR((Q38+Z38)/X38,0))</f>
        <v/>
      </c>
      <c r="BG38" s="50" t="str">
        <f aca="false">IF($C38="","",IFERROR((Q38+Z38)/Y38,0))</f>
        <v/>
      </c>
      <c r="BH38" s="50" t="str">
        <f aca="false">IF($C38="","",BA38+BD38+BE38)</f>
        <v/>
      </c>
      <c r="BI38" s="50" t="str">
        <f aca="false">IF($C38="","",Q38+INDEX(FFScost,N(T38)+1)+IF(OR(AM38="NO APTO/REPARAR",AM38="APTO CON LIMITACIONES"),N(W38),0)+RBIimpl)</f>
        <v/>
      </c>
      <c r="BJ38" s="47" t="str">
        <f aca="false">IF($C38="","",IF(R38=0,Horiz,(1-(1+R38)^(-Horiz))/R38))</f>
        <v/>
      </c>
      <c r="BK38" s="50" t="str">
        <f aca="false">IF($C38="","",BH38*BJ38)</f>
        <v/>
      </c>
      <c r="BL38" s="53" t="str">
        <f aca="false">IF($C38="","",IFERROR(BK38/BI38,0))</f>
        <v/>
      </c>
      <c r="BM38" s="54" t="str">
        <f aca="false">IF($C38="","",BK38-BI38)</f>
        <v/>
      </c>
      <c r="BN38" s="55" t="str">
        <f aca="false">IF($C38="","",IFERROR((Horiz*BH38-BI38)/BI38,0))</f>
        <v/>
      </c>
      <c r="BO38" s="46" t="str">
        <f aca="false">IF($C38="","",IF(BH38&gt;0,BI38/BH38,"No recupera"))</f>
        <v/>
      </c>
      <c r="BP38" s="46" t="str">
        <f aca="false">IF($C38="","",IF(BH38&lt;=0,"No recupera",IF(R38=0,BI38/BH38,IFERROR(-LN(1-BI38*R38/BH38)/LN(1+R38),"No recupera"))))</f>
        <v/>
      </c>
      <c r="BQ38" s="54" t="str">
        <f aca="false">IF($C38="","",BH38-BI38/BJ38)</f>
        <v/>
      </c>
      <c r="BR38" s="51" t="str">
        <f aca="false">IF($C38="","",IF(BL38&gt;1,"ACEPTABLE","NO ACEPTABLE"))</f>
        <v/>
      </c>
      <c r="BS38" s="56" t="str">
        <f aca="false">IF($C38="","",IF(ISNUMBER(AF38),IF(AF38&lt;0,IF(LEFT(AM38,4)="APTO","RUL&lt;0 con FFS apto: verificar","RUL&lt;0"),""),""))</f>
        <v/>
      </c>
      <c r="BT38" s="54" t="str">
        <f aca="false">IF($C38="","",-$BI38+IF($R38=0,$BH38*MIN(BT$15,Horiz),$BH38*(1-(1+$R38)^(-MIN(BT$15,Horiz)))/$R38))</f>
        <v/>
      </c>
      <c r="BU38" s="54" t="str">
        <f aca="false">IF($C38="","",-$BI38+IF($R38=0,$BH38*MIN(BU$15,Horiz),$BH38*(1-(1+$R38)^(-MIN(BU$15,Horiz)))/$R38))</f>
        <v/>
      </c>
      <c r="BV38" s="54" t="str">
        <f aca="false">IF($C38="","",-$BI38+IF($R38=0,$BH38*MIN(BV$15,Horiz),$BH38*(1-(1+$R38)^(-MIN(BV$15,Horiz)))/$R38))</f>
        <v/>
      </c>
      <c r="BW38" s="54" t="str">
        <f aca="false">IF($C38="","",-$BI38+IF($R38=0,$BH38*MIN(BW$15,Horiz),$BH38*(1-(1+$R38)^(-MIN(BW$15,Horiz)))/$R38))</f>
        <v/>
      </c>
      <c r="BX38" s="54" t="str">
        <f aca="false">IF($C38="","",-$BI38+IF($R38=0,$BH38*MIN(BX$15,Horiz),$BH38*(1-(1+$R38)^(-MIN(BX$15,Horiz)))/$R38))</f>
        <v/>
      </c>
      <c r="BY38" s="54" t="str">
        <f aca="false">IF($C38="","",-$BI38+IF($R38=0,$BH38*MIN(BY$15,Horiz),$BH38*(1-(1+$R38)^(-MIN(BY$15,Horiz)))/$R38))</f>
        <v/>
      </c>
      <c r="BZ38" s="54" t="str">
        <f aca="false">IF($C38="","",-$BI38+IF($R38=0,$BH38*MIN(BZ$15,Horiz),$BH38*(1-(1+$R38)^(-MIN(BZ$15,Horiz)))/$R38))</f>
        <v/>
      </c>
      <c r="CA38" s="54" t="str">
        <f aca="false">IF($C38="","",-$BI38+IF($R38=0,$BH38*MIN(CA$15,Horiz),$BH38*(1-(1+$R38)^(-MIN(CA$15,Horiz)))/$R38))</f>
        <v/>
      </c>
      <c r="CB38" s="54" t="str">
        <f aca="false">IF($C38="","",-$BI38+IF($R38=0,$BH38*MIN(CB$15,Horiz),$BH38*(1-(1+$R38)^(-MIN(CB$15,Horiz)))/$R38))</f>
        <v/>
      </c>
      <c r="CC38" s="54" t="str">
        <f aca="false">IF($C38="","",-$BI38+IF($R38=0,$BH38*MIN(CC$15,Horiz),$BH38*(1-(1+$R38)^(-MIN(CC$15,Horiz)))/$R38))</f>
        <v/>
      </c>
      <c r="CD38" s="54" t="str">
        <f aca="false">IF($C38="","",-$BI38+IF($R38=0,$BH38*MIN(CD$15,Horiz),$BH38*(1-(1+$R38)^(-MIN(CD$15,Horiz)))/$R38))</f>
        <v/>
      </c>
      <c r="CE38" s="54" t="str">
        <f aca="false">IF($C38="","",-$BI38+IF($R38=0,$BH38*MIN(CE$15,Horiz),$BH38*(1-(1+$R38)^(-MIN(CE$15,Horiz)))/$R38))</f>
        <v/>
      </c>
      <c r="CF38" s="54" t="str">
        <f aca="false">IF($C38="","",-$BI38+IF($R38=0,$BH38*MIN(CF$15,Horiz),$BH38*(1-(1+$R38)^(-MIN(CF$15,Horiz)))/$R38))</f>
        <v/>
      </c>
      <c r="CG38" s="54" t="str">
        <f aca="false">IF($C38="","",-$BI38+IF($R38=0,$BH38*MIN(CG$15,Horiz),$BH38*(1-(1+$R38)^(-MIN(CG$15,Horiz)))/$R38))</f>
        <v/>
      </c>
      <c r="CH38" s="54" t="str">
        <f aca="false">IF($C38="","",-$BI38+IF($R38=0,$BH38*MIN(CH$15,Horiz),$BH38*(1-(1+$R38)^(-MIN(CH$15,Horiz)))/$R38))</f>
        <v/>
      </c>
      <c r="CI38" s="54" t="str">
        <f aca="false">IF($C38="","",-$BI38+IF($R38=0,$BH38*MIN(CI$15,Horiz),$BH38*(1-(1+$R38)^(-MIN(CI$15,Horiz)))/$R38))</f>
        <v/>
      </c>
    </row>
    <row r="39" customFormat="false" ht="15" hidden="false" customHeight="false" outlineLevel="0" collapsed="false">
      <c r="A39" s="34" t="n">
        <v>24</v>
      </c>
      <c r="B39" s="35"/>
      <c r="C39" s="36"/>
      <c r="D39" s="35"/>
      <c r="E39" s="35"/>
      <c r="F39" s="37"/>
      <c r="G39" s="37"/>
      <c r="H39" s="38"/>
      <c r="I39" s="39"/>
      <c r="J39" s="40"/>
      <c r="K39" s="37"/>
      <c r="L39" s="35"/>
      <c r="M39" s="36"/>
      <c r="N39" s="41"/>
      <c r="O39" s="42"/>
      <c r="P39" s="43"/>
      <c r="Q39" s="42"/>
      <c r="R39" s="44"/>
      <c r="S39" s="36"/>
      <c r="T39" s="37"/>
      <c r="U39" s="36"/>
      <c r="V39" s="36"/>
      <c r="W39" s="42"/>
      <c r="X39" s="37"/>
      <c r="Y39" s="37"/>
      <c r="Z39" s="42"/>
      <c r="AA39" s="37"/>
      <c r="AB39" s="36"/>
      <c r="AC39" s="37"/>
      <c r="AD39" s="36"/>
      <c r="AE39" s="45" t="str">
        <f aca="false">IF($C39="","",AnioEval-K39)</f>
        <v/>
      </c>
      <c r="AF39" s="46" t="str">
        <f aca="false">IF($C39="","",IF(AND(ISNUMBER(J39),I39&gt;0),(H39-J39)/(I39*SensCR)-AE39,"n/d"))</f>
        <v/>
      </c>
      <c r="AG39" s="47" t="str">
        <f aca="false">IF($C39="","",IFERROR(I39*SensCR*AE39/H39,0))</f>
        <v/>
      </c>
      <c r="AH39" s="48" t="str">
        <f aca="false">IF($C39="","",IF(INDEX(MecTipo,MATCH(L39,MecList,0))="F",IFERROR(INDEX(SusDF,MATCH(M39,SusList,0)),1),LOOKUP(AG39,ArtLim,ArtDF)))</f>
        <v/>
      </c>
      <c r="AI39" s="48" t="str">
        <f aca="false">IF($C39="","",IF(ISNUMBER(N39),N39,AH39))</f>
        <v/>
      </c>
      <c r="AJ39" s="49" t="str">
        <f aca="false">IF($C39="","",INDEX(GFFval,MATCH(D39,GFFtipo,0)))</f>
        <v/>
      </c>
      <c r="AK39" s="49" t="str">
        <f aca="false">IF($C39="","",AJ39*AI39*FMS)</f>
        <v/>
      </c>
      <c r="AL39" s="50" t="str">
        <f aca="false">IF($C39="","",AK39*O39)</f>
        <v/>
      </c>
      <c r="AM39" s="51" t="str">
        <f aca="false">IF($C39="","",IF(N(T39)=0,"No requerido",IF(AND(U39="Apto",V39="Pasa"),"APTO/PASA",IF(AND(U39="Apto con limitaciones",V39="Pasa"),"APTO CON LIMITACIONES",IF(U39="No apto","NO APTO/REPARAR","REVISAR")))))</f>
        <v/>
      </c>
      <c r="AN39" s="48" t="str">
        <f aca="false">IF($C39="","",IF(AM39="NO APTO/REPARAR",1,MAX(1,AI39*INDEX(EffRet,MATCH(S39,EffList,0))*INDEX(FFSfac,MATCH(AM39,FFSlist,0)))))</f>
        <v/>
      </c>
      <c r="AO39" s="49" t="str">
        <f aca="false">IF($C39="","",AJ39*AN39*FMS)</f>
        <v/>
      </c>
      <c r="AP39" s="50" t="str">
        <f aca="false">IF($C39="","",AO39*O39)</f>
        <v/>
      </c>
      <c r="AQ39" s="50" t="str">
        <f aca="false">IF($C39="","",IFERROR(AJ39*FMS*INDEX(DFrep,AA39)*INDEX(FCrep,MATCH(AB39,CatLet,0)),AL39))</f>
        <v/>
      </c>
      <c r="AR39" s="50" t="str">
        <f aca="false">IF($C39="","",IFERROR(AJ39*FMS*INDEX(DFrep,AC39)*INDEX(FCrep,MATCH(AD39,CatLet,0)),AP39))</f>
        <v/>
      </c>
      <c r="AS39" s="52" t="str">
        <f aca="false">IF($C39="","",(1+SUMPRODUCT(--(AI39&gt;PcutDF)))&amp;CHOOSE(1+SUMPRODUCT(--(O39&gt;CcutFC)),"A","B","C","D","E"))</f>
        <v/>
      </c>
      <c r="AT39" s="52" t="str">
        <f aca="false">IF($C39="","",(1+SUMPRODUCT(--(AN39&gt;PcutDF)))&amp;CHOOSE(1+SUMPRODUCT(--(O39&gt;CcutFC)),"A","B","C","D","E"))</f>
        <v/>
      </c>
      <c r="AU39" s="52" t="str">
        <f aca="false">IF($C39="","",IF(AND(AA39&amp;AB39=AS39,AC39&amp;AD39=AT39),"OK","REVISAR"))</f>
        <v/>
      </c>
      <c r="AV39" s="45" t="str">
        <f aca="false">IF($C39="","",IFERROR(INDEX(RAMlev,AA39,MATCH(AB39,CatLet,0)),""))</f>
        <v/>
      </c>
      <c r="AW39" s="45" t="str">
        <f aca="false">IF($C39="","",IFERROR(INDEX(RAMlev,AC39,MATCH(AD39,CatLet,0)),""))</f>
        <v/>
      </c>
      <c r="AX39" s="52" t="str">
        <f aca="false">IF($C39="","",IF(AW39="","",IF(AW39&lt;=ObjNivel,"Cumple","Excede")))</f>
        <v/>
      </c>
      <c r="AY39" s="50" t="str">
        <f aca="false">IF($C39="","",IF(Base="RAM",AQ39,AL39))</f>
        <v/>
      </c>
      <c r="AZ39" s="50" t="str">
        <f aca="false">IF($C39="","",IF(Base="RAM",AR39,AP39))</f>
        <v/>
      </c>
      <c r="BA39" s="50" t="str">
        <f aca="false">IF($C39="","",AY39-AZ39)</f>
        <v/>
      </c>
      <c r="BB39" s="50" t="str">
        <f aca="false">IF($C39="","",BA39*N(P39))</f>
        <v/>
      </c>
      <c r="BC39" s="50" t="str">
        <f aca="false">IF($C39="","",BA39-BB39)</f>
        <v/>
      </c>
      <c r="BD39" s="50" t="str">
        <f aca="false">IF($C39="","",IFERROR(Q39*(1/X39-1/Y39),0))</f>
        <v/>
      </c>
      <c r="BE39" s="50" t="str">
        <f aca="false">IF($C39="","",IFERROR(Z39*(1/X39-1/Y39),0))</f>
        <v/>
      </c>
      <c r="BF39" s="50" t="str">
        <f aca="false">IF($C39="","",IFERROR((Q39+Z39)/X39,0))</f>
        <v/>
      </c>
      <c r="BG39" s="50" t="str">
        <f aca="false">IF($C39="","",IFERROR((Q39+Z39)/Y39,0))</f>
        <v/>
      </c>
      <c r="BH39" s="50" t="str">
        <f aca="false">IF($C39="","",BA39+BD39+BE39)</f>
        <v/>
      </c>
      <c r="BI39" s="50" t="str">
        <f aca="false">IF($C39="","",Q39+INDEX(FFScost,N(T39)+1)+IF(OR(AM39="NO APTO/REPARAR",AM39="APTO CON LIMITACIONES"),N(W39),0)+RBIimpl)</f>
        <v/>
      </c>
      <c r="BJ39" s="47" t="str">
        <f aca="false">IF($C39="","",IF(R39=0,Horiz,(1-(1+R39)^(-Horiz))/R39))</f>
        <v/>
      </c>
      <c r="BK39" s="50" t="str">
        <f aca="false">IF($C39="","",BH39*BJ39)</f>
        <v/>
      </c>
      <c r="BL39" s="53" t="str">
        <f aca="false">IF($C39="","",IFERROR(BK39/BI39,0))</f>
        <v/>
      </c>
      <c r="BM39" s="54" t="str">
        <f aca="false">IF($C39="","",BK39-BI39)</f>
        <v/>
      </c>
      <c r="BN39" s="55" t="str">
        <f aca="false">IF($C39="","",IFERROR((Horiz*BH39-BI39)/BI39,0))</f>
        <v/>
      </c>
      <c r="BO39" s="46" t="str">
        <f aca="false">IF($C39="","",IF(BH39&gt;0,BI39/BH39,"No recupera"))</f>
        <v/>
      </c>
      <c r="BP39" s="46" t="str">
        <f aca="false">IF($C39="","",IF(BH39&lt;=0,"No recupera",IF(R39=0,BI39/BH39,IFERROR(-LN(1-BI39*R39/BH39)/LN(1+R39),"No recupera"))))</f>
        <v/>
      </c>
      <c r="BQ39" s="54" t="str">
        <f aca="false">IF($C39="","",BH39-BI39/BJ39)</f>
        <v/>
      </c>
      <c r="BR39" s="51" t="str">
        <f aca="false">IF($C39="","",IF(BL39&gt;1,"ACEPTABLE","NO ACEPTABLE"))</f>
        <v/>
      </c>
      <c r="BS39" s="56" t="str">
        <f aca="false">IF($C39="","",IF(ISNUMBER(AF39),IF(AF39&lt;0,IF(LEFT(AM39,4)="APTO","RUL&lt;0 con FFS apto: verificar","RUL&lt;0"),""),""))</f>
        <v/>
      </c>
      <c r="BT39" s="54" t="str">
        <f aca="false">IF($C39="","",-$BI39+IF($R39=0,$BH39*MIN(BT$15,Horiz),$BH39*(1-(1+$R39)^(-MIN(BT$15,Horiz)))/$R39))</f>
        <v/>
      </c>
      <c r="BU39" s="54" t="str">
        <f aca="false">IF($C39="","",-$BI39+IF($R39=0,$BH39*MIN(BU$15,Horiz),$BH39*(1-(1+$R39)^(-MIN(BU$15,Horiz)))/$R39))</f>
        <v/>
      </c>
      <c r="BV39" s="54" t="str">
        <f aca="false">IF($C39="","",-$BI39+IF($R39=0,$BH39*MIN(BV$15,Horiz),$BH39*(1-(1+$R39)^(-MIN(BV$15,Horiz)))/$R39))</f>
        <v/>
      </c>
      <c r="BW39" s="54" t="str">
        <f aca="false">IF($C39="","",-$BI39+IF($R39=0,$BH39*MIN(BW$15,Horiz),$BH39*(1-(1+$R39)^(-MIN(BW$15,Horiz)))/$R39))</f>
        <v/>
      </c>
      <c r="BX39" s="54" t="str">
        <f aca="false">IF($C39="","",-$BI39+IF($R39=0,$BH39*MIN(BX$15,Horiz),$BH39*(1-(1+$R39)^(-MIN(BX$15,Horiz)))/$R39))</f>
        <v/>
      </c>
      <c r="BY39" s="54" t="str">
        <f aca="false">IF($C39="","",-$BI39+IF($R39=0,$BH39*MIN(BY$15,Horiz),$BH39*(1-(1+$R39)^(-MIN(BY$15,Horiz)))/$R39))</f>
        <v/>
      </c>
      <c r="BZ39" s="54" t="str">
        <f aca="false">IF($C39="","",-$BI39+IF($R39=0,$BH39*MIN(BZ$15,Horiz),$BH39*(1-(1+$R39)^(-MIN(BZ$15,Horiz)))/$R39))</f>
        <v/>
      </c>
      <c r="CA39" s="54" t="str">
        <f aca="false">IF($C39="","",-$BI39+IF($R39=0,$BH39*MIN(CA$15,Horiz),$BH39*(1-(1+$R39)^(-MIN(CA$15,Horiz)))/$R39))</f>
        <v/>
      </c>
      <c r="CB39" s="54" t="str">
        <f aca="false">IF($C39="","",-$BI39+IF($R39=0,$BH39*MIN(CB$15,Horiz),$BH39*(1-(1+$R39)^(-MIN(CB$15,Horiz)))/$R39))</f>
        <v/>
      </c>
      <c r="CC39" s="54" t="str">
        <f aca="false">IF($C39="","",-$BI39+IF($R39=0,$BH39*MIN(CC$15,Horiz),$BH39*(1-(1+$R39)^(-MIN(CC$15,Horiz)))/$R39))</f>
        <v/>
      </c>
      <c r="CD39" s="54" t="str">
        <f aca="false">IF($C39="","",-$BI39+IF($R39=0,$BH39*MIN(CD$15,Horiz),$BH39*(1-(1+$R39)^(-MIN(CD$15,Horiz)))/$R39))</f>
        <v/>
      </c>
      <c r="CE39" s="54" t="str">
        <f aca="false">IF($C39="","",-$BI39+IF($R39=0,$BH39*MIN(CE$15,Horiz),$BH39*(1-(1+$R39)^(-MIN(CE$15,Horiz)))/$R39))</f>
        <v/>
      </c>
      <c r="CF39" s="54" t="str">
        <f aca="false">IF($C39="","",-$BI39+IF($R39=0,$BH39*MIN(CF$15,Horiz),$BH39*(1-(1+$R39)^(-MIN(CF$15,Horiz)))/$R39))</f>
        <v/>
      </c>
      <c r="CG39" s="54" t="str">
        <f aca="false">IF($C39="","",-$BI39+IF($R39=0,$BH39*MIN(CG$15,Horiz),$BH39*(1-(1+$R39)^(-MIN(CG$15,Horiz)))/$R39))</f>
        <v/>
      </c>
      <c r="CH39" s="54" t="str">
        <f aca="false">IF($C39="","",-$BI39+IF($R39=0,$BH39*MIN(CH$15,Horiz),$BH39*(1-(1+$R39)^(-MIN(CH$15,Horiz)))/$R39))</f>
        <v/>
      </c>
      <c r="CI39" s="54" t="str">
        <f aca="false">IF($C39="","",-$BI39+IF($R39=0,$BH39*MIN(CI$15,Horiz),$BH39*(1-(1+$R39)^(-MIN(CI$15,Horiz)))/$R39))</f>
        <v/>
      </c>
    </row>
    <row r="40" customFormat="false" ht="15" hidden="false" customHeight="false" outlineLevel="0" collapsed="false">
      <c r="A40" s="34" t="n">
        <v>25</v>
      </c>
      <c r="B40" s="35"/>
      <c r="C40" s="36"/>
      <c r="D40" s="35"/>
      <c r="E40" s="35"/>
      <c r="F40" s="37"/>
      <c r="G40" s="37"/>
      <c r="H40" s="38"/>
      <c r="I40" s="39"/>
      <c r="J40" s="40"/>
      <c r="K40" s="37"/>
      <c r="L40" s="35"/>
      <c r="M40" s="36"/>
      <c r="N40" s="41"/>
      <c r="O40" s="42"/>
      <c r="P40" s="43"/>
      <c r="Q40" s="42"/>
      <c r="R40" s="44"/>
      <c r="S40" s="36"/>
      <c r="T40" s="37"/>
      <c r="U40" s="36"/>
      <c r="V40" s="36"/>
      <c r="W40" s="42"/>
      <c r="X40" s="37"/>
      <c r="Y40" s="37"/>
      <c r="Z40" s="42"/>
      <c r="AA40" s="37"/>
      <c r="AB40" s="36"/>
      <c r="AC40" s="37"/>
      <c r="AD40" s="36"/>
      <c r="AE40" s="45" t="str">
        <f aca="false">IF($C40="","",AnioEval-K40)</f>
        <v/>
      </c>
      <c r="AF40" s="46" t="str">
        <f aca="false">IF($C40="","",IF(AND(ISNUMBER(J40),I40&gt;0),(H40-J40)/(I40*SensCR)-AE40,"n/d"))</f>
        <v/>
      </c>
      <c r="AG40" s="47" t="str">
        <f aca="false">IF($C40="","",IFERROR(I40*SensCR*AE40/H40,0))</f>
        <v/>
      </c>
      <c r="AH40" s="48" t="str">
        <f aca="false">IF($C40="","",IF(INDEX(MecTipo,MATCH(L40,MecList,0))="F",IFERROR(INDEX(SusDF,MATCH(M40,SusList,0)),1),LOOKUP(AG40,ArtLim,ArtDF)))</f>
        <v/>
      </c>
      <c r="AI40" s="48" t="str">
        <f aca="false">IF($C40="","",IF(ISNUMBER(N40),N40,AH40))</f>
        <v/>
      </c>
      <c r="AJ40" s="49" t="str">
        <f aca="false">IF($C40="","",INDEX(GFFval,MATCH(D40,GFFtipo,0)))</f>
        <v/>
      </c>
      <c r="AK40" s="49" t="str">
        <f aca="false">IF($C40="","",AJ40*AI40*FMS)</f>
        <v/>
      </c>
      <c r="AL40" s="50" t="str">
        <f aca="false">IF($C40="","",AK40*O40)</f>
        <v/>
      </c>
      <c r="AM40" s="51" t="str">
        <f aca="false">IF($C40="","",IF(N(T40)=0,"No requerido",IF(AND(U40="Apto",V40="Pasa"),"APTO/PASA",IF(AND(U40="Apto con limitaciones",V40="Pasa"),"APTO CON LIMITACIONES",IF(U40="No apto","NO APTO/REPARAR","REVISAR")))))</f>
        <v/>
      </c>
      <c r="AN40" s="48" t="str">
        <f aca="false">IF($C40="","",IF(AM40="NO APTO/REPARAR",1,MAX(1,AI40*INDEX(EffRet,MATCH(S40,EffList,0))*INDEX(FFSfac,MATCH(AM40,FFSlist,0)))))</f>
        <v/>
      </c>
      <c r="AO40" s="49" t="str">
        <f aca="false">IF($C40="","",AJ40*AN40*FMS)</f>
        <v/>
      </c>
      <c r="AP40" s="50" t="str">
        <f aca="false">IF($C40="","",AO40*O40)</f>
        <v/>
      </c>
      <c r="AQ40" s="50" t="str">
        <f aca="false">IF($C40="","",IFERROR(AJ40*FMS*INDEX(DFrep,AA40)*INDEX(FCrep,MATCH(AB40,CatLet,0)),AL40))</f>
        <v/>
      </c>
      <c r="AR40" s="50" t="str">
        <f aca="false">IF($C40="","",IFERROR(AJ40*FMS*INDEX(DFrep,AC40)*INDEX(FCrep,MATCH(AD40,CatLet,0)),AP40))</f>
        <v/>
      </c>
      <c r="AS40" s="52" t="str">
        <f aca="false">IF($C40="","",(1+SUMPRODUCT(--(AI40&gt;PcutDF)))&amp;CHOOSE(1+SUMPRODUCT(--(O40&gt;CcutFC)),"A","B","C","D","E"))</f>
        <v/>
      </c>
      <c r="AT40" s="52" t="str">
        <f aca="false">IF($C40="","",(1+SUMPRODUCT(--(AN40&gt;PcutDF)))&amp;CHOOSE(1+SUMPRODUCT(--(O40&gt;CcutFC)),"A","B","C","D","E"))</f>
        <v/>
      </c>
      <c r="AU40" s="52" t="str">
        <f aca="false">IF($C40="","",IF(AND(AA40&amp;AB40=AS40,AC40&amp;AD40=AT40),"OK","REVISAR"))</f>
        <v/>
      </c>
      <c r="AV40" s="45" t="str">
        <f aca="false">IF($C40="","",IFERROR(INDEX(RAMlev,AA40,MATCH(AB40,CatLet,0)),""))</f>
        <v/>
      </c>
      <c r="AW40" s="45" t="str">
        <f aca="false">IF($C40="","",IFERROR(INDEX(RAMlev,AC40,MATCH(AD40,CatLet,0)),""))</f>
        <v/>
      </c>
      <c r="AX40" s="52" t="str">
        <f aca="false">IF($C40="","",IF(AW40="","",IF(AW40&lt;=ObjNivel,"Cumple","Excede")))</f>
        <v/>
      </c>
      <c r="AY40" s="50" t="str">
        <f aca="false">IF($C40="","",IF(Base="RAM",AQ40,AL40))</f>
        <v/>
      </c>
      <c r="AZ40" s="50" t="str">
        <f aca="false">IF($C40="","",IF(Base="RAM",AR40,AP40))</f>
        <v/>
      </c>
      <c r="BA40" s="50" t="str">
        <f aca="false">IF($C40="","",AY40-AZ40)</f>
        <v/>
      </c>
      <c r="BB40" s="50" t="str">
        <f aca="false">IF($C40="","",BA40*N(P40))</f>
        <v/>
      </c>
      <c r="BC40" s="50" t="str">
        <f aca="false">IF($C40="","",BA40-BB40)</f>
        <v/>
      </c>
      <c r="BD40" s="50" t="str">
        <f aca="false">IF($C40="","",IFERROR(Q40*(1/X40-1/Y40),0))</f>
        <v/>
      </c>
      <c r="BE40" s="50" t="str">
        <f aca="false">IF($C40="","",IFERROR(Z40*(1/X40-1/Y40),0))</f>
        <v/>
      </c>
      <c r="BF40" s="50" t="str">
        <f aca="false">IF($C40="","",IFERROR((Q40+Z40)/X40,0))</f>
        <v/>
      </c>
      <c r="BG40" s="50" t="str">
        <f aca="false">IF($C40="","",IFERROR((Q40+Z40)/Y40,0))</f>
        <v/>
      </c>
      <c r="BH40" s="50" t="str">
        <f aca="false">IF($C40="","",BA40+BD40+BE40)</f>
        <v/>
      </c>
      <c r="BI40" s="50" t="str">
        <f aca="false">IF($C40="","",Q40+INDEX(FFScost,N(T40)+1)+IF(OR(AM40="NO APTO/REPARAR",AM40="APTO CON LIMITACIONES"),N(W40),0)+RBIimpl)</f>
        <v/>
      </c>
      <c r="BJ40" s="47" t="str">
        <f aca="false">IF($C40="","",IF(R40=0,Horiz,(1-(1+R40)^(-Horiz))/R40))</f>
        <v/>
      </c>
      <c r="BK40" s="50" t="str">
        <f aca="false">IF($C40="","",BH40*BJ40)</f>
        <v/>
      </c>
      <c r="BL40" s="53" t="str">
        <f aca="false">IF($C40="","",IFERROR(BK40/BI40,0))</f>
        <v/>
      </c>
      <c r="BM40" s="54" t="str">
        <f aca="false">IF($C40="","",BK40-BI40)</f>
        <v/>
      </c>
      <c r="BN40" s="55" t="str">
        <f aca="false">IF($C40="","",IFERROR((Horiz*BH40-BI40)/BI40,0))</f>
        <v/>
      </c>
      <c r="BO40" s="46" t="str">
        <f aca="false">IF($C40="","",IF(BH40&gt;0,BI40/BH40,"No recupera"))</f>
        <v/>
      </c>
      <c r="BP40" s="46" t="str">
        <f aca="false">IF($C40="","",IF(BH40&lt;=0,"No recupera",IF(R40=0,BI40/BH40,IFERROR(-LN(1-BI40*R40/BH40)/LN(1+R40),"No recupera"))))</f>
        <v/>
      </c>
      <c r="BQ40" s="54" t="str">
        <f aca="false">IF($C40="","",BH40-BI40/BJ40)</f>
        <v/>
      </c>
      <c r="BR40" s="51" t="str">
        <f aca="false">IF($C40="","",IF(BL40&gt;1,"ACEPTABLE","NO ACEPTABLE"))</f>
        <v/>
      </c>
      <c r="BS40" s="56" t="str">
        <f aca="false">IF($C40="","",IF(ISNUMBER(AF40),IF(AF40&lt;0,IF(LEFT(AM40,4)="APTO","RUL&lt;0 con FFS apto: verificar","RUL&lt;0"),""),""))</f>
        <v/>
      </c>
      <c r="BT40" s="54" t="str">
        <f aca="false">IF($C40="","",-$BI40+IF($R40=0,$BH40*MIN(BT$15,Horiz),$BH40*(1-(1+$R40)^(-MIN(BT$15,Horiz)))/$R40))</f>
        <v/>
      </c>
      <c r="BU40" s="54" t="str">
        <f aca="false">IF($C40="","",-$BI40+IF($R40=0,$BH40*MIN(BU$15,Horiz),$BH40*(1-(1+$R40)^(-MIN(BU$15,Horiz)))/$R40))</f>
        <v/>
      </c>
      <c r="BV40" s="54" t="str">
        <f aca="false">IF($C40="","",-$BI40+IF($R40=0,$BH40*MIN(BV$15,Horiz),$BH40*(1-(1+$R40)^(-MIN(BV$15,Horiz)))/$R40))</f>
        <v/>
      </c>
      <c r="BW40" s="54" t="str">
        <f aca="false">IF($C40="","",-$BI40+IF($R40=0,$BH40*MIN(BW$15,Horiz),$BH40*(1-(1+$R40)^(-MIN(BW$15,Horiz)))/$R40))</f>
        <v/>
      </c>
      <c r="BX40" s="54" t="str">
        <f aca="false">IF($C40="","",-$BI40+IF($R40=0,$BH40*MIN(BX$15,Horiz),$BH40*(1-(1+$R40)^(-MIN(BX$15,Horiz)))/$R40))</f>
        <v/>
      </c>
      <c r="BY40" s="54" t="str">
        <f aca="false">IF($C40="","",-$BI40+IF($R40=0,$BH40*MIN(BY$15,Horiz),$BH40*(1-(1+$R40)^(-MIN(BY$15,Horiz)))/$R40))</f>
        <v/>
      </c>
      <c r="BZ40" s="54" t="str">
        <f aca="false">IF($C40="","",-$BI40+IF($R40=0,$BH40*MIN(BZ$15,Horiz),$BH40*(1-(1+$R40)^(-MIN(BZ$15,Horiz)))/$R40))</f>
        <v/>
      </c>
      <c r="CA40" s="54" t="str">
        <f aca="false">IF($C40="","",-$BI40+IF($R40=0,$BH40*MIN(CA$15,Horiz),$BH40*(1-(1+$R40)^(-MIN(CA$15,Horiz)))/$R40))</f>
        <v/>
      </c>
      <c r="CB40" s="54" t="str">
        <f aca="false">IF($C40="","",-$BI40+IF($R40=0,$BH40*MIN(CB$15,Horiz),$BH40*(1-(1+$R40)^(-MIN(CB$15,Horiz)))/$R40))</f>
        <v/>
      </c>
      <c r="CC40" s="54" t="str">
        <f aca="false">IF($C40="","",-$BI40+IF($R40=0,$BH40*MIN(CC$15,Horiz),$BH40*(1-(1+$R40)^(-MIN(CC$15,Horiz)))/$R40))</f>
        <v/>
      </c>
      <c r="CD40" s="54" t="str">
        <f aca="false">IF($C40="","",-$BI40+IF($R40=0,$BH40*MIN(CD$15,Horiz),$BH40*(1-(1+$R40)^(-MIN(CD$15,Horiz)))/$R40))</f>
        <v/>
      </c>
      <c r="CE40" s="54" t="str">
        <f aca="false">IF($C40="","",-$BI40+IF($R40=0,$BH40*MIN(CE$15,Horiz),$BH40*(1-(1+$R40)^(-MIN(CE$15,Horiz)))/$R40))</f>
        <v/>
      </c>
      <c r="CF40" s="54" t="str">
        <f aca="false">IF($C40="","",-$BI40+IF($R40=0,$BH40*MIN(CF$15,Horiz),$BH40*(1-(1+$R40)^(-MIN(CF$15,Horiz)))/$R40))</f>
        <v/>
      </c>
      <c r="CG40" s="54" t="str">
        <f aca="false">IF($C40="","",-$BI40+IF($R40=0,$BH40*MIN(CG$15,Horiz),$BH40*(1-(1+$R40)^(-MIN(CG$15,Horiz)))/$R40))</f>
        <v/>
      </c>
      <c r="CH40" s="54" t="str">
        <f aca="false">IF($C40="","",-$BI40+IF($R40=0,$BH40*MIN(CH$15,Horiz),$BH40*(1-(1+$R40)^(-MIN(CH$15,Horiz)))/$R40))</f>
        <v/>
      </c>
      <c r="CI40" s="54" t="str">
        <f aca="false">IF($C40="","",-$BI40+IF($R40=0,$BH40*MIN(CI$15,Horiz),$BH40*(1-(1+$R40)^(-MIN(CI$15,Horiz)))/$R40))</f>
        <v/>
      </c>
    </row>
    <row r="41" customFormat="false" ht="15" hidden="false" customHeight="false" outlineLevel="0" collapsed="false">
      <c r="A41" s="34" t="n">
        <v>26</v>
      </c>
      <c r="B41" s="35"/>
      <c r="C41" s="36"/>
      <c r="D41" s="35"/>
      <c r="E41" s="35"/>
      <c r="F41" s="37"/>
      <c r="G41" s="37"/>
      <c r="H41" s="38"/>
      <c r="I41" s="39"/>
      <c r="J41" s="40"/>
      <c r="K41" s="37"/>
      <c r="L41" s="35"/>
      <c r="M41" s="36"/>
      <c r="N41" s="41"/>
      <c r="O41" s="42"/>
      <c r="P41" s="43"/>
      <c r="Q41" s="42"/>
      <c r="R41" s="44"/>
      <c r="S41" s="36"/>
      <c r="T41" s="37"/>
      <c r="U41" s="36"/>
      <c r="V41" s="36"/>
      <c r="W41" s="42"/>
      <c r="X41" s="37"/>
      <c r="Y41" s="37"/>
      <c r="Z41" s="42"/>
      <c r="AA41" s="37"/>
      <c r="AB41" s="36"/>
      <c r="AC41" s="37"/>
      <c r="AD41" s="36"/>
      <c r="AE41" s="45" t="str">
        <f aca="false">IF($C41="","",AnioEval-K41)</f>
        <v/>
      </c>
      <c r="AF41" s="46" t="str">
        <f aca="false">IF($C41="","",IF(AND(ISNUMBER(J41),I41&gt;0),(H41-J41)/(I41*SensCR)-AE41,"n/d"))</f>
        <v/>
      </c>
      <c r="AG41" s="47" t="str">
        <f aca="false">IF($C41="","",IFERROR(I41*SensCR*AE41/H41,0))</f>
        <v/>
      </c>
      <c r="AH41" s="48" t="str">
        <f aca="false">IF($C41="","",IF(INDEX(MecTipo,MATCH(L41,MecList,0))="F",IFERROR(INDEX(SusDF,MATCH(M41,SusList,0)),1),LOOKUP(AG41,ArtLim,ArtDF)))</f>
        <v/>
      </c>
      <c r="AI41" s="48" t="str">
        <f aca="false">IF($C41="","",IF(ISNUMBER(N41),N41,AH41))</f>
        <v/>
      </c>
      <c r="AJ41" s="49" t="str">
        <f aca="false">IF($C41="","",INDEX(GFFval,MATCH(D41,GFFtipo,0)))</f>
        <v/>
      </c>
      <c r="AK41" s="49" t="str">
        <f aca="false">IF($C41="","",AJ41*AI41*FMS)</f>
        <v/>
      </c>
      <c r="AL41" s="50" t="str">
        <f aca="false">IF($C41="","",AK41*O41)</f>
        <v/>
      </c>
      <c r="AM41" s="51" t="str">
        <f aca="false">IF($C41="","",IF(N(T41)=0,"No requerido",IF(AND(U41="Apto",V41="Pasa"),"APTO/PASA",IF(AND(U41="Apto con limitaciones",V41="Pasa"),"APTO CON LIMITACIONES",IF(U41="No apto","NO APTO/REPARAR","REVISAR")))))</f>
        <v/>
      </c>
      <c r="AN41" s="48" t="str">
        <f aca="false">IF($C41="","",IF(AM41="NO APTO/REPARAR",1,MAX(1,AI41*INDEX(EffRet,MATCH(S41,EffList,0))*INDEX(FFSfac,MATCH(AM41,FFSlist,0)))))</f>
        <v/>
      </c>
      <c r="AO41" s="49" t="str">
        <f aca="false">IF($C41="","",AJ41*AN41*FMS)</f>
        <v/>
      </c>
      <c r="AP41" s="50" t="str">
        <f aca="false">IF($C41="","",AO41*O41)</f>
        <v/>
      </c>
      <c r="AQ41" s="50" t="str">
        <f aca="false">IF($C41="","",IFERROR(AJ41*FMS*INDEX(DFrep,AA41)*INDEX(FCrep,MATCH(AB41,CatLet,0)),AL41))</f>
        <v/>
      </c>
      <c r="AR41" s="50" t="str">
        <f aca="false">IF($C41="","",IFERROR(AJ41*FMS*INDEX(DFrep,AC41)*INDEX(FCrep,MATCH(AD41,CatLet,0)),AP41))</f>
        <v/>
      </c>
      <c r="AS41" s="52" t="str">
        <f aca="false">IF($C41="","",(1+SUMPRODUCT(--(AI41&gt;PcutDF)))&amp;CHOOSE(1+SUMPRODUCT(--(O41&gt;CcutFC)),"A","B","C","D","E"))</f>
        <v/>
      </c>
      <c r="AT41" s="52" t="str">
        <f aca="false">IF($C41="","",(1+SUMPRODUCT(--(AN41&gt;PcutDF)))&amp;CHOOSE(1+SUMPRODUCT(--(O41&gt;CcutFC)),"A","B","C","D","E"))</f>
        <v/>
      </c>
      <c r="AU41" s="52" t="str">
        <f aca="false">IF($C41="","",IF(AND(AA41&amp;AB41=AS41,AC41&amp;AD41=AT41),"OK","REVISAR"))</f>
        <v/>
      </c>
      <c r="AV41" s="45" t="str">
        <f aca="false">IF($C41="","",IFERROR(INDEX(RAMlev,AA41,MATCH(AB41,CatLet,0)),""))</f>
        <v/>
      </c>
      <c r="AW41" s="45" t="str">
        <f aca="false">IF($C41="","",IFERROR(INDEX(RAMlev,AC41,MATCH(AD41,CatLet,0)),""))</f>
        <v/>
      </c>
      <c r="AX41" s="52" t="str">
        <f aca="false">IF($C41="","",IF(AW41="","",IF(AW41&lt;=ObjNivel,"Cumple","Excede")))</f>
        <v/>
      </c>
      <c r="AY41" s="50" t="str">
        <f aca="false">IF($C41="","",IF(Base="RAM",AQ41,AL41))</f>
        <v/>
      </c>
      <c r="AZ41" s="50" t="str">
        <f aca="false">IF($C41="","",IF(Base="RAM",AR41,AP41))</f>
        <v/>
      </c>
      <c r="BA41" s="50" t="str">
        <f aca="false">IF($C41="","",AY41-AZ41)</f>
        <v/>
      </c>
      <c r="BB41" s="50" t="str">
        <f aca="false">IF($C41="","",BA41*N(P41))</f>
        <v/>
      </c>
      <c r="BC41" s="50" t="str">
        <f aca="false">IF($C41="","",BA41-BB41)</f>
        <v/>
      </c>
      <c r="BD41" s="50" t="str">
        <f aca="false">IF($C41="","",IFERROR(Q41*(1/X41-1/Y41),0))</f>
        <v/>
      </c>
      <c r="BE41" s="50" t="str">
        <f aca="false">IF($C41="","",IFERROR(Z41*(1/X41-1/Y41),0))</f>
        <v/>
      </c>
      <c r="BF41" s="50" t="str">
        <f aca="false">IF($C41="","",IFERROR((Q41+Z41)/X41,0))</f>
        <v/>
      </c>
      <c r="BG41" s="50" t="str">
        <f aca="false">IF($C41="","",IFERROR((Q41+Z41)/Y41,0))</f>
        <v/>
      </c>
      <c r="BH41" s="50" t="str">
        <f aca="false">IF($C41="","",BA41+BD41+BE41)</f>
        <v/>
      </c>
      <c r="BI41" s="50" t="str">
        <f aca="false">IF($C41="","",Q41+INDEX(FFScost,N(T41)+1)+IF(OR(AM41="NO APTO/REPARAR",AM41="APTO CON LIMITACIONES"),N(W41),0)+RBIimpl)</f>
        <v/>
      </c>
      <c r="BJ41" s="47" t="str">
        <f aca="false">IF($C41="","",IF(R41=0,Horiz,(1-(1+R41)^(-Horiz))/R41))</f>
        <v/>
      </c>
      <c r="BK41" s="50" t="str">
        <f aca="false">IF($C41="","",BH41*BJ41)</f>
        <v/>
      </c>
      <c r="BL41" s="53" t="str">
        <f aca="false">IF($C41="","",IFERROR(BK41/BI41,0))</f>
        <v/>
      </c>
      <c r="BM41" s="54" t="str">
        <f aca="false">IF($C41="","",BK41-BI41)</f>
        <v/>
      </c>
      <c r="BN41" s="55" t="str">
        <f aca="false">IF($C41="","",IFERROR((Horiz*BH41-BI41)/BI41,0))</f>
        <v/>
      </c>
      <c r="BO41" s="46" t="str">
        <f aca="false">IF($C41="","",IF(BH41&gt;0,BI41/BH41,"No recupera"))</f>
        <v/>
      </c>
      <c r="BP41" s="46" t="str">
        <f aca="false">IF($C41="","",IF(BH41&lt;=0,"No recupera",IF(R41=0,BI41/BH41,IFERROR(-LN(1-BI41*R41/BH41)/LN(1+R41),"No recupera"))))</f>
        <v/>
      </c>
      <c r="BQ41" s="54" t="str">
        <f aca="false">IF($C41="","",BH41-BI41/BJ41)</f>
        <v/>
      </c>
      <c r="BR41" s="51" t="str">
        <f aca="false">IF($C41="","",IF(BL41&gt;1,"ACEPTABLE","NO ACEPTABLE"))</f>
        <v/>
      </c>
      <c r="BS41" s="56" t="str">
        <f aca="false">IF($C41="","",IF(ISNUMBER(AF41),IF(AF41&lt;0,IF(LEFT(AM41,4)="APTO","RUL&lt;0 con FFS apto: verificar","RUL&lt;0"),""),""))</f>
        <v/>
      </c>
      <c r="BT41" s="54" t="str">
        <f aca="false">IF($C41="","",-$BI41+IF($R41=0,$BH41*MIN(BT$15,Horiz),$BH41*(1-(1+$R41)^(-MIN(BT$15,Horiz)))/$R41))</f>
        <v/>
      </c>
      <c r="BU41" s="54" t="str">
        <f aca="false">IF($C41="","",-$BI41+IF($R41=0,$BH41*MIN(BU$15,Horiz),$BH41*(1-(1+$R41)^(-MIN(BU$15,Horiz)))/$R41))</f>
        <v/>
      </c>
      <c r="BV41" s="54" t="str">
        <f aca="false">IF($C41="","",-$BI41+IF($R41=0,$BH41*MIN(BV$15,Horiz),$BH41*(1-(1+$R41)^(-MIN(BV$15,Horiz)))/$R41))</f>
        <v/>
      </c>
      <c r="BW41" s="54" t="str">
        <f aca="false">IF($C41="","",-$BI41+IF($R41=0,$BH41*MIN(BW$15,Horiz),$BH41*(1-(1+$R41)^(-MIN(BW$15,Horiz)))/$R41))</f>
        <v/>
      </c>
      <c r="BX41" s="54" t="str">
        <f aca="false">IF($C41="","",-$BI41+IF($R41=0,$BH41*MIN(BX$15,Horiz),$BH41*(1-(1+$R41)^(-MIN(BX$15,Horiz)))/$R41))</f>
        <v/>
      </c>
      <c r="BY41" s="54" t="str">
        <f aca="false">IF($C41="","",-$BI41+IF($R41=0,$BH41*MIN(BY$15,Horiz),$BH41*(1-(1+$R41)^(-MIN(BY$15,Horiz)))/$R41))</f>
        <v/>
      </c>
      <c r="BZ41" s="54" t="str">
        <f aca="false">IF($C41="","",-$BI41+IF($R41=0,$BH41*MIN(BZ$15,Horiz),$BH41*(1-(1+$R41)^(-MIN(BZ$15,Horiz)))/$R41))</f>
        <v/>
      </c>
      <c r="CA41" s="54" t="str">
        <f aca="false">IF($C41="","",-$BI41+IF($R41=0,$BH41*MIN(CA$15,Horiz),$BH41*(1-(1+$R41)^(-MIN(CA$15,Horiz)))/$R41))</f>
        <v/>
      </c>
      <c r="CB41" s="54" t="str">
        <f aca="false">IF($C41="","",-$BI41+IF($R41=0,$BH41*MIN(CB$15,Horiz),$BH41*(1-(1+$R41)^(-MIN(CB$15,Horiz)))/$R41))</f>
        <v/>
      </c>
      <c r="CC41" s="54" t="str">
        <f aca="false">IF($C41="","",-$BI41+IF($R41=0,$BH41*MIN(CC$15,Horiz),$BH41*(1-(1+$R41)^(-MIN(CC$15,Horiz)))/$R41))</f>
        <v/>
      </c>
      <c r="CD41" s="54" t="str">
        <f aca="false">IF($C41="","",-$BI41+IF($R41=0,$BH41*MIN(CD$15,Horiz),$BH41*(1-(1+$R41)^(-MIN(CD$15,Horiz)))/$R41))</f>
        <v/>
      </c>
      <c r="CE41" s="54" t="str">
        <f aca="false">IF($C41="","",-$BI41+IF($R41=0,$BH41*MIN(CE$15,Horiz),$BH41*(1-(1+$R41)^(-MIN(CE$15,Horiz)))/$R41))</f>
        <v/>
      </c>
      <c r="CF41" s="54" t="str">
        <f aca="false">IF($C41="","",-$BI41+IF($R41=0,$BH41*MIN(CF$15,Horiz),$BH41*(1-(1+$R41)^(-MIN(CF$15,Horiz)))/$R41))</f>
        <v/>
      </c>
      <c r="CG41" s="54" t="str">
        <f aca="false">IF($C41="","",-$BI41+IF($R41=0,$BH41*MIN(CG$15,Horiz),$BH41*(1-(1+$R41)^(-MIN(CG$15,Horiz)))/$R41))</f>
        <v/>
      </c>
      <c r="CH41" s="54" t="str">
        <f aca="false">IF($C41="","",-$BI41+IF($R41=0,$BH41*MIN(CH$15,Horiz),$BH41*(1-(1+$R41)^(-MIN(CH$15,Horiz)))/$R41))</f>
        <v/>
      </c>
      <c r="CI41" s="54" t="str">
        <f aca="false">IF($C41="","",-$BI41+IF($R41=0,$BH41*MIN(CI$15,Horiz),$BH41*(1-(1+$R41)^(-MIN(CI$15,Horiz)))/$R41))</f>
        <v/>
      </c>
    </row>
    <row r="42" customFormat="false" ht="15" hidden="false" customHeight="false" outlineLevel="0" collapsed="false">
      <c r="A42" s="34" t="n">
        <v>27</v>
      </c>
      <c r="B42" s="35"/>
      <c r="C42" s="36"/>
      <c r="D42" s="35"/>
      <c r="E42" s="35"/>
      <c r="F42" s="37"/>
      <c r="G42" s="37"/>
      <c r="H42" s="38"/>
      <c r="I42" s="39"/>
      <c r="J42" s="40"/>
      <c r="K42" s="37"/>
      <c r="L42" s="35"/>
      <c r="M42" s="36"/>
      <c r="N42" s="41"/>
      <c r="O42" s="42"/>
      <c r="P42" s="43"/>
      <c r="Q42" s="42"/>
      <c r="R42" s="44"/>
      <c r="S42" s="36"/>
      <c r="T42" s="37"/>
      <c r="U42" s="36"/>
      <c r="V42" s="36"/>
      <c r="W42" s="42"/>
      <c r="X42" s="37"/>
      <c r="Y42" s="37"/>
      <c r="Z42" s="42"/>
      <c r="AA42" s="37"/>
      <c r="AB42" s="36"/>
      <c r="AC42" s="37"/>
      <c r="AD42" s="36"/>
      <c r="AE42" s="45" t="str">
        <f aca="false">IF($C42="","",AnioEval-K42)</f>
        <v/>
      </c>
      <c r="AF42" s="46" t="str">
        <f aca="false">IF($C42="","",IF(AND(ISNUMBER(J42),I42&gt;0),(H42-J42)/(I42*SensCR)-AE42,"n/d"))</f>
        <v/>
      </c>
      <c r="AG42" s="47" t="str">
        <f aca="false">IF($C42="","",IFERROR(I42*SensCR*AE42/H42,0))</f>
        <v/>
      </c>
      <c r="AH42" s="48" t="str">
        <f aca="false">IF($C42="","",IF(INDEX(MecTipo,MATCH(L42,MecList,0))="F",IFERROR(INDEX(SusDF,MATCH(M42,SusList,0)),1),LOOKUP(AG42,ArtLim,ArtDF)))</f>
        <v/>
      </c>
      <c r="AI42" s="48" t="str">
        <f aca="false">IF($C42="","",IF(ISNUMBER(N42),N42,AH42))</f>
        <v/>
      </c>
      <c r="AJ42" s="49" t="str">
        <f aca="false">IF($C42="","",INDEX(GFFval,MATCH(D42,GFFtipo,0)))</f>
        <v/>
      </c>
      <c r="AK42" s="49" t="str">
        <f aca="false">IF($C42="","",AJ42*AI42*FMS)</f>
        <v/>
      </c>
      <c r="AL42" s="50" t="str">
        <f aca="false">IF($C42="","",AK42*O42)</f>
        <v/>
      </c>
      <c r="AM42" s="51" t="str">
        <f aca="false">IF($C42="","",IF(N(T42)=0,"No requerido",IF(AND(U42="Apto",V42="Pasa"),"APTO/PASA",IF(AND(U42="Apto con limitaciones",V42="Pasa"),"APTO CON LIMITACIONES",IF(U42="No apto","NO APTO/REPARAR","REVISAR")))))</f>
        <v/>
      </c>
      <c r="AN42" s="48" t="str">
        <f aca="false">IF($C42="","",IF(AM42="NO APTO/REPARAR",1,MAX(1,AI42*INDEX(EffRet,MATCH(S42,EffList,0))*INDEX(FFSfac,MATCH(AM42,FFSlist,0)))))</f>
        <v/>
      </c>
      <c r="AO42" s="49" t="str">
        <f aca="false">IF($C42="","",AJ42*AN42*FMS)</f>
        <v/>
      </c>
      <c r="AP42" s="50" t="str">
        <f aca="false">IF($C42="","",AO42*O42)</f>
        <v/>
      </c>
      <c r="AQ42" s="50" t="str">
        <f aca="false">IF($C42="","",IFERROR(AJ42*FMS*INDEX(DFrep,AA42)*INDEX(FCrep,MATCH(AB42,CatLet,0)),AL42))</f>
        <v/>
      </c>
      <c r="AR42" s="50" t="str">
        <f aca="false">IF($C42="","",IFERROR(AJ42*FMS*INDEX(DFrep,AC42)*INDEX(FCrep,MATCH(AD42,CatLet,0)),AP42))</f>
        <v/>
      </c>
      <c r="AS42" s="52" t="str">
        <f aca="false">IF($C42="","",(1+SUMPRODUCT(--(AI42&gt;PcutDF)))&amp;CHOOSE(1+SUMPRODUCT(--(O42&gt;CcutFC)),"A","B","C","D","E"))</f>
        <v/>
      </c>
      <c r="AT42" s="52" t="str">
        <f aca="false">IF($C42="","",(1+SUMPRODUCT(--(AN42&gt;PcutDF)))&amp;CHOOSE(1+SUMPRODUCT(--(O42&gt;CcutFC)),"A","B","C","D","E"))</f>
        <v/>
      </c>
      <c r="AU42" s="52" t="str">
        <f aca="false">IF($C42="","",IF(AND(AA42&amp;AB42=AS42,AC42&amp;AD42=AT42),"OK","REVISAR"))</f>
        <v/>
      </c>
      <c r="AV42" s="45" t="str">
        <f aca="false">IF($C42="","",IFERROR(INDEX(RAMlev,AA42,MATCH(AB42,CatLet,0)),""))</f>
        <v/>
      </c>
      <c r="AW42" s="45" t="str">
        <f aca="false">IF($C42="","",IFERROR(INDEX(RAMlev,AC42,MATCH(AD42,CatLet,0)),""))</f>
        <v/>
      </c>
      <c r="AX42" s="52" t="str">
        <f aca="false">IF($C42="","",IF(AW42="","",IF(AW42&lt;=ObjNivel,"Cumple","Excede")))</f>
        <v/>
      </c>
      <c r="AY42" s="50" t="str">
        <f aca="false">IF($C42="","",IF(Base="RAM",AQ42,AL42))</f>
        <v/>
      </c>
      <c r="AZ42" s="50" t="str">
        <f aca="false">IF($C42="","",IF(Base="RAM",AR42,AP42))</f>
        <v/>
      </c>
      <c r="BA42" s="50" t="str">
        <f aca="false">IF($C42="","",AY42-AZ42)</f>
        <v/>
      </c>
      <c r="BB42" s="50" t="str">
        <f aca="false">IF($C42="","",BA42*N(P42))</f>
        <v/>
      </c>
      <c r="BC42" s="50" t="str">
        <f aca="false">IF($C42="","",BA42-BB42)</f>
        <v/>
      </c>
      <c r="BD42" s="50" t="str">
        <f aca="false">IF($C42="","",IFERROR(Q42*(1/X42-1/Y42),0))</f>
        <v/>
      </c>
      <c r="BE42" s="50" t="str">
        <f aca="false">IF($C42="","",IFERROR(Z42*(1/X42-1/Y42),0))</f>
        <v/>
      </c>
      <c r="BF42" s="50" t="str">
        <f aca="false">IF($C42="","",IFERROR((Q42+Z42)/X42,0))</f>
        <v/>
      </c>
      <c r="BG42" s="50" t="str">
        <f aca="false">IF($C42="","",IFERROR((Q42+Z42)/Y42,0))</f>
        <v/>
      </c>
      <c r="BH42" s="50" t="str">
        <f aca="false">IF($C42="","",BA42+BD42+BE42)</f>
        <v/>
      </c>
      <c r="BI42" s="50" t="str">
        <f aca="false">IF($C42="","",Q42+INDEX(FFScost,N(T42)+1)+IF(OR(AM42="NO APTO/REPARAR",AM42="APTO CON LIMITACIONES"),N(W42),0)+RBIimpl)</f>
        <v/>
      </c>
      <c r="BJ42" s="47" t="str">
        <f aca="false">IF($C42="","",IF(R42=0,Horiz,(1-(1+R42)^(-Horiz))/R42))</f>
        <v/>
      </c>
      <c r="BK42" s="50" t="str">
        <f aca="false">IF($C42="","",BH42*BJ42)</f>
        <v/>
      </c>
      <c r="BL42" s="53" t="str">
        <f aca="false">IF($C42="","",IFERROR(BK42/BI42,0))</f>
        <v/>
      </c>
      <c r="BM42" s="54" t="str">
        <f aca="false">IF($C42="","",BK42-BI42)</f>
        <v/>
      </c>
      <c r="BN42" s="55" t="str">
        <f aca="false">IF($C42="","",IFERROR((Horiz*BH42-BI42)/BI42,0))</f>
        <v/>
      </c>
      <c r="BO42" s="46" t="str">
        <f aca="false">IF($C42="","",IF(BH42&gt;0,BI42/BH42,"No recupera"))</f>
        <v/>
      </c>
      <c r="BP42" s="46" t="str">
        <f aca="false">IF($C42="","",IF(BH42&lt;=0,"No recupera",IF(R42=0,BI42/BH42,IFERROR(-LN(1-BI42*R42/BH42)/LN(1+R42),"No recupera"))))</f>
        <v/>
      </c>
      <c r="BQ42" s="54" t="str">
        <f aca="false">IF($C42="","",BH42-BI42/BJ42)</f>
        <v/>
      </c>
      <c r="BR42" s="51" t="str">
        <f aca="false">IF($C42="","",IF(BL42&gt;1,"ACEPTABLE","NO ACEPTABLE"))</f>
        <v/>
      </c>
      <c r="BS42" s="56" t="str">
        <f aca="false">IF($C42="","",IF(ISNUMBER(AF42),IF(AF42&lt;0,IF(LEFT(AM42,4)="APTO","RUL&lt;0 con FFS apto: verificar","RUL&lt;0"),""),""))</f>
        <v/>
      </c>
      <c r="BT42" s="54" t="str">
        <f aca="false">IF($C42="","",-$BI42+IF($R42=0,$BH42*MIN(BT$15,Horiz),$BH42*(1-(1+$R42)^(-MIN(BT$15,Horiz)))/$R42))</f>
        <v/>
      </c>
      <c r="BU42" s="54" t="str">
        <f aca="false">IF($C42="","",-$BI42+IF($R42=0,$BH42*MIN(BU$15,Horiz),$BH42*(1-(1+$R42)^(-MIN(BU$15,Horiz)))/$R42))</f>
        <v/>
      </c>
      <c r="BV42" s="54" t="str">
        <f aca="false">IF($C42="","",-$BI42+IF($R42=0,$BH42*MIN(BV$15,Horiz),$BH42*(1-(1+$R42)^(-MIN(BV$15,Horiz)))/$R42))</f>
        <v/>
      </c>
      <c r="BW42" s="54" t="str">
        <f aca="false">IF($C42="","",-$BI42+IF($R42=0,$BH42*MIN(BW$15,Horiz),$BH42*(1-(1+$R42)^(-MIN(BW$15,Horiz)))/$R42))</f>
        <v/>
      </c>
      <c r="BX42" s="54" t="str">
        <f aca="false">IF($C42="","",-$BI42+IF($R42=0,$BH42*MIN(BX$15,Horiz),$BH42*(1-(1+$R42)^(-MIN(BX$15,Horiz)))/$R42))</f>
        <v/>
      </c>
      <c r="BY42" s="54" t="str">
        <f aca="false">IF($C42="","",-$BI42+IF($R42=0,$BH42*MIN(BY$15,Horiz),$BH42*(1-(1+$R42)^(-MIN(BY$15,Horiz)))/$R42))</f>
        <v/>
      </c>
      <c r="BZ42" s="54" t="str">
        <f aca="false">IF($C42="","",-$BI42+IF($R42=0,$BH42*MIN(BZ$15,Horiz),$BH42*(1-(1+$R42)^(-MIN(BZ$15,Horiz)))/$R42))</f>
        <v/>
      </c>
      <c r="CA42" s="54" t="str">
        <f aca="false">IF($C42="","",-$BI42+IF($R42=0,$BH42*MIN(CA$15,Horiz),$BH42*(1-(1+$R42)^(-MIN(CA$15,Horiz)))/$R42))</f>
        <v/>
      </c>
      <c r="CB42" s="54" t="str">
        <f aca="false">IF($C42="","",-$BI42+IF($R42=0,$BH42*MIN(CB$15,Horiz),$BH42*(1-(1+$R42)^(-MIN(CB$15,Horiz)))/$R42))</f>
        <v/>
      </c>
      <c r="CC42" s="54" t="str">
        <f aca="false">IF($C42="","",-$BI42+IF($R42=0,$BH42*MIN(CC$15,Horiz),$BH42*(1-(1+$R42)^(-MIN(CC$15,Horiz)))/$R42))</f>
        <v/>
      </c>
      <c r="CD42" s="54" t="str">
        <f aca="false">IF($C42="","",-$BI42+IF($R42=0,$BH42*MIN(CD$15,Horiz),$BH42*(1-(1+$R42)^(-MIN(CD$15,Horiz)))/$R42))</f>
        <v/>
      </c>
      <c r="CE42" s="54" t="str">
        <f aca="false">IF($C42="","",-$BI42+IF($R42=0,$BH42*MIN(CE$15,Horiz),$BH42*(1-(1+$R42)^(-MIN(CE$15,Horiz)))/$R42))</f>
        <v/>
      </c>
      <c r="CF42" s="54" t="str">
        <f aca="false">IF($C42="","",-$BI42+IF($R42=0,$BH42*MIN(CF$15,Horiz),$BH42*(1-(1+$R42)^(-MIN(CF$15,Horiz)))/$R42))</f>
        <v/>
      </c>
      <c r="CG42" s="54" t="str">
        <f aca="false">IF($C42="","",-$BI42+IF($R42=0,$BH42*MIN(CG$15,Horiz),$BH42*(1-(1+$R42)^(-MIN(CG$15,Horiz)))/$R42))</f>
        <v/>
      </c>
      <c r="CH42" s="54" t="str">
        <f aca="false">IF($C42="","",-$BI42+IF($R42=0,$BH42*MIN(CH$15,Horiz),$BH42*(1-(1+$R42)^(-MIN(CH$15,Horiz)))/$R42))</f>
        <v/>
      </c>
      <c r="CI42" s="54" t="str">
        <f aca="false">IF($C42="","",-$BI42+IF($R42=0,$BH42*MIN(CI$15,Horiz),$BH42*(1-(1+$R42)^(-MIN(CI$15,Horiz)))/$R42))</f>
        <v/>
      </c>
    </row>
    <row r="43" customFormat="false" ht="15" hidden="false" customHeight="false" outlineLevel="0" collapsed="false">
      <c r="A43" s="34" t="n">
        <v>28</v>
      </c>
      <c r="B43" s="35"/>
      <c r="C43" s="36"/>
      <c r="D43" s="35"/>
      <c r="E43" s="35"/>
      <c r="F43" s="37"/>
      <c r="G43" s="37"/>
      <c r="H43" s="38"/>
      <c r="I43" s="39"/>
      <c r="J43" s="40"/>
      <c r="K43" s="37"/>
      <c r="L43" s="35"/>
      <c r="M43" s="36"/>
      <c r="N43" s="41"/>
      <c r="O43" s="42"/>
      <c r="P43" s="43"/>
      <c r="Q43" s="42"/>
      <c r="R43" s="44"/>
      <c r="S43" s="36"/>
      <c r="T43" s="37"/>
      <c r="U43" s="36"/>
      <c r="V43" s="36"/>
      <c r="W43" s="42"/>
      <c r="X43" s="37"/>
      <c r="Y43" s="37"/>
      <c r="Z43" s="42"/>
      <c r="AA43" s="37"/>
      <c r="AB43" s="36"/>
      <c r="AC43" s="37"/>
      <c r="AD43" s="36"/>
      <c r="AE43" s="45" t="str">
        <f aca="false">IF($C43="","",AnioEval-K43)</f>
        <v/>
      </c>
      <c r="AF43" s="46" t="str">
        <f aca="false">IF($C43="","",IF(AND(ISNUMBER(J43),I43&gt;0),(H43-J43)/(I43*SensCR)-AE43,"n/d"))</f>
        <v/>
      </c>
      <c r="AG43" s="47" t="str">
        <f aca="false">IF($C43="","",IFERROR(I43*SensCR*AE43/H43,0))</f>
        <v/>
      </c>
      <c r="AH43" s="48" t="str">
        <f aca="false">IF($C43="","",IF(INDEX(MecTipo,MATCH(L43,MecList,0))="F",IFERROR(INDEX(SusDF,MATCH(M43,SusList,0)),1),LOOKUP(AG43,ArtLim,ArtDF)))</f>
        <v/>
      </c>
      <c r="AI43" s="48" t="str">
        <f aca="false">IF($C43="","",IF(ISNUMBER(N43),N43,AH43))</f>
        <v/>
      </c>
      <c r="AJ43" s="49" t="str">
        <f aca="false">IF($C43="","",INDEX(GFFval,MATCH(D43,GFFtipo,0)))</f>
        <v/>
      </c>
      <c r="AK43" s="49" t="str">
        <f aca="false">IF($C43="","",AJ43*AI43*FMS)</f>
        <v/>
      </c>
      <c r="AL43" s="50" t="str">
        <f aca="false">IF($C43="","",AK43*O43)</f>
        <v/>
      </c>
      <c r="AM43" s="51" t="str">
        <f aca="false">IF($C43="","",IF(N(T43)=0,"No requerido",IF(AND(U43="Apto",V43="Pasa"),"APTO/PASA",IF(AND(U43="Apto con limitaciones",V43="Pasa"),"APTO CON LIMITACIONES",IF(U43="No apto","NO APTO/REPARAR","REVISAR")))))</f>
        <v/>
      </c>
      <c r="AN43" s="48" t="str">
        <f aca="false">IF($C43="","",IF(AM43="NO APTO/REPARAR",1,MAX(1,AI43*INDEX(EffRet,MATCH(S43,EffList,0))*INDEX(FFSfac,MATCH(AM43,FFSlist,0)))))</f>
        <v/>
      </c>
      <c r="AO43" s="49" t="str">
        <f aca="false">IF($C43="","",AJ43*AN43*FMS)</f>
        <v/>
      </c>
      <c r="AP43" s="50" t="str">
        <f aca="false">IF($C43="","",AO43*O43)</f>
        <v/>
      </c>
      <c r="AQ43" s="50" t="str">
        <f aca="false">IF($C43="","",IFERROR(AJ43*FMS*INDEX(DFrep,AA43)*INDEX(FCrep,MATCH(AB43,CatLet,0)),AL43))</f>
        <v/>
      </c>
      <c r="AR43" s="50" t="str">
        <f aca="false">IF($C43="","",IFERROR(AJ43*FMS*INDEX(DFrep,AC43)*INDEX(FCrep,MATCH(AD43,CatLet,0)),AP43))</f>
        <v/>
      </c>
      <c r="AS43" s="52" t="str">
        <f aca="false">IF($C43="","",(1+SUMPRODUCT(--(AI43&gt;PcutDF)))&amp;CHOOSE(1+SUMPRODUCT(--(O43&gt;CcutFC)),"A","B","C","D","E"))</f>
        <v/>
      </c>
      <c r="AT43" s="52" t="str">
        <f aca="false">IF($C43="","",(1+SUMPRODUCT(--(AN43&gt;PcutDF)))&amp;CHOOSE(1+SUMPRODUCT(--(O43&gt;CcutFC)),"A","B","C","D","E"))</f>
        <v/>
      </c>
      <c r="AU43" s="52" t="str">
        <f aca="false">IF($C43="","",IF(AND(AA43&amp;AB43=AS43,AC43&amp;AD43=AT43),"OK","REVISAR"))</f>
        <v/>
      </c>
      <c r="AV43" s="45" t="str">
        <f aca="false">IF($C43="","",IFERROR(INDEX(RAMlev,AA43,MATCH(AB43,CatLet,0)),""))</f>
        <v/>
      </c>
      <c r="AW43" s="45" t="str">
        <f aca="false">IF($C43="","",IFERROR(INDEX(RAMlev,AC43,MATCH(AD43,CatLet,0)),""))</f>
        <v/>
      </c>
      <c r="AX43" s="52" t="str">
        <f aca="false">IF($C43="","",IF(AW43="","",IF(AW43&lt;=ObjNivel,"Cumple","Excede")))</f>
        <v/>
      </c>
      <c r="AY43" s="50" t="str">
        <f aca="false">IF($C43="","",IF(Base="RAM",AQ43,AL43))</f>
        <v/>
      </c>
      <c r="AZ43" s="50" t="str">
        <f aca="false">IF($C43="","",IF(Base="RAM",AR43,AP43))</f>
        <v/>
      </c>
      <c r="BA43" s="50" t="str">
        <f aca="false">IF($C43="","",AY43-AZ43)</f>
        <v/>
      </c>
      <c r="BB43" s="50" t="str">
        <f aca="false">IF($C43="","",BA43*N(P43))</f>
        <v/>
      </c>
      <c r="BC43" s="50" t="str">
        <f aca="false">IF($C43="","",BA43-BB43)</f>
        <v/>
      </c>
      <c r="BD43" s="50" t="str">
        <f aca="false">IF($C43="","",IFERROR(Q43*(1/X43-1/Y43),0))</f>
        <v/>
      </c>
      <c r="BE43" s="50" t="str">
        <f aca="false">IF($C43="","",IFERROR(Z43*(1/X43-1/Y43),0))</f>
        <v/>
      </c>
      <c r="BF43" s="50" t="str">
        <f aca="false">IF($C43="","",IFERROR((Q43+Z43)/X43,0))</f>
        <v/>
      </c>
      <c r="BG43" s="50" t="str">
        <f aca="false">IF($C43="","",IFERROR((Q43+Z43)/Y43,0))</f>
        <v/>
      </c>
      <c r="BH43" s="50" t="str">
        <f aca="false">IF($C43="","",BA43+BD43+BE43)</f>
        <v/>
      </c>
      <c r="BI43" s="50" t="str">
        <f aca="false">IF($C43="","",Q43+INDEX(FFScost,N(T43)+1)+IF(OR(AM43="NO APTO/REPARAR",AM43="APTO CON LIMITACIONES"),N(W43),0)+RBIimpl)</f>
        <v/>
      </c>
      <c r="BJ43" s="47" t="str">
        <f aca="false">IF($C43="","",IF(R43=0,Horiz,(1-(1+R43)^(-Horiz))/R43))</f>
        <v/>
      </c>
      <c r="BK43" s="50" t="str">
        <f aca="false">IF($C43="","",BH43*BJ43)</f>
        <v/>
      </c>
      <c r="BL43" s="53" t="str">
        <f aca="false">IF($C43="","",IFERROR(BK43/BI43,0))</f>
        <v/>
      </c>
      <c r="BM43" s="54" t="str">
        <f aca="false">IF($C43="","",BK43-BI43)</f>
        <v/>
      </c>
      <c r="BN43" s="55" t="str">
        <f aca="false">IF($C43="","",IFERROR((Horiz*BH43-BI43)/BI43,0))</f>
        <v/>
      </c>
      <c r="BO43" s="46" t="str">
        <f aca="false">IF($C43="","",IF(BH43&gt;0,BI43/BH43,"No recupera"))</f>
        <v/>
      </c>
      <c r="BP43" s="46" t="str">
        <f aca="false">IF($C43="","",IF(BH43&lt;=0,"No recupera",IF(R43=0,BI43/BH43,IFERROR(-LN(1-BI43*R43/BH43)/LN(1+R43),"No recupera"))))</f>
        <v/>
      </c>
      <c r="BQ43" s="54" t="str">
        <f aca="false">IF($C43="","",BH43-BI43/BJ43)</f>
        <v/>
      </c>
      <c r="BR43" s="51" t="str">
        <f aca="false">IF($C43="","",IF(BL43&gt;1,"ACEPTABLE","NO ACEPTABLE"))</f>
        <v/>
      </c>
      <c r="BS43" s="56" t="str">
        <f aca="false">IF($C43="","",IF(ISNUMBER(AF43),IF(AF43&lt;0,IF(LEFT(AM43,4)="APTO","RUL&lt;0 con FFS apto: verificar","RUL&lt;0"),""),""))</f>
        <v/>
      </c>
      <c r="BT43" s="54" t="str">
        <f aca="false">IF($C43="","",-$BI43+IF($R43=0,$BH43*MIN(BT$15,Horiz),$BH43*(1-(1+$R43)^(-MIN(BT$15,Horiz)))/$R43))</f>
        <v/>
      </c>
      <c r="BU43" s="54" t="str">
        <f aca="false">IF($C43="","",-$BI43+IF($R43=0,$BH43*MIN(BU$15,Horiz),$BH43*(1-(1+$R43)^(-MIN(BU$15,Horiz)))/$R43))</f>
        <v/>
      </c>
      <c r="BV43" s="54" t="str">
        <f aca="false">IF($C43="","",-$BI43+IF($R43=0,$BH43*MIN(BV$15,Horiz),$BH43*(1-(1+$R43)^(-MIN(BV$15,Horiz)))/$R43))</f>
        <v/>
      </c>
      <c r="BW43" s="54" t="str">
        <f aca="false">IF($C43="","",-$BI43+IF($R43=0,$BH43*MIN(BW$15,Horiz),$BH43*(1-(1+$R43)^(-MIN(BW$15,Horiz)))/$R43))</f>
        <v/>
      </c>
      <c r="BX43" s="54" t="str">
        <f aca="false">IF($C43="","",-$BI43+IF($R43=0,$BH43*MIN(BX$15,Horiz),$BH43*(1-(1+$R43)^(-MIN(BX$15,Horiz)))/$R43))</f>
        <v/>
      </c>
      <c r="BY43" s="54" t="str">
        <f aca="false">IF($C43="","",-$BI43+IF($R43=0,$BH43*MIN(BY$15,Horiz),$BH43*(1-(1+$R43)^(-MIN(BY$15,Horiz)))/$R43))</f>
        <v/>
      </c>
      <c r="BZ43" s="54" t="str">
        <f aca="false">IF($C43="","",-$BI43+IF($R43=0,$BH43*MIN(BZ$15,Horiz),$BH43*(1-(1+$R43)^(-MIN(BZ$15,Horiz)))/$R43))</f>
        <v/>
      </c>
      <c r="CA43" s="54" t="str">
        <f aca="false">IF($C43="","",-$BI43+IF($R43=0,$BH43*MIN(CA$15,Horiz),$BH43*(1-(1+$R43)^(-MIN(CA$15,Horiz)))/$R43))</f>
        <v/>
      </c>
      <c r="CB43" s="54" t="str">
        <f aca="false">IF($C43="","",-$BI43+IF($R43=0,$BH43*MIN(CB$15,Horiz),$BH43*(1-(1+$R43)^(-MIN(CB$15,Horiz)))/$R43))</f>
        <v/>
      </c>
      <c r="CC43" s="54" t="str">
        <f aca="false">IF($C43="","",-$BI43+IF($R43=0,$BH43*MIN(CC$15,Horiz),$BH43*(1-(1+$R43)^(-MIN(CC$15,Horiz)))/$R43))</f>
        <v/>
      </c>
      <c r="CD43" s="54" t="str">
        <f aca="false">IF($C43="","",-$BI43+IF($R43=0,$BH43*MIN(CD$15,Horiz),$BH43*(1-(1+$R43)^(-MIN(CD$15,Horiz)))/$R43))</f>
        <v/>
      </c>
      <c r="CE43" s="54" t="str">
        <f aca="false">IF($C43="","",-$BI43+IF($R43=0,$BH43*MIN(CE$15,Horiz),$BH43*(1-(1+$R43)^(-MIN(CE$15,Horiz)))/$R43))</f>
        <v/>
      </c>
      <c r="CF43" s="54" t="str">
        <f aca="false">IF($C43="","",-$BI43+IF($R43=0,$BH43*MIN(CF$15,Horiz),$BH43*(1-(1+$R43)^(-MIN(CF$15,Horiz)))/$R43))</f>
        <v/>
      </c>
      <c r="CG43" s="54" t="str">
        <f aca="false">IF($C43="","",-$BI43+IF($R43=0,$BH43*MIN(CG$15,Horiz),$BH43*(1-(1+$R43)^(-MIN(CG$15,Horiz)))/$R43))</f>
        <v/>
      </c>
      <c r="CH43" s="54" t="str">
        <f aca="false">IF($C43="","",-$BI43+IF($R43=0,$BH43*MIN(CH$15,Horiz),$BH43*(1-(1+$R43)^(-MIN(CH$15,Horiz)))/$R43))</f>
        <v/>
      </c>
      <c r="CI43" s="54" t="str">
        <f aca="false">IF($C43="","",-$BI43+IF($R43=0,$BH43*MIN(CI$15,Horiz),$BH43*(1-(1+$R43)^(-MIN(CI$15,Horiz)))/$R43))</f>
        <v/>
      </c>
    </row>
    <row r="44" customFormat="false" ht="15" hidden="false" customHeight="false" outlineLevel="0" collapsed="false">
      <c r="A44" s="34" t="n">
        <v>29</v>
      </c>
      <c r="B44" s="35"/>
      <c r="C44" s="36"/>
      <c r="D44" s="35"/>
      <c r="E44" s="35"/>
      <c r="F44" s="37"/>
      <c r="G44" s="37"/>
      <c r="H44" s="38"/>
      <c r="I44" s="39"/>
      <c r="J44" s="40"/>
      <c r="K44" s="37"/>
      <c r="L44" s="35"/>
      <c r="M44" s="36"/>
      <c r="N44" s="41"/>
      <c r="O44" s="42"/>
      <c r="P44" s="43"/>
      <c r="Q44" s="42"/>
      <c r="R44" s="44"/>
      <c r="S44" s="36"/>
      <c r="T44" s="37"/>
      <c r="U44" s="36"/>
      <c r="V44" s="36"/>
      <c r="W44" s="42"/>
      <c r="X44" s="37"/>
      <c r="Y44" s="37"/>
      <c r="Z44" s="42"/>
      <c r="AA44" s="37"/>
      <c r="AB44" s="36"/>
      <c r="AC44" s="37"/>
      <c r="AD44" s="36"/>
      <c r="AE44" s="45" t="str">
        <f aca="false">IF($C44="","",AnioEval-K44)</f>
        <v/>
      </c>
      <c r="AF44" s="46" t="str">
        <f aca="false">IF($C44="","",IF(AND(ISNUMBER(J44),I44&gt;0),(H44-J44)/(I44*SensCR)-AE44,"n/d"))</f>
        <v/>
      </c>
      <c r="AG44" s="47" t="str">
        <f aca="false">IF($C44="","",IFERROR(I44*SensCR*AE44/H44,0))</f>
        <v/>
      </c>
      <c r="AH44" s="48" t="str">
        <f aca="false">IF($C44="","",IF(INDEX(MecTipo,MATCH(L44,MecList,0))="F",IFERROR(INDEX(SusDF,MATCH(M44,SusList,0)),1),LOOKUP(AG44,ArtLim,ArtDF)))</f>
        <v/>
      </c>
      <c r="AI44" s="48" t="str">
        <f aca="false">IF($C44="","",IF(ISNUMBER(N44),N44,AH44))</f>
        <v/>
      </c>
      <c r="AJ44" s="49" t="str">
        <f aca="false">IF($C44="","",INDEX(GFFval,MATCH(D44,GFFtipo,0)))</f>
        <v/>
      </c>
      <c r="AK44" s="49" t="str">
        <f aca="false">IF($C44="","",AJ44*AI44*FMS)</f>
        <v/>
      </c>
      <c r="AL44" s="50" t="str">
        <f aca="false">IF($C44="","",AK44*O44)</f>
        <v/>
      </c>
      <c r="AM44" s="51" t="str">
        <f aca="false">IF($C44="","",IF(N(T44)=0,"No requerido",IF(AND(U44="Apto",V44="Pasa"),"APTO/PASA",IF(AND(U44="Apto con limitaciones",V44="Pasa"),"APTO CON LIMITACIONES",IF(U44="No apto","NO APTO/REPARAR","REVISAR")))))</f>
        <v/>
      </c>
      <c r="AN44" s="48" t="str">
        <f aca="false">IF($C44="","",IF(AM44="NO APTO/REPARAR",1,MAX(1,AI44*INDEX(EffRet,MATCH(S44,EffList,0))*INDEX(FFSfac,MATCH(AM44,FFSlist,0)))))</f>
        <v/>
      </c>
      <c r="AO44" s="49" t="str">
        <f aca="false">IF($C44="","",AJ44*AN44*FMS)</f>
        <v/>
      </c>
      <c r="AP44" s="50" t="str">
        <f aca="false">IF($C44="","",AO44*O44)</f>
        <v/>
      </c>
      <c r="AQ44" s="50" t="str">
        <f aca="false">IF($C44="","",IFERROR(AJ44*FMS*INDEX(DFrep,AA44)*INDEX(FCrep,MATCH(AB44,CatLet,0)),AL44))</f>
        <v/>
      </c>
      <c r="AR44" s="50" t="str">
        <f aca="false">IF($C44="","",IFERROR(AJ44*FMS*INDEX(DFrep,AC44)*INDEX(FCrep,MATCH(AD44,CatLet,0)),AP44))</f>
        <v/>
      </c>
      <c r="AS44" s="52" t="str">
        <f aca="false">IF($C44="","",(1+SUMPRODUCT(--(AI44&gt;PcutDF)))&amp;CHOOSE(1+SUMPRODUCT(--(O44&gt;CcutFC)),"A","B","C","D","E"))</f>
        <v/>
      </c>
      <c r="AT44" s="52" t="str">
        <f aca="false">IF($C44="","",(1+SUMPRODUCT(--(AN44&gt;PcutDF)))&amp;CHOOSE(1+SUMPRODUCT(--(O44&gt;CcutFC)),"A","B","C","D","E"))</f>
        <v/>
      </c>
      <c r="AU44" s="52" t="str">
        <f aca="false">IF($C44="","",IF(AND(AA44&amp;AB44=AS44,AC44&amp;AD44=AT44),"OK","REVISAR"))</f>
        <v/>
      </c>
      <c r="AV44" s="45" t="str">
        <f aca="false">IF($C44="","",IFERROR(INDEX(RAMlev,AA44,MATCH(AB44,CatLet,0)),""))</f>
        <v/>
      </c>
      <c r="AW44" s="45" t="str">
        <f aca="false">IF($C44="","",IFERROR(INDEX(RAMlev,AC44,MATCH(AD44,CatLet,0)),""))</f>
        <v/>
      </c>
      <c r="AX44" s="52" t="str">
        <f aca="false">IF($C44="","",IF(AW44="","",IF(AW44&lt;=ObjNivel,"Cumple","Excede")))</f>
        <v/>
      </c>
      <c r="AY44" s="50" t="str">
        <f aca="false">IF($C44="","",IF(Base="RAM",AQ44,AL44))</f>
        <v/>
      </c>
      <c r="AZ44" s="50" t="str">
        <f aca="false">IF($C44="","",IF(Base="RAM",AR44,AP44))</f>
        <v/>
      </c>
      <c r="BA44" s="50" t="str">
        <f aca="false">IF($C44="","",AY44-AZ44)</f>
        <v/>
      </c>
      <c r="BB44" s="50" t="str">
        <f aca="false">IF($C44="","",BA44*N(P44))</f>
        <v/>
      </c>
      <c r="BC44" s="50" t="str">
        <f aca="false">IF($C44="","",BA44-BB44)</f>
        <v/>
      </c>
      <c r="BD44" s="50" t="str">
        <f aca="false">IF($C44="","",IFERROR(Q44*(1/X44-1/Y44),0))</f>
        <v/>
      </c>
      <c r="BE44" s="50" t="str">
        <f aca="false">IF($C44="","",IFERROR(Z44*(1/X44-1/Y44),0))</f>
        <v/>
      </c>
      <c r="BF44" s="50" t="str">
        <f aca="false">IF($C44="","",IFERROR((Q44+Z44)/X44,0))</f>
        <v/>
      </c>
      <c r="BG44" s="50" t="str">
        <f aca="false">IF($C44="","",IFERROR((Q44+Z44)/Y44,0))</f>
        <v/>
      </c>
      <c r="BH44" s="50" t="str">
        <f aca="false">IF($C44="","",BA44+BD44+BE44)</f>
        <v/>
      </c>
      <c r="BI44" s="50" t="str">
        <f aca="false">IF($C44="","",Q44+INDEX(FFScost,N(T44)+1)+IF(OR(AM44="NO APTO/REPARAR",AM44="APTO CON LIMITACIONES"),N(W44),0)+RBIimpl)</f>
        <v/>
      </c>
      <c r="BJ44" s="47" t="str">
        <f aca="false">IF($C44="","",IF(R44=0,Horiz,(1-(1+R44)^(-Horiz))/R44))</f>
        <v/>
      </c>
      <c r="BK44" s="50" t="str">
        <f aca="false">IF($C44="","",BH44*BJ44)</f>
        <v/>
      </c>
      <c r="BL44" s="53" t="str">
        <f aca="false">IF($C44="","",IFERROR(BK44/BI44,0))</f>
        <v/>
      </c>
      <c r="BM44" s="54" t="str">
        <f aca="false">IF($C44="","",BK44-BI44)</f>
        <v/>
      </c>
      <c r="BN44" s="55" t="str">
        <f aca="false">IF($C44="","",IFERROR((Horiz*BH44-BI44)/BI44,0))</f>
        <v/>
      </c>
      <c r="BO44" s="46" t="str">
        <f aca="false">IF($C44="","",IF(BH44&gt;0,BI44/BH44,"No recupera"))</f>
        <v/>
      </c>
      <c r="BP44" s="46" t="str">
        <f aca="false">IF($C44="","",IF(BH44&lt;=0,"No recupera",IF(R44=0,BI44/BH44,IFERROR(-LN(1-BI44*R44/BH44)/LN(1+R44),"No recupera"))))</f>
        <v/>
      </c>
      <c r="BQ44" s="54" t="str">
        <f aca="false">IF($C44="","",BH44-BI44/BJ44)</f>
        <v/>
      </c>
      <c r="BR44" s="51" t="str">
        <f aca="false">IF($C44="","",IF(BL44&gt;1,"ACEPTABLE","NO ACEPTABLE"))</f>
        <v/>
      </c>
      <c r="BS44" s="56" t="str">
        <f aca="false">IF($C44="","",IF(ISNUMBER(AF44),IF(AF44&lt;0,IF(LEFT(AM44,4)="APTO","RUL&lt;0 con FFS apto: verificar","RUL&lt;0"),""),""))</f>
        <v/>
      </c>
      <c r="BT44" s="54" t="str">
        <f aca="false">IF($C44="","",-$BI44+IF($R44=0,$BH44*MIN(BT$15,Horiz),$BH44*(1-(1+$R44)^(-MIN(BT$15,Horiz)))/$R44))</f>
        <v/>
      </c>
      <c r="BU44" s="54" t="str">
        <f aca="false">IF($C44="","",-$BI44+IF($R44=0,$BH44*MIN(BU$15,Horiz),$BH44*(1-(1+$R44)^(-MIN(BU$15,Horiz)))/$R44))</f>
        <v/>
      </c>
      <c r="BV44" s="54" t="str">
        <f aca="false">IF($C44="","",-$BI44+IF($R44=0,$BH44*MIN(BV$15,Horiz),$BH44*(1-(1+$R44)^(-MIN(BV$15,Horiz)))/$R44))</f>
        <v/>
      </c>
      <c r="BW44" s="54" t="str">
        <f aca="false">IF($C44="","",-$BI44+IF($R44=0,$BH44*MIN(BW$15,Horiz),$BH44*(1-(1+$R44)^(-MIN(BW$15,Horiz)))/$R44))</f>
        <v/>
      </c>
      <c r="BX44" s="54" t="str">
        <f aca="false">IF($C44="","",-$BI44+IF($R44=0,$BH44*MIN(BX$15,Horiz),$BH44*(1-(1+$R44)^(-MIN(BX$15,Horiz)))/$R44))</f>
        <v/>
      </c>
      <c r="BY44" s="54" t="str">
        <f aca="false">IF($C44="","",-$BI44+IF($R44=0,$BH44*MIN(BY$15,Horiz),$BH44*(1-(1+$R44)^(-MIN(BY$15,Horiz)))/$R44))</f>
        <v/>
      </c>
      <c r="BZ44" s="54" t="str">
        <f aca="false">IF($C44="","",-$BI44+IF($R44=0,$BH44*MIN(BZ$15,Horiz),$BH44*(1-(1+$R44)^(-MIN(BZ$15,Horiz)))/$R44))</f>
        <v/>
      </c>
      <c r="CA44" s="54" t="str">
        <f aca="false">IF($C44="","",-$BI44+IF($R44=0,$BH44*MIN(CA$15,Horiz),$BH44*(1-(1+$R44)^(-MIN(CA$15,Horiz)))/$R44))</f>
        <v/>
      </c>
      <c r="CB44" s="54" t="str">
        <f aca="false">IF($C44="","",-$BI44+IF($R44=0,$BH44*MIN(CB$15,Horiz),$BH44*(1-(1+$R44)^(-MIN(CB$15,Horiz)))/$R44))</f>
        <v/>
      </c>
      <c r="CC44" s="54" t="str">
        <f aca="false">IF($C44="","",-$BI44+IF($R44=0,$BH44*MIN(CC$15,Horiz),$BH44*(1-(1+$R44)^(-MIN(CC$15,Horiz)))/$R44))</f>
        <v/>
      </c>
      <c r="CD44" s="54" t="str">
        <f aca="false">IF($C44="","",-$BI44+IF($R44=0,$BH44*MIN(CD$15,Horiz),$BH44*(1-(1+$R44)^(-MIN(CD$15,Horiz)))/$R44))</f>
        <v/>
      </c>
      <c r="CE44" s="54" t="str">
        <f aca="false">IF($C44="","",-$BI44+IF($R44=0,$BH44*MIN(CE$15,Horiz),$BH44*(1-(1+$R44)^(-MIN(CE$15,Horiz)))/$R44))</f>
        <v/>
      </c>
      <c r="CF44" s="54" t="str">
        <f aca="false">IF($C44="","",-$BI44+IF($R44=0,$BH44*MIN(CF$15,Horiz),$BH44*(1-(1+$R44)^(-MIN(CF$15,Horiz)))/$R44))</f>
        <v/>
      </c>
      <c r="CG44" s="54" t="str">
        <f aca="false">IF($C44="","",-$BI44+IF($R44=0,$BH44*MIN(CG$15,Horiz),$BH44*(1-(1+$R44)^(-MIN(CG$15,Horiz)))/$R44))</f>
        <v/>
      </c>
      <c r="CH44" s="54" t="str">
        <f aca="false">IF($C44="","",-$BI44+IF($R44=0,$BH44*MIN(CH$15,Horiz),$BH44*(1-(1+$R44)^(-MIN(CH$15,Horiz)))/$R44))</f>
        <v/>
      </c>
      <c r="CI44" s="54" t="str">
        <f aca="false">IF($C44="","",-$BI44+IF($R44=0,$BH44*MIN(CI$15,Horiz),$BH44*(1-(1+$R44)^(-MIN(CI$15,Horiz)))/$R44))</f>
        <v/>
      </c>
    </row>
    <row r="45" customFormat="false" ht="15" hidden="false" customHeight="false" outlineLevel="0" collapsed="false">
      <c r="A45" s="34" t="n">
        <v>30</v>
      </c>
      <c r="B45" s="35"/>
      <c r="C45" s="36"/>
      <c r="D45" s="35"/>
      <c r="E45" s="35"/>
      <c r="F45" s="37"/>
      <c r="G45" s="37"/>
      <c r="H45" s="38"/>
      <c r="I45" s="39"/>
      <c r="J45" s="40"/>
      <c r="K45" s="37"/>
      <c r="L45" s="35"/>
      <c r="M45" s="36"/>
      <c r="N45" s="41"/>
      <c r="O45" s="42"/>
      <c r="P45" s="43"/>
      <c r="Q45" s="42"/>
      <c r="R45" s="44"/>
      <c r="S45" s="36"/>
      <c r="T45" s="37"/>
      <c r="U45" s="36"/>
      <c r="V45" s="36"/>
      <c r="W45" s="42"/>
      <c r="X45" s="37"/>
      <c r="Y45" s="37"/>
      <c r="Z45" s="42"/>
      <c r="AA45" s="37"/>
      <c r="AB45" s="36"/>
      <c r="AC45" s="37"/>
      <c r="AD45" s="36"/>
      <c r="AE45" s="45" t="str">
        <f aca="false">IF($C45="","",AnioEval-K45)</f>
        <v/>
      </c>
      <c r="AF45" s="46" t="str">
        <f aca="false">IF($C45="","",IF(AND(ISNUMBER(J45),I45&gt;0),(H45-J45)/(I45*SensCR)-AE45,"n/d"))</f>
        <v/>
      </c>
      <c r="AG45" s="47" t="str">
        <f aca="false">IF($C45="","",IFERROR(I45*SensCR*AE45/H45,0))</f>
        <v/>
      </c>
      <c r="AH45" s="48" t="str">
        <f aca="false">IF($C45="","",IF(INDEX(MecTipo,MATCH(L45,MecList,0))="F",IFERROR(INDEX(SusDF,MATCH(M45,SusList,0)),1),LOOKUP(AG45,ArtLim,ArtDF)))</f>
        <v/>
      </c>
      <c r="AI45" s="48" t="str">
        <f aca="false">IF($C45="","",IF(ISNUMBER(N45),N45,AH45))</f>
        <v/>
      </c>
      <c r="AJ45" s="49" t="str">
        <f aca="false">IF($C45="","",INDEX(GFFval,MATCH(D45,GFFtipo,0)))</f>
        <v/>
      </c>
      <c r="AK45" s="49" t="str">
        <f aca="false">IF($C45="","",AJ45*AI45*FMS)</f>
        <v/>
      </c>
      <c r="AL45" s="50" t="str">
        <f aca="false">IF($C45="","",AK45*O45)</f>
        <v/>
      </c>
      <c r="AM45" s="51" t="str">
        <f aca="false">IF($C45="","",IF(N(T45)=0,"No requerido",IF(AND(U45="Apto",V45="Pasa"),"APTO/PASA",IF(AND(U45="Apto con limitaciones",V45="Pasa"),"APTO CON LIMITACIONES",IF(U45="No apto","NO APTO/REPARAR","REVISAR")))))</f>
        <v/>
      </c>
      <c r="AN45" s="48" t="str">
        <f aca="false">IF($C45="","",IF(AM45="NO APTO/REPARAR",1,MAX(1,AI45*INDEX(EffRet,MATCH(S45,EffList,0))*INDEX(FFSfac,MATCH(AM45,FFSlist,0)))))</f>
        <v/>
      </c>
      <c r="AO45" s="49" t="str">
        <f aca="false">IF($C45="","",AJ45*AN45*FMS)</f>
        <v/>
      </c>
      <c r="AP45" s="50" t="str">
        <f aca="false">IF($C45="","",AO45*O45)</f>
        <v/>
      </c>
      <c r="AQ45" s="50" t="str">
        <f aca="false">IF($C45="","",IFERROR(AJ45*FMS*INDEX(DFrep,AA45)*INDEX(FCrep,MATCH(AB45,CatLet,0)),AL45))</f>
        <v/>
      </c>
      <c r="AR45" s="50" t="str">
        <f aca="false">IF($C45="","",IFERROR(AJ45*FMS*INDEX(DFrep,AC45)*INDEX(FCrep,MATCH(AD45,CatLet,0)),AP45))</f>
        <v/>
      </c>
      <c r="AS45" s="52" t="str">
        <f aca="false">IF($C45="","",(1+SUMPRODUCT(--(AI45&gt;PcutDF)))&amp;CHOOSE(1+SUMPRODUCT(--(O45&gt;CcutFC)),"A","B","C","D","E"))</f>
        <v/>
      </c>
      <c r="AT45" s="52" t="str">
        <f aca="false">IF($C45="","",(1+SUMPRODUCT(--(AN45&gt;PcutDF)))&amp;CHOOSE(1+SUMPRODUCT(--(O45&gt;CcutFC)),"A","B","C","D","E"))</f>
        <v/>
      </c>
      <c r="AU45" s="52" t="str">
        <f aca="false">IF($C45="","",IF(AND(AA45&amp;AB45=AS45,AC45&amp;AD45=AT45),"OK","REVISAR"))</f>
        <v/>
      </c>
      <c r="AV45" s="45" t="str">
        <f aca="false">IF($C45="","",IFERROR(INDEX(RAMlev,AA45,MATCH(AB45,CatLet,0)),""))</f>
        <v/>
      </c>
      <c r="AW45" s="45" t="str">
        <f aca="false">IF($C45="","",IFERROR(INDEX(RAMlev,AC45,MATCH(AD45,CatLet,0)),""))</f>
        <v/>
      </c>
      <c r="AX45" s="52" t="str">
        <f aca="false">IF($C45="","",IF(AW45="","",IF(AW45&lt;=ObjNivel,"Cumple","Excede")))</f>
        <v/>
      </c>
      <c r="AY45" s="50" t="str">
        <f aca="false">IF($C45="","",IF(Base="RAM",AQ45,AL45))</f>
        <v/>
      </c>
      <c r="AZ45" s="50" t="str">
        <f aca="false">IF($C45="","",IF(Base="RAM",AR45,AP45))</f>
        <v/>
      </c>
      <c r="BA45" s="50" t="str">
        <f aca="false">IF($C45="","",AY45-AZ45)</f>
        <v/>
      </c>
      <c r="BB45" s="50" t="str">
        <f aca="false">IF($C45="","",BA45*N(P45))</f>
        <v/>
      </c>
      <c r="BC45" s="50" t="str">
        <f aca="false">IF($C45="","",BA45-BB45)</f>
        <v/>
      </c>
      <c r="BD45" s="50" t="str">
        <f aca="false">IF($C45="","",IFERROR(Q45*(1/X45-1/Y45),0))</f>
        <v/>
      </c>
      <c r="BE45" s="50" t="str">
        <f aca="false">IF($C45="","",IFERROR(Z45*(1/X45-1/Y45),0))</f>
        <v/>
      </c>
      <c r="BF45" s="50" t="str">
        <f aca="false">IF($C45="","",IFERROR((Q45+Z45)/X45,0))</f>
        <v/>
      </c>
      <c r="BG45" s="50" t="str">
        <f aca="false">IF($C45="","",IFERROR((Q45+Z45)/Y45,0))</f>
        <v/>
      </c>
      <c r="BH45" s="50" t="str">
        <f aca="false">IF($C45="","",BA45+BD45+BE45)</f>
        <v/>
      </c>
      <c r="BI45" s="50" t="str">
        <f aca="false">IF($C45="","",Q45+INDEX(FFScost,N(T45)+1)+IF(OR(AM45="NO APTO/REPARAR",AM45="APTO CON LIMITACIONES"),N(W45),0)+RBIimpl)</f>
        <v/>
      </c>
      <c r="BJ45" s="47" t="str">
        <f aca="false">IF($C45="","",IF(R45=0,Horiz,(1-(1+R45)^(-Horiz))/R45))</f>
        <v/>
      </c>
      <c r="BK45" s="50" t="str">
        <f aca="false">IF($C45="","",BH45*BJ45)</f>
        <v/>
      </c>
      <c r="BL45" s="53" t="str">
        <f aca="false">IF($C45="","",IFERROR(BK45/BI45,0))</f>
        <v/>
      </c>
      <c r="BM45" s="54" t="str">
        <f aca="false">IF($C45="","",BK45-BI45)</f>
        <v/>
      </c>
      <c r="BN45" s="55" t="str">
        <f aca="false">IF($C45="","",IFERROR((Horiz*BH45-BI45)/BI45,0))</f>
        <v/>
      </c>
      <c r="BO45" s="46" t="str">
        <f aca="false">IF($C45="","",IF(BH45&gt;0,BI45/BH45,"No recupera"))</f>
        <v/>
      </c>
      <c r="BP45" s="46" t="str">
        <f aca="false">IF($C45="","",IF(BH45&lt;=0,"No recupera",IF(R45=0,BI45/BH45,IFERROR(-LN(1-BI45*R45/BH45)/LN(1+R45),"No recupera"))))</f>
        <v/>
      </c>
      <c r="BQ45" s="54" t="str">
        <f aca="false">IF($C45="","",BH45-BI45/BJ45)</f>
        <v/>
      </c>
      <c r="BR45" s="51" t="str">
        <f aca="false">IF($C45="","",IF(BL45&gt;1,"ACEPTABLE","NO ACEPTABLE"))</f>
        <v/>
      </c>
      <c r="BS45" s="56" t="str">
        <f aca="false">IF($C45="","",IF(ISNUMBER(AF45),IF(AF45&lt;0,IF(LEFT(AM45,4)="APTO","RUL&lt;0 con FFS apto: verificar","RUL&lt;0"),""),""))</f>
        <v/>
      </c>
      <c r="BT45" s="54" t="str">
        <f aca="false">IF($C45="","",-$BI45+IF($R45=0,$BH45*MIN(BT$15,Horiz),$BH45*(1-(1+$R45)^(-MIN(BT$15,Horiz)))/$R45))</f>
        <v/>
      </c>
      <c r="BU45" s="54" t="str">
        <f aca="false">IF($C45="","",-$BI45+IF($R45=0,$BH45*MIN(BU$15,Horiz),$BH45*(1-(1+$R45)^(-MIN(BU$15,Horiz)))/$R45))</f>
        <v/>
      </c>
      <c r="BV45" s="54" t="str">
        <f aca="false">IF($C45="","",-$BI45+IF($R45=0,$BH45*MIN(BV$15,Horiz),$BH45*(1-(1+$R45)^(-MIN(BV$15,Horiz)))/$R45))</f>
        <v/>
      </c>
      <c r="BW45" s="54" t="str">
        <f aca="false">IF($C45="","",-$BI45+IF($R45=0,$BH45*MIN(BW$15,Horiz),$BH45*(1-(1+$R45)^(-MIN(BW$15,Horiz)))/$R45))</f>
        <v/>
      </c>
      <c r="BX45" s="54" t="str">
        <f aca="false">IF($C45="","",-$BI45+IF($R45=0,$BH45*MIN(BX$15,Horiz),$BH45*(1-(1+$R45)^(-MIN(BX$15,Horiz)))/$R45))</f>
        <v/>
      </c>
      <c r="BY45" s="54" t="str">
        <f aca="false">IF($C45="","",-$BI45+IF($R45=0,$BH45*MIN(BY$15,Horiz),$BH45*(1-(1+$R45)^(-MIN(BY$15,Horiz)))/$R45))</f>
        <v/>
      </c>
      <c r="BZ45" s="54" t="str">
        <f aca="false">IF($C45="","",-$BI45+IF($R45=0,$BH45*MIN(BZ$15,Horiz),$BH45*(1-(1+$R45)^(-MIN(BZ$15,Horiz)))/$R45))</f>
        <v/>
      </c>
      <c r="CA45" s="54" t="str">
        <f aca="false">IF($C45="","",-$BI45+IF($R45=0,$BH45*MIN(CA$15,Horiz),$BH45*(1-(1+$R45)^(-MIN(CA$15,Horiz)))/$R45))</f>
        <v/>
      </c>
      <c r="CB45" s="54" t="str">
        <f aca="false">IF($C45="","",-$BI45+IF($R45=0,$BH45*MIN(CB$15,Horiz),$BH45*(1-(1+$R45)^(-MIN(CB$15,Horiz)))/$R45))</f>
        <v/>
      </c>
      <c r="CC45" s="54" t="str">
        <f aca="false">IF($C45="","",-$BI45+IF($R45=0,$BH45*MIN(CC$15,Horiz),$BH45*(1-(1+$R45)^(-MIN(CC$15,Horiz)))/$R45))</f>
        <v/>
      </c>
      <c r="CD45" s="54" t="str">
        <f aca="false">IF($C45="","",-$BI45+IF($R45=0,$BH45*MIN(CD$15,Horiz),$BH45*(1-(1+$R45)^(-MIN(CD$15,Horiz)))/$R45))</f>
        <v/>
      </c>
      <c r="CE45" s="54" t="str">
        <f aca="false">IF($C45="","",-$BI45+IF($R45=0,$BH45*MIN(CE$15,Horiz),$BH45*(1-(1+$R45)^(-MIN(CE$15,Horiz)))/$R45))</f>
        <v/>
      </c>
      <c r="CF45" s="54" t="str">
        <f aca="false">IF($C45="","",-$BI45+IF($R45=0,$BH45*MIN(CF$15,Horiz),$BH45*(1-(1+$R45)^(-MIN(CF$15,Horiz)))/$R45))</f>
        <v/>
      </c>
      <c r="CG45" s="54" t="str">
        <f aca="false">IF($C45="","",-$BI45+IF($R45=0,$BH45*MIN(CG$15,Horiz),$BH45*(1-(1+$R45)^(-MIN(CG$15,Horiz)))/$R45))</f>
        <v/>
      </c>
      <c r="CH45" s="54" t="str">
        <f aca="false">IF($C45="","",-$BI45+IF($R45=0,$BH45*MIN(CH$15,Horiz),$BH45*(1-(1+$R45)^(-MIN(CH$15,Horiz)))/$R45))</f>
        <v/>
      </c>
      <c r="CI45" s="54" t="str">
        <f aca="false">IF($C45="","",-$BI45+IF($R45=0,$BH45*MIN(CI$15,Horiz),$BH45*(1-(1+$R45)^(-MIN(CI$15,Horiz)))/$R45))</f>
        <v/>
      </c>
    </row>
    <row r="46" customFormat="false" ht="15" hidden="false" customHeight="false" outlineLevel="0" collapsed="false">
      <c r="A46" s="57" t="s">
        <v>155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8" t="n">
        <f aca="false">SUM(O16:O45)</f>
        <v>34850000</v>
      </c>
      <c r="P46" s="57"/>
      <c r="Q46" s="58" t="n">
        <f aca="false">SUM(Q16:Q45)</f>
        <v>149720</v>
      </c>
      <c r="R46" s="57"/>
      <c r="S46" s="57"/>
      <c r="T46" s="57"/>
      <c r="U46" s="57"/>
      <c r="V46" s="57"/>
      <c r="W46" s="58" t="n">
        <f aca="false">SUM(W16:W45)</f>
        <v>270000</v>
      </c>
      <c r="X46" s="57"/>
      <c r="Y46" s="57"/>
      <c r="Z46" s="58" t="n">
        <f aca="false">SUM(Z16:Z45)</f>
        <v>2320000</v>
      </c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8" t="n">
        <f aca="false">SUM(AL16:AL45)</f>
        <v>35034.0203820372</v>
      </c>
      <c r="AM46" s="57"/>
      <c r="AN46" s="57"/>
      <c r="AO46" s="57"/>
      <c r="AP46" s="58" t="n">
        <f aca="false">SUM(AP16:AP45)</f>
        <v>5113.7041834394</v>
      </c>
      <c r="AQ46" s="58" t="n">
        <f aca="false">SUM(AQ16:AQ45)</f>
        <v>27342.8118881237</v>
      </c>
      <c r="AR46" s="58" t="n">
        <f aca="false">SUM(AR16:AR45)</f>
        <v>10234.4432330072</v>
      </c>
      <c r="AS46" s="57"/>
      <c r="AT46" s="57"/>
      <c r="AU46" s="57"/>
      <c r="AV46" s="57"/>
      <c r="AW46" s="57"/>
      <c r="AX46" s="57"/>
      <c r="AY46" s="58" t="n">
        <f aca="false">SUM(AY16:AY45)</f>
        <v>35034.0203820372</v>
      </c>
      <c r="AZ46" s="58" t="n">
        <f aca="false">SUM(AZ16:AZ45)</f>
        <v>5113.7041834394</v>
      </c>
      <c r="BA46" s="58" t="n">
        <f aca="false">SUM(BA16:BA45)</f>
        <v>29920.3161985978</v>
      </c>
      <c r="BB46" s="58" t="n">
        <f aca="false">SUM(BB16:BB45)</f>
        <v>14998.9550956998</v>
      </c>
      <c r="BC46" s="58" t="n">
        <f aca="false">SUM(BC16:BC45)</f>
        <v>14921.3611028981</v>
      </c>
      <c r="BD46" s="58" t="n">
        <f aca="false">SUM(BD16:BD45)</f>
        <v>10076.5359477124</v>
      </c>
      <c r="BE46" s="58" t="n">
        <f aca="false">SUM(BE16:BE45)</f>
        <v>159189.54248366</v>
      </c>
      <c r="BF46" s="58" t="n">
        <f aca="false">SUM(BF16:BF45)</f>
        <v>435557.777777778</v>
      </c>
      <c r="BG46" s="58" t="n">
        <f aca="false">SUM(BG16:BG45)</f>
        <v>266291.699346405</v>
      </c>
      <c r="BH46" s="58" t="n">
        <f aca="false">SUM(BH16:BH45)</f>
        <v>199186.39462997</v>
      </c>
      <c r="BI46" s="58" t="n">
        <f aca="false">SUM(BI16:BI45)</f>
        <v>463190</v>
      </c>
      <c r="BJ46" s="57"/>
      <c r="BK46" s="58" t="n">
        <f aca="false">SUM(BK16:BK45)</f>
        <v>1223914.16834723</v>
      </c>
      <c r="BL46" s="59" t="n">
        <f aca="false">IFERROR(BK46/BI46,0)</f>
        <v>2.64235879087897</v>
      </c>
      <c r="BM46" s="60" t="n">
        <f aca="false">SUM(BM16:BM45)</f>
        <v>760724.168347228</v>
      </c>
      <c r="BN46" s="61" t="n">
        <f aca="false">IFERROR((Horiz*BH46-BI46)/BI46,0)</f>
        <v>3.30031724842873</v>
      </c>
      <c r="BO46" s="62" t="n">
        <f aca="false">IFERROR(BI46/BH46,"n/a")</f>
        <v>2.32540982962451</v>
      </c>
      <c r="BP46" s="57"/>
      <c r="BQ46" s="60" t="n">
        <f aca="false">SUM(BQ16:BQ45)</f>
        <v>123804.35517434</v>
      </c>
      <c r="BR46" s="57" t="str">
        <f aca="false">IF(BL46&gt;1,"ACEPTABLE","NO ACEPTABLE")</f>
        <v>ACEPTABLE</v>
      </c>
      <c r="BS46" s="57"/>
      <c r="BT46" s="60" t="n">
        <f aca="false">SUM(BT16:BT45)</f>
        <v>-463190</v>
      </c>
      <c r="BU46" s="60" t="n">
        <f aca="false">SUM(BU16:BU45)</f>
        <v>-282111.4594273</v>
      </c>
      <c r="BV46" s="60" t="n">
        <f aca="false">SUM(BV16:BV45)</f>
        <v>-117494.604361208</v>
      </c>
      <c r="BW46" s="60" t="n">
        <f aca="false">SUM(BW16:BW45)</f>
        <v>32157.0820625112</v>
      </c>
      <c r="BX46" s="60" t="n">
        <f aca="false">SUM(BX16:BX45)</f>
        <v>168204.069720438</v>
      </c>
      <c r="BY46" s="60" t="n">
        <f aca="false">SUM(BY16:BY45)</f>
        <v>291883.149409462</v>
      </c>
      <c r="BZ46" s="60" t="n">
        <f aca="false">SUM(BZ16:BZ45)</f>
        <v>404318.676399484</v>
      </c>
      <c r="CA46" s="60" t="n">
        <f aca="false">SUM(CA16:CA45)</f>
        <v>506532.791844959</v>
      </c>
      <c r="CB46" s="60" t="n">
        <f aca="false">SUM(CB16:CB45)</f>
        <v>599454.714977209</v>
      </c>
      <c r="CC46" s="60" t="n">
        <f aca="false">SUM(CC16:CC45)</f>
        <v>683929.190551981</v>
      </c>
      <c r="CD46" s="60" t="n">
        <f aca="false">SUM(CD16:CD45)</f>
        <v>760724.168347228</v>
      </c>
      <c r="CE46" s="60" t="n">
        <f aca="false">SUM(CE16:CE45)</f>
        <v>760724.168347228</v>
      </c>
      <c r="CF46" s="60" t="n">
        <f aca="false">SUM(CF16:CF45)</f>
        <v>760724.168347228</v>
      </c>
      <c r="CG46" s="60" t="n">
        <f aca="false">SUM(CG16:CG45)</f>
        <v>760724.168347228</v>
      </c>
      <c r="CH46" s="60" t="n">
        <f aca="false">SUM(CH16:CH45)</f>
        <v>760724.168347228</v>
      </c>
      <c r="CI46" s="60" t="n">
        <f aca="false">SUM(CI16:CI45)</f>
        <v>760724.168347228</v>
      </c>
    </row>
    <row r="47" customFormat="false" ht="15" hidden="false" customHeight="false" outlineLevel="0" collapsed="false">
      <c r="A47" s="63" t="s">
        <v>156</v>
      </c>
    </row>
    <row r="48" customFormat="false" ht="15" hidden="false" customHeight="false" outlineLevel="0" collapsed="false">
      <c r="B48" s="64" t="s">
        <v>157</v>
      </c>
    </row>
    <row r="49" customFormat="false" ht="15" hidden="false" customHeight="false" outlineLevel="0" collapsed="false">
      <c r="B49" s="65" t="s">
        <v>158</v>
      </c>
      <c r="J49" s="65" t="s">
        <v>159</v>
      </c>
    </row>
    <row r="50" customFormat="false" ht="15" hidden="false" customHeight="false" outlineLevel="0" collapsed="false">
      <c r="B50" s="66" t="n">
        <v>5</v>
      </c>
      <c r="C50" s="67" t="n">
        <f aca="false">COUNTIFS(AA16:AA45,5,AB16:AB45,"A")</f>
        <v>0</v>
      </c>
      <c r="D50" s="68" t="n">
        <f aca="false">COUNTIFS(AA16:AA45,5,AB16:AB45,"B")</f>
        <v>0</v>
      </c>
      <c r="E50" s="68" t="n">
        <f aca="false">COUNTIFS(AA16:AA45,5,AB16:AB45,"C")</f>
        <v>0</v>
      </c>
      <c r="F50" s="69" t="n">
        <f aca="false">COUNTIFS(AA16:AA45,5,AB16:AB45,"D")</f>
        <v>0</v>
      </c>
      <c r="G50" s="69" t="n">
        <f aca="false">COUNTIFS(AA16:AA45,5,AB16:AB45,"E")</f>
        <v>0</v>
      </c>
      <c r="J50" s="66" t="n">
        <v>5</v>
      </c>
      <c r="K50" s="67" t="n">
        <f aca="false">COUNTIFS(AC16:AC45,5,AD16:AD45,"A")</f>
        <v>0</v>
      </c>
      <c r="L50" s="68" t="n">
        <f aca="false">COUNTIFS(AC16:AC45,5,AD16:AD45,"B")</f>
        <v>0</v>
      </c>
      <c r="M50" s="68" t="n">
        <f aca="false">COUNTIFS(AC16:AC45,5,AD16:AD45,"C")</f>
        <v>0</v>
      </c>
      <c r="N50" s="69" t="n">
        <f aca="false">COUNTIFS(AC16:AC45,5,AD16:AD45,"D")</f>
        <v>0</v>
      </c>
      <c r="O50" s="69" t="n">
        <f aca="false">COUNTIFS(AC16:AC45,5,AD16:AD45,"E")</f>
        <v>0</v>
      </c>
    </row>
    <row r="51" customFormat="false" ht="15" hidden="false" customHeight="false" outlineLevel="0" collapsed="false">
      <c r="B51" s="66" t="n">
        <v>4</v>
      </c>
      <c r="C51" s="67" t="n">
        <f aca="false">COUNTIFS(AA16:AA45,4,AB16:AB45,"A")</f>
        <v>0</v>
      </c>
      <c r="D51" s="67" t="n">
        <f aca="false">COUNTIFS(AA16:AA45,4,AB16:AB45,"B")</f>
        <v>0</v>
      </c>
      <c r="E51" s="68" t="n">
        <f aca="false">COUNTIFS(AA16:AA45,4,AB16:AB45,"C")</f>
        <v>1</v>
      </c>
      <c r="F51" s="68" t="n">
        <f aca="false">COUNTIFS(AA16:AA45,4,AB16:AB45,"D")</f>
        <v>1</v>
      </c>
      <c r="G51" s="69" t="n">
        <f aca="false">COUNTIFS(AA16:AA45,4,AB16:AB45,"E")</f>
        <v>0</v>
      </c>
      <c r="J51" s="66" t="n">
        <v>4</v>
      </c>
      <c r="K51" s="67" t="n">
        <f aca="false">COUNTIFS(AC16:AC45,4,AD16:AD45,"A")</f>
        <v>0</v>
      </c>
      <c r="L51" s="67" t="n">
        <f aca="false">COUNTIFS(AC16:AC45,4,AD16:AD45,"B")</f>
        <v>0</v>
      </c>
      <c r="M51" s="68" t="n">
        <f aca="false">COUNTIFS(AC16:AC45,4,AD16:AD45,"C")</f>
        <v>0</v>
      </c>
      <c r="N51" s="68" t="n">
        <f aca="false">COUNTIFS(AC16:AC45,4,AD16:AD45,"D")</f>
        <v>1</v>
      </c>
      <c r="O51" s="69" t="n">
        <f aca="false">COUNTIFS(AC16:AC45,4,AD16:AD45,"E")</f>
        <v>0</v>
      </c>
    </row>
    <row r="52" customFormat="false" ht="15" hidden="false" customHeight="false" outlineLevel="0" collapsed="false">
      <c r="B52" s="66" t="n">
        <v>3</v>
      </c>
      <c r="C52" s="70" t="n">
        <f aca="false">COUNTIFS(AA16:AA45,3,AB16:AB45,"A")</f>
        <v>0</v>
      </c>
      <c r="D52" s="67" t="n">
        <f aca="false">COUNTIFS(AA16:AA45,3,AB16:AB45,"B")</f>
        <v>0</v>
      </c>
      <c r="E52" s="67" t="n">
        <f aca="false">COUNTIFS(AA16:AA45,3,AB16:AB45,"C")</f>
        <v>0</v>
      </c>
      <c r="F52" s="68" t="n">
        <f aca="false">COUNTIFS(AA16:AA45,3,AB16:AB45,"D")</f>
        <v>2</v>
      </c>
      <c r="G52" s="68" t="n">
        <f aca="false">COUNTIFS(AA16:AA45,3,AB16:AB45,"E")</f>
        <v>1</v>
      </c>
      <c r="J52" s="66" t="n">
        <v>3</v>
      </c>
      <c r="K52" s="70" t="n">
        <f aca="false">COUNTIFS(AC16:AC45,3,AD16:AD45,"A")</f>
        <v>0</v>
      </c>
      <c r="L52" s="67" t="n">
        <f aca="false">COUNTIFS(AC16:AC45,3,AD16:AD45,"B")</f>
        <v>0</v>
      </c>
      <c r="M52" s="67" t="n">
        <f aca="false">COUNTIFS(AC16:AC45,3,AD16:AD45,"C")</f>
        <v>0</v>
      </c>
      <c r="N52" s="68" t="n">
        <f aca="false">COUNTIFS(AC16:AC45,3,AD16:AD45,"D")</f>
        <v>0</v>
      </c>
      <c r="O52" s="68" t="n">
        <f aca="false">COUNTIFS(AC16:AC45,3,AD16:AD45,"E")</f>
        <v>0</v>
      </c>
    </row>
    <row r="53" customFormat="false" ht="15" hidden="false" customHeight="false" outlineLevel="0" collapsed="false">
      <c r="B53" s="66" t="n">
        <v>2</v>
      </c>
      <c r="C53" s="70" t="n">
        <f aca="false">COUNTIFS(AA16:AA45,2,AB16:AB45,"A")</f>
        <v>0</v>
      </c>
      <c r="D53" s="70" t="n">
        <f aca="false">COUNTIFS(AA16:AA45,2,AB16:AB45,"B")</f>
        <v>0</v>
      </c>
      <c r="E53" s="67" t="n">
        <f aca="false">COUNTIFS(AA16:AA45,2,AB16:AB45,"C")</f>
        <v>1</v>
      </c>
      <c r="F53" s="67" t="n">
        <f aca="false">COUNTIFS(AA16:AA45,2,AB16:AB45,"D")</f>
        <v>1</v>
      </c>
      <c r="G53" s="68" t="n">
        <f aca="false">COUNTIFS(AA16:AA45,2,AB16:AB45,"E")</f>
        <v>0</v>
      </c>
      <c r="J53" s="66" t="n">
        <v>2</v>
      </c>
      <c r="K53" s="70" t="n">
        <f aca="false">COUNTIFS(AC16:AC45,2,AD16:AD45,"A")</f>
        <v>0</v>
      </c>
      <c r="L53" s="70" t="n">
        <f aca="false">COUNTIFS(AC16:AC45,2,AD16:AD45,"B")</f>
        <v>0</v>
      </c>
      <c r="M53" s="67" t="n">
        <f aca="false">COUNTIFS(AC16:AC45,2,AD16:AD45,"C")</f>
        <v>1</v>
      </c>
      <c r="N53" s="67" t="n">
        <f aca="false">COUNTIFS(AC16:AC45,2,AD16:AD45,"D")</f>
        <v>1</v>
      </c>
      <c r="O53" s="68" t="n">
        <f aca="false">COUNTIFS(AC16:AC45,2,AD16:AD45,"E")</f>
        <v>0</v>
      </c>
    </row>
    <row r="54" customFormat="false" ht="15" hidden="false" customHeight="false" outlineLevel="0" collapsed="false">
      <c r="B54" s="66" t="n">
        <v>1</v>
      </c>
      <c r="C54" s="70" t="n">
        <f aca="false">COUNTIFS(AA16:AA45,1,AB16:AB45,"A")</f>
        <v>0</v>
      </c>
      <c r="D54" s="70" t="n">
        <f aca="false">COUNTIFS(AA16:AA45,1,AB16:AB45,"B")</f>
        <v>0</v>
      </c>
      <c r="E54" s="70" t="n">
        <f aca="false">COUNTIFS(AA16:AA45,1,AB16:AB45,"C")</f>
        <v>0</v>
      </c>
      <c r="F54" s="67" t="n">
        <f aca="false">COUNTIFS(AA16:AA45,1,AB16:AB45,"D")</f>
        <v>0</v>
      </c>
      <c r="G54" s="67" t="n">
        <f aca="false">COUNTIFS(AA16:AA45,1,AB16:AB45,"E")</f>
        <v>0</v>
      </c>
      <c r="J54" s="66" t="n">
        <v>1</v>
      </c>
      <c r="K54" s="70" t="n">
        <f aca="false">COUNTIFS(AC16:AC45,1,AD16:AD45,"A")</f>
        <v>0</v>
      </c>
      <c r="L54" s="70" t="n">
        <f aca="false">COUNTIFS(AC16:AC45,1,AD16:AD45,"B")</f>
        <v>0</v>
      </c>
      <c r="M54" s="70" t="n">
        <f aca="false">COUNTIFS(AC16:AC45,1,AD16:AD45,"C")</f>
        <v>1</v>
      </c>
      <c r="N54" s="67" t="n">
        <f aca="false">COUNTIFS(AC16:AC45,1,AD16:AD45,"D")</f>
        <v>2</v>
      </c>
      <c r="O54" s="67" t="n">
        <f aca="false">COUNTIFS(AC16:AC45,1,AD16:AD45,"E")</f>
        <v>1</v>
      </c>
    </row>
    <row r="55" customFormat="false" ht="15" hidden="false" customHeight="false" outlineLevel="0" collapsed="false">
      <c r="C55" s="66" t="s">
        <v>119</v>
      </c>
      <c r="D55" s="66" t="s">
        <v>129</v>
      </c>
      <c r="E55" s="66" t="s">
        <v>122</v>
      </c>
      <c r="F55" s="66" t="s">
        <v>137</v>
      </c>
      <c r="G55" s="66" t="s">
        <v>130</v>
      </c>
      <c r="K55" s="66" t="s">
        <v>119</v>
      </c>
      <c r="L55" s="66" t="s">
        <v>129</v>
      </c>
      <c r="M55" s="66" t="s">
        <v>122</v>
      </c>
      <c r="N55" s="66" t="s">
        <v>137</v>
      </c>
      <c r="O55" s="66" t="s">
        <v>130</v>
      </c>
    </row>
    <row r="56" customFormat="false" ht="15" hidden="false" customHeight="false" outlineLevel="0" collapsed="false">
      <c r="C56" s="71" t="s">
        <v>160</v>
      </c>
      <c r="K56" s="71" t="s">
        <v>160</v>
      </c>
    </row>
    <row r="57" customFormat="false" ht="15" hidden="false" customHeight="false" outlineLevel="0" collapsed="false">
      <c r="B57" s="71" t="s">
        <v>161</v>
      </c>
    </row>
    <row r="63" customFormat="false" ht="15" hidden="false" customHeight="false" outlineLevel="0" collapsed="false">
      <c r="B63" s="65" t="s">
        <v>162</v>
      </c>
      <c r="E63" s="65" t="s">
        <v>163</v>
      </c>
      <c r="H63" s="65" t="s">
        <v>164</v>
      </c>
      <c r="K63" s="65" t="s">
        <v>165</v>
      </c>
      <c r="P63" s="65" t="s">
        <v>166</v>
      </c>
      <c r="T63" s="65" t="s">
        <v>167</v>
      </c>
      <c r="W63" s="65" t="s">
        <v>168</v>
      </c>
    </row>
    <row r="64" customFormat="false" ht="15" hidden="false" customHeight="false" outlineLevel="0" collapsed="false">
      <c r="B64" s="4" t="s">
        <v>125</v>
      </c>
      <c r="C64" s="72" t="n">
        <v>3.06E-005</v>
      </c>
      <c r="E64" s="65" t="s">
        <v>169</v>
      </c>
      <c r="F64" s="65" t="s">
        <v>170</v>
      </c>
      <c r="H64" s="4" t="s">
        <v>148</v>
      </c>
      <c r="I64" s="73" t="n">
        <v>500</v>
      </c>
      <c r="K64" s="4" t="s">
        <v>118</v>
      </c>
      <c r="N64" s="4" t="s">
        <v>130</v>
      </c>
      <c r="P64" s="65" t="s">
        <v>171</v>
      </c>
      <c r="Q64" s="65" t="s">
        <v>172</v>
      </c>
      <c r="R64" s="65" t="s">
        <v>173</v>
      </c>
      <c r="T64" s="4" t="s">
        <v>174</v>
      </c>
      <c r="U64" s="73" t="n">
        <v>1</v>
      </c>
      <c r="W64" s="4" t="s">
        <v>175</v>
      </c>
      <c r="X64" s="74" t="n">
        <v>0</v>
      </c>
    </row>
    <row r="65" customFormat="false" ht="15" hidden="false" customHeight="false" outlineLevel="0" collapsed="false">
      <c r="B65" s="4" t="s">
        <v>116</v>
      </c>
      <c r="C65" s="72" t="n">
        <v>3.06E-005</v>
      </c>
      <c r="E65" s="73" t="n">
        <v>0</v>
      </c>
      <c r="F65" s="73" t="n">
        <v>1</v>
      </c>
      <c r="H65" s="4" t="s">
        <v>128</v>
      </c>
      <c r="I65" s="73" t="n">
        <v>100</v>
      </c>
      <c r="K65" s="4" t="s">
        <v>176</v>
      </c>
      <c r="N65" s="4" t="s">
        <v>130</v>
      </c>
      <c r="P65" s="4" t="s">
        <v>119</v>
      </c>
      <c r="Q65" s="75" t="n">
        <v>0.9</v>
      </c>
      <c r="R65" s="76" t="n">
        <f aca="false">1-Q65</f>
        <v>0.1</v>
      </c>
      <c r="T65" s="4" t="s">
        <v>177</v>
      </c>
      <c r="U65" s="73" t="n">
        <v>0.05</v>
      </c>
      <c r="W65" s="4" t="s">
        <v>178</v>
      </c>
      <c r="X65" s="74" t="n">
        <v>3000</v>
      </c>
    </row>
    <row r="66" customFormat="false" ht="15" hidden="false" customHeight="false" outlineLevel="0" collapsed="false">
      <c r="B66" s="4" t="s">
        <v>132</v>
      </c>
      <c r="C66" s="72" t="n">
        <v>3.06E-005</v>
      </c>
      <c r="E66" s="73" t="n">
        <v>0.05</v>
      </c>
      <c r="F66" s="73" t="n">
        <v>2</v>
      </c>
      <c r="H66" s="4" t="s">
        <v>179</v>
      </c>
      <c r="I66" s="73" t="n">
        <v>10</v>
      </c>
      <c r="K66" s="4" t="s">
        <v>154</v>
      </c>
      <c r="N66" s="4" t="s">
        <v>130</v>
      </c>
      <c r="P66" s="4" t="s">
        <v>129</v>
      </c>
      <c r="Q66" s="75" t="n">
        <v>0.7</v>
      </c>
      <c r="R66" s="76" t="n">
        <f aca="false">1-Q66</f>
        <v>0.3</v>
      </c>
      <c r="T66" s="4" t="s">
        <v>180</v>
      </c>
      <c r="U66" s="73" t="n">
        <v>0.3</v>
      </c>
      <c r="W66" s="4" t="s">
        <v>181</v>
      </c>
      <c r="X66" s="74" t="n">
        <v>15000</v>
      </c>
    </row>
    <row r="67" customFormat="false" ht="15" hidden="false" customHeight="false" outlineLevel="0" collapsed="false">
      <c r="B67" s="4" t="s">
        <v>140</v>
      </c>
      <c r="C67" s="72" t="n">
        <v>3.06E-005</v>
      </c>
      <c r="E67" s="73" t="n">
        <v>0.1</v>
      </c>
      <c r="F67" s="73" t="n">
        <v>6</v>
      </c>
      <c r="H67" s="4" t="s">
        <v>182</v>
      </c>
      <c r="I67" s="73" t="n">
        <v>1</v>
      </c>
      <c r="K67" s="4" t="s">
        <v>134</v>
      </c>
      <c r="N67" s="4" t="s">
        <v>130</v>
      </c>
      <c r="P67" s="4" t="s">
        <v>122</v>
      </c>
      <c r="Q67" s="75" t="n">
        <v>0.5</v>
      </c>
      <c r="R67" s="76" t="n">
        <f aca="false">1-Q67</f>
        <v>0.5</v>
      </c>
      <c r="T67" s="4" t="s">
        <v>183</v>
      </c>
      <c r="U67" s="73" t="n">
        <v>1</v>
      </c>
      <c r="W67" s="4" t="s">
        <v>184</v>
      </c>
      <c r="X67" s="74" t="n">
        <v>60000</v>
      </c>
    </row>
    <row r="68" customFormat="false" ht="15" hidden="false" customHeight="false" outlineLevel="0" collapsed="false">
      <c r="B68" s="4" t="s">
        <v>145</v>
      </c>
      <c r="C68" s="72" t="n">
        <v>3.06E-005</v>
      </c>
      <c r="E68" s="73" t="n">
        <v>0.15</v>
      </c>
      <c r="F68" s="73" t="n">
        <v>20</v>
      </c>
      <c r="K68" s="4" t="s">
        <v>151</v>
      </c>
      <c r="N68" s="4" t="s">
        <v>130</v>
      </c>
      <c r="P68" s="4" t="s">
        <v>137</v>
      </c>
      <c r="Q68" s="75" t="n">
        <v>0.3</v>
      </c>
      <c r="R68" s="76" t="n">
        <f aca="false">1-Q68</f>
        <v>0.7</v>
      </c>
    </row>
    <row r="69" customFormat="false" ht="15" hidden="false" customHeight="false" outlineLevel="0" collapsed="false">
      <c r="E69" s="73" t="n">
        <v>0.2</v>
      </c>
      <c r="F69" s="73" t="n">
        <v>60</v>
      </c>
      <c r="K69" s="4" t="s">
        <v>147</v>
      </c>
      <c r="N69" s="4" t="s">
        <v>185</v>
      </c>
      <c r="P69" s="4" t="s">
        <v>130</v>
      </c>
      <c r="Q69" s="75" t="n">
        <v>0.1</v>
      </c>
      <c r="R69" s="76" t="n">
        <f aca="false">1-Q69</f>
        <v>0.9</v>
      </c>
    </row>
    <row r="70" customFormat="false" ht="15" hidden="false" customHeight="false" outlineLevel="0" collapsed="false">
      <c r="E70" s="73" t="n">
        <v>0.3</v>
      </c>
      <c r="F70" s="73" t="n">
        <v>250</v>
      </c>
      <c r="K70" s="4" t="s">
        <v>186</v>
      </c>
      <c r="N70" s="4" t="s">
        <v>185</v>
      </c>
    </row>
    <row r="71" customFormat="false" ht="15" hidden="false" customHeight="false" outlineLevel="0" collapsed="false">
      <c r="E71" s="73" t="n">
        <v>0.4</v>
      </c>
      <c r="F71" s="73" t="n">
        <v>750</v>
      </c>
      <c r="K71" s="4" t="s">
        <v>127</v>
      </c>
      <c r="N71" s="4" t="s">
        <v>185</v>
      </c>
    </row>
    <row r="72" customFormat="false" ht="15" hidden="false" customHeight="false" outlineLevel="0" collapsed="false">
      <c r="E72" s="73" t="n">
        <v>0.5</v>
      </c>
      <c r="F72" s="73" t="n">
        <v>2000</v>
      </c>
    </row>
    <row r="73" customFormat="false" ht="15" hidden="false" customHeight="false" outlineLevel="0" collapsed="false">
      <c r="E73" s="73" t="n">
        <v>0.65</v>
      </c>
      <c r="F73" s="73" t="n">
        <v>5000</v>
      </c>
    </row>
    <row r="75" customFormat="false" ht="15" hidden="false" customHeight="false" outlineLevel="0" collapsed="false">
      <c r="B75" s="65" t="s">
        <v>187</v>
      </c>
      <c r="J75" s="65" t="s">
        <v>188</v>
      </c>
    </row>
    <row r="76" customFormat="false" ht="15" hidden="false" customHeight="false" outlineLevel="0" collapsed="false">
      <c r="B76" s="65" t="s">
        <v>189</v>
      </c>
      <c r="C76" s="65" t="s">
        <v>190</v>
      </c>
      <c r="D76" s="65" t="s">
        <v>191</v>
      </c>
      <c r="E76" s="65" t="s">
        <v>192</v>
      </c>
      <c r="F76" s="65" t="s">
        <v>193</v>
      </c>
      <c r="G76" s="65" t="s">
        <v>194</v>
      </c>
      <c r="K76" s="65" t="s">
        <v>119</v>
      </c>
      <c r="L76" s="65" t="s">
        <v>129</v>
      </c>
      <c r="M76" s="65" t="s">
        <v>122</v>
      </c>
      <c r="N76" s="65" t="s">
        <v>137</v>
      </c>
      <c r="O76" s="65" t="s">
        <v>130</v>
      </c>
    </row>
    <row r="77" customFormat="false" ht="15" hidden="false" customHeight="false" outlineLevel="0" collapsed="false">
      <c r="B77" s="4" t="n">
        <v>1</v>
      </c>
      <c r="C77" s="74" t="n">
        <v>2</v>
      </c>
      <c r="D77" s="74" t="n">
        <v>1</v>
      </c>
      <c r="E77" s="4" t="s">
        <v>119</v>
      </c>
      <c r="F77" s="74" t="n">
        <v>10000</v>
      </c>
      <c r="G77" s="74" t="n">
        <v>5000</v>
      </c>
      <c r="J77" s="65" t="n">
        <v>1</v>
      </c>
      <c r="K77" s="77" t="n">
        <v>1</v>
      </c>
      <c r="L77" s="77" t="n">
        <v>1</v>
      </c>
      <c r="M77" s="77" t="n">
        <v>1</v>
      </c>
      <c r="N77" s="77" t="n">
        <v>2</v>
      </c>
      <c r="O77" s="77" t="n">
        <v>2</v>
      </c>
    </row>
    <row r="78" customFormat="false" ht="15" hidden="false" customHeight="false" outlineLevel="0" collapsed="false">
      <c r="B78" s="4" t="n">
        <v>2</v>
      </c>
      <c r="C78" s="74" t="n">
        <v>20</v>
      </c>
      <c r="D78" s="74" t="n">
        <v>6</v>
      </c>
      <c r="E78" s="4" t="s">
        <v>129</v>
      </c>
      <c r="F78" s="74" t="n">
        <v>100000</v>
      </c>
      <c r="G78" s="74" t="n">
        <v>31600</v>
      </c>
      <c r="J78" s="65" t="n">
        <v>2</v>
      </c>
      <c r="K78" s="77" t="n">
        <v>1</v>
      </c>
      <c r="L78" s="77" t="n">
        <v>1</v>
      </c>
      <c r="M78" s="77" t="n">
        <v>2</v>
      </c>
      <c r="N78" s="77" t="n">
        <v>2</v>
      </c>
      <c r="O78" s="77" t="n">
        <v>3</v>
      </c>
    </row>
    <row r="79" customFormat="false" ht="15" hidden="false" customHeight="false" outlineLevel="0" collapsed="false">
      <c r="B79" s="4" t="n">
        <v>3</v>
      </c>
      <c r="C79" s="74" t="n">
        <v>100</v>
      </c>
      <c r="D79" s="74" t="n">
        <v>45</v>
      </c>
      <c r="E79" s="4" t="s">
        <v>122</v>
      </c>
      <c r="F79" s="74" t="n">
        <v>1000000</v>
      </c>
      <c r="G79" s="74" t="n">
        <v>316000</v>
      </c>
      <c r="J79" s="65" t="n">
        <v>3</v>
      </c>
      <c r="K79" s="77" t="n">
        <v>1</v>
      </c>
      <c r="L79" s="77" t="n">
        <v>2</v>
      </c>
      <c r="M79" s="77" t="n">
        <v>2</v>
      </c>
      <c r="N79" s="77" t="n">
        <v>3</v>
      </c>
      <c r="O79" s="77" t="n">
        <v>3</v>
      </c>
    </row>
    <row r="80" customFormat="false" ht="15" hidden="false" customHeight="false" outlineLevel="0" collapsed="false">
      <c r="B80" s="4" t="n">
        <v>4</v>
      </c>
      <c r="C80" s="74" t="n">
        <v>1000</v>
      </c>
      <c r="D80" s="74" t="n">
        <v>316</v>
      </c>
      <c r="E80" s="4" t="s">
        <v>137</v>
      </c>
      <c r="F80" s="74" t="n">
        <v>10000000</v>
      </c>
      <c r="G80" s="74" t="n">
        <v>3160000</v>
      </c>
      <c r="J80" s="65" t="n">
        <v>4</v>
      </c>
      <c r="K80" s="77" t="n">
        <v>2</v>
      </c>
      <c r="L80" s="77" t="n">
        <v>2</v>
      </c>
      <c r="M80" s="77" t="n">
        <v>3</v>
      </c>
      <c r="N80" s="77" t="n">
        <v>3</v>
      </c>
      <c r="O80" s="77" t="n">
        <v>4</v>
      </c>
    </row>
    <row r="81" customFormat="false" ht="15" hidden="false" customHeight="false" outlineLevel="0" collapsed="false">
      <c r="B81" s="4" t="n">
        <v>5</v>
      </c>
      <c r="C81" s="74" t="s">
        <v>195</v>
      </c>
      <c r="D81" s="74" t="n">
        <v>2000</v>
      </c>
      <c r="E81" s="4" t="s">
        <v>130</v>
      </c>
      <c r="F81" s="74" t="s">
        <v>195</v>
      </c>
      <c r="G81" s="74" t="n">
        <v>31600000</v>
      </c>
      <c r="J81" s="65" t="n">
        <v>5</v>
      </c>
      <c r="K81" s="77" t="n">
        <v>2</v>
      </c>
      <c r="L81" s="77" t="n">
        <v>3</v>
      </c>
      <c r="M81" s="77" t="n">
        <v>3</v>
      </c>
      <c r="N81" s="77" t="n">
        <v>4</v>
      </c>
      <c r="O81" s="77" t="n">
        <v>4</v>
      </c>
    </row>
    <row r="84" customFormat="false" ht="15" hidden="false" customHeight="false" outlineLevel="0" collapsed="false">
      <c r="B84" s="64" t="s">
        <v>196</v>
      </c>
    </row>
    <row r="85" customFormat="false" ht="15" hidden="false" customHeight="false" outlineLevel="0" collapsed="false">
      <c r="B85" s="4" t="s">
        <v>197</v>
      </c>
      <c r="F85" s="78" t="n">
        <v>60</v>
      </c>
      <c r="G85" s="6" t="s">
        <v>198</v>
      </c>
      <c r="H85" s="79" t="s">
        <v>199</v>
      </c>
    </row>
    <row r="86" customFormat="false" ht="15" hidden="false" customHeight="false" outlineLevel="0" collapsed="false">
      <c r="B86" s="4" t="s">
        <v>200</v>
      </c>
      <c r="F86" s="78" t="n">
        <v>60</v>
      </c>
      <c r="G86" s="6" t="s">
        <v>198</v>
      </c>
      <c r="H86" s="79" t="s">
        <v>201</v>
      </c>
    </row>
    <row r="87" customFormat="false" ht="15" hidden="false" customHeight="false" outlineLevel="0" collapsed="false">
      <c r="B87" s="4" t="s">
        <v>202</v>
      </c>
      <c r="F87" s="78" t="n">
        <v>4000</v>
      </c>
      <c r="G87" s="6" t="s">
        <v>203</v>
      </c>
      <c r="H87" s="79" t="s">
        <v>204</v>
      </c>
    </row>
    <row r="88" customFormat="false" ht="15" hidden="false" customHeight="false" outlineLevel="0" collapsed="false">
      <c r="B88" s="4" t="s">
        <v>205</v>
      </c>
      <c r="F88" s="78" t="n">
        <v>0.1</v>
      </c>
      <c r="G88" s="6" t="s">
        <v>206</v>
      </c>
      <c r="H88" s="79" t="s">
        <v>207</v>
      </c>
    </row>
    <row r="89" customFormat="false" ht="15" hidden="false" customHeight="false" outlineLevel="0" collapsed="false">
      <c r="B89" s="4" t="s">
        <v>208</v>
      </c>
      <c r="F89" s="78" t="n">
        <v>10000</v>
      </c>
      <c r="G89" s="6" t="s">
        <v>209</v>
      </c>
      <c r="H89" s="79" t="s">
        <v>210</v>
      </c>
    </row>
    <row r="90" customFormat="false" ht="15" hidden="false" customHeight="false" outlineLevel="0" collapsed="false">
      <c r="B90" s="4" t="s">
        <v>211</v>
      </c>
      <c r="F90" s="78" t="n">
        <v>0.25</v>
      </c>
      <c r="G90" s="6" t="s">
        <v>212</v>
      </c>
      <c r="H90" s="79" t="s">
        <v>213</v>
      </c>
    </row>
    <row r="91" customFormat="false" ht="15" hidden="false" customHeight="false" outlineLevel="0" collapsed="false">
      <c r="B91" s="4" t="s">
        <v>214</v>
      </c>
      <c r="F91" s="78" t="n">
        <v>3</v>
      </c>
      <c r="G91" s="6" t="s">
        <v>215</v>
      </c>
      <c r="H91" s="79" t="s">
        <v>216</v>
      </c>
    </row>
    <row r="92" customFormat="false" ht="15" hidden="false" customHeight="false" outlineLevel="0" collapsed="false">
      <c r="B92" s="4" t="s">
        <v>217</v>
      </c>
      <c r="F92" s="78" t="n">
        <v>20000</v>
      </c>
      <c r="G92" s="6" t="s">
        <v>209</v>
      </c>
      <c r="H92" s="79" t="s">
        <v>213</v>
      </c>
    </row>
    <row r="93" customFormat="false" ht="15" hidden="false" customHeight="false" outlineLevel="0" collapsed="false">
      <c r="B93" s="4" t="s">
        <v>218</v>
      </c>
      <c r="F93" s="78" t="n">
        <v>0.1</v>
      </c>
      <c r="G93" s="6" t="s">
        <v>212</v>
      </c>
      <c r="H93" s="79" t="s">
        <v>219</v>
      </c>
    </row>
    <row r="94" customFormat="false" ht="15" hidden="false" customHeight="false" outlineLevel="0" collapsed="false">
      <c r="B94" s="4" t="s">
        <v>220</v>
      </c>
      <c r="F94" s="50" t="n">
        <f aca="false">$F$85*$F$87</f>
        <v>240000</v>
      </c>
    </row>
    <row r="95" customFormat="false" ht="15" hidden="false" customHeight="false" outlineLevel="0" collapsed="false">
      <c r="B95" s="4" t="s">
        <v>221</v>
      </c>
      <c r="F95" s="50" t="n">
        <f aca="false">$F$90*F94</f>
        <v>60000</v>
      </c>
    </row>
    <row r="96" customFormat="false" ht="15" hidden="false" customHeight="false" outlineLevel="0" collapsed="false">
      <c r="B96" s="4" t="s">
        <v>222</v>
      </c>
      <c r="F96" s="50" t="n">
        <f aca="false">$F$91*ProdDia</f>
        <v>120000</v>
      </c>
    </row>
    <row r="97" customFormat="false" ht="15" hidden="false" customHeight="false" outlineLevel="0" collapsed="false">
      <c r="B97" s="4" t="s">
        <v>223</v>
      </c>
      <c r="F97" s="50" t="n">
        <f aca="false">$F$86*$F$88*$F$89</f>
        <v>60000</v>
      </c>
    </row>
    <row r="98" customFormat="false" ht="15" hidden="false" customHeight="false" outlineLevel="0" collapsed="false">
      <c r="B98" s="4" t="s">
        <v>224</v>
      </c>
      <c r="F98" s="50" t="n">
        <f aca="false">$F$92</f>
        <v>20000</v>
      </c>
    </row>
    <row r="99" customFormat="false" ht="15" hidden="false" customHeight="false" outlineLevel="0" collapsed="false">
      <c r="B99" s="65" t="s">
        <v>225</v>
      </c>
      <c r="F99" s="80" t="n">
        <f aca="false">SUM(F94:F98)</f>
        <v>500000</v>
      </c>
    </row>
    <row r="100" customFormat="false" ht="15" hidden="false" customHeight="false" outlineLevel="0" collapsed="false">
      <c r="B100" s="65" t="s">
        <v>226</v>
      </c>
      <c r="F100" s="80" t="n">
        <f aca="false">F99*(1-$F$93)</f>
        <v>450000</v>
      </c>
    </row>
    <row r="101" customFormat="false" ht="15" hidden="false" customHeight="false" outlineLevel="0" collapsed="false">
      <c r="B101" s="4" t="s">
        <v>227</v>
      </c>
      <c r="F101" s="81" t="n">
        <f aca="false">AK16*$F$86*$F$88</f>
        <v>0.0145148544601729</v>
      </c>
    </row>
    <row r="102" customFormat="false" ht="15" hidden="false" customHeight="false" outlineLevel="0" collapsed="false">
      <c r="B102" s="4" t="s">
        <v>228</v>
      </c>
      <c r="F102" s="50" t="n">
        <f aca="false">F101*$F$89</f>
        <v>145.148544601729</v>
      </c>
    </row>
    <row r="103" customFormat="false" ht="15" hidden="false" customHeight="false" outlineLevel="0" collapsed="false">
      <c r="B103" s="4" t="s">
        <v>229</v>
      </c>
      <c r="F103" s="50" t="n">
        <f aca="false">BH16</f>
        <v>1643.69388990739</v>
      </c>
    </row>
    <row r="104" customFormat="false" ht="15" hidden="false" customHeight="false" outlineLevel="0" collapsed="false">
      <c r="B104" s="64" t="s">
        <v>230</v>
      </c>
    </row>
    <row r="105" customFormat="false" ht="15" hidden="false" customHeight="false" outlineLevel="0" collapsed="false">
      <c r="B105" s="4" t="s">
        <v>231</v>
      </c>
      <c r="F105" s="82" t="n">
        <f aca="false">CapBpd*MargenBbl</f>
        <v>2000000</v>
      </c>
    </row>
    <row r="106" customFormat="false" ht="15" hidden="false" customHeight="false" outlineLevel="0" collapsed="false">
      <c r="B106" s="4" t="s">
        <v>232</v>
      </c>
      <c r="F106" s="43" t="n">
        <v>0.2</v>
      </c>
    </row>
    <row r="107" customFormat="false" ht="15" hidden="false" customHeight="false" outlineLevel="0" collapsed="false">
      <c r="B107" s="65" t="s">
        <v>233</v>
      </c>
      <c r="F107" s="82" t="n">
        <f aca="false">F106*F105</f>
        <v>400000</v>
      </c>
    </row>
    <row r="108" customFormat="false" ht="15" hidden="false" customHeight="false" outlineLevel="0" collapsed="false">
      <c r="B108" s="71" t="s">
        <v>234</v>
      </c>
    </row>
    <row r="109" customFormat="false" ht="15" hidden="false" customHeight="false" outlineLevel="0" collapsed="false">
      <c r="B109" s="71" t="s">
        <v>235</v>
      </c>
    </row>
    <row r="113" customFormat="false" ht="15" hidden="false" customHeight="false" outlineLevel="0" collapsed="false">
      <c r="B113" s="64" t="s">
        <v>236</v>
      </c>
    </row>
    <row r="114" customFormat="false" ht="15" hidden="false" customHeight="false" outlineLevel="0" collapsed="false">
      <c r="B114" s="65" t="s">
        <v>237</v>
      </c>
      <c r="C114" s="65" t="s">
        <v>238</v>
      </c>
      <c r="D114" s="65" t="s">
        <v>106</v>
      </c>
      <c r="E114" s="65" t="s">
        <v>108</v>
      </c>
      <c r="F114" s="65" t="s">
        <v>107</v>
      </c>
    </row>
    <row r="115" customFormat="false" ht="15" hidden="false" customHeight="false" outlineLevel="0" collapsed="false">
      <c r="B115" s="43" t="n">
        <v>0.06</v>
      </c>
      <c r="C115" s="83" t="n">
        <f aca="false">(1-(1+B115)^(-Horiz))/B115</f>
        <v>7.3600870514147</v>
      </c>
      <c r="D115" s="82" t="n">
        <f aca="false">C115*BH46</f>
        <v>1466029.20393402</v>
      </c>
      <c r="E115" s="84" t="n">
        <f aca="false">D115-BI46</f>
        <v>1002839.20393402</v>
      </c>
      <c r="F115" s="85" t="n">
        <f aca="false">IFERROR(D115/BI46,0)</f>
        <v>3.16507092971356</v>
      </c>
    </row>
    <row r="116" customFormat="false" ht="15" hidden="false" customHeight="false" outlineLevel="0" collapsed="false">
      <c r="B116" s="43" t="n">
        <v>0.08</v>
      </c>
      <c r="C116" s="83" t="n">
        <f aca="false">(1-(1+B116)^(-Horiz))/B116</f>
        <v>6.71008139894145</v>
      </c>
      <c r="D116" s="82" t="n">
        <f aca="false">C116*BH46</f>
        <v>1336556.92152877</v>
      </c>
      <c r="E116" s="84" t="n">
        <f aca="false">D116-BI46</f>
        <v>873366.921528775</v>
      </c>
      <c r="F116" s="85" t="n">
        <f aca="false">IFERROR(D116/BI46,0)</f>
        <v>2.88554787782287</v>
      </c>
    </row>
    <row r="117" customFormat="false" ht="15" hidden="false" customHeight="false" outlineLevel="0" collapsed="false">
      <c r="B117" s="43" t="n">
        <v>0.1</v>
      </c>
      <c r="C117" s="83" t="n">
        <f aca="false">(1-(1+B117)^(-Horiz))/B117</f>
        <v>6.14456710570469</v>
      </c>
      <c r="D117" s="82" t="n">
        <f aca="false">C117*BH46</f>
        <v>1223914.16834723</v>
      </c>
      <c r="E117" s="84" t="n">
        <f aca="false">D117-BI46</f>
        <v>760724.168347228</v>
      </c>
      <c r="F117" s="85" t="n">
        <f aca="false">IFERROR(D117/BI46,0)</f>
        <v>2.64235879087897</v>
      </c>
    </row>
    <row r="118" customFormat="false" ht="15" hidden="false" customHeight="false" outlineLevel="0" collapsed="false">
      <c r="B118" s="43" t="n">
        <v>0.12</v>
      </c>
      <c r="C118" s="83" t="n">
        <f aca="false">(1-(1+B118)^(-Horiz))/B118</f>
        <v>5.65022302841087</v>
      </c>
      <c r="D118" s="82" t="n">
        <f aca="false">C118*BH46</f>
        <v>1125447.55388439</v>
      </c>
      <c r="E118" s="84" t="n">
        <f aca="false">D118-BI46</f>
        <v>662257.553884393</v>
      </c>
      <c r="F118" s="85" t="n">
        <f aca="false">IFERROR(D118/BI46,0)</f>
        <v>2.42977515465445</v>
      </c>
    </row>
    <row r="119" customFormat="false" ht="15" hidden="false" customHeight="false" outlineLevel="0" collapsed="false">
      <c r="B119" s="43" t="n">
        <v>0.15</v>
      </c>
      <c r="C119" s="83" t="n">
        <f aca="false">(1-(1+B119)^(-Horiz))/B119</f>
        <v>5.01876862585423</v>
      </c>
      <c r="D119" s="82" t="n">
        <f aca="false">C119*BH46</f>
        <v>999670.428065914</v>
      </c>
      <c r="E119" s="84" t="n">
        <f aca="false">D119-BI46</f>
        <v>536480.428065914</v>
      </c>
      <c r="F119" s="85" t="n">
        <f aca="false">IFERROR(D119/BI46,0)</f>
        <v>2.15822972876339</v>
      </c>
    </row>
    <row r="120" customFormat="false" ht="15" hidden="false" customHeight="false" outlineLevel="0" collapsed="false">
      <c r="B120" s="43" t="n">
        <v>0.2</v>
      </c>
      <c r="C120" s="83" t="n">
        <f aca="false">(1-(1+B120)^(-Horiz))/B120</f>
        <v>4.19247208555077</v>
      </c>
      <c r="D120" s="82" t="n">
        <f aca="false">C120*BH46</f>
        <v>835083.399307651</v>
      </c>
      <c r="E120" s="84" t="n">
        <f aca="false">D120-BI46</f>
        <v>371893.399307651</v>
      </c>
      <c r="F120" s="85" t="n">
        <f aca="false">IFERROR(D120/BI46,0)</f>
        <v>1.802896002305</v>
      </c>
    </row>
    <row r="122" customFormat="false" ht="15" hidden="false" customHeight="false" outlineLevel="0" collapsed="false">
      <c r="B122" s="64" t="s">
        <v>239</v>
      </c>
    </row>
    <row r="123" customFormat="false" ht="15" hidden="false" customHeight="false" outlineLevel="0" collapsed="false">
      <c r="B123" s="65" t="s">
        <v>45</v>
      </c>
      <c r="C123" s="65" t="s">
        <v>240</v>
      </c>
      <c r="D123" s="65" t="s">
        <v>241</v>
      </c>
      <c r="E123" s="65" t="s">
        <v>242</v>
      </c>
      <c r="F123" s="65" t="s">
        <v>243</v>
      </c>
      <c r="G123" s="65" t="s">
        <v>244</v>
      </c>
      <c r="H123" s="65" t="s">
        <v>245</v>
      </c>
      <c r="I123" s="65" t="s">
        <v>246</v>
      </c>
      <c r="J123" s="65" t="s">
        <v>107</v>
      </c>
    </row>
    <row r="124" customFormat="false" ht="15" hidden="false" customHeight="false" outlineLevel="0" collapsed="false">
      <c r="B124" s="78" t="s">
        <v>114</v>
      </c>
      <c r="C124" s="86" t="n">
        <f aca="false">COUNTIF(B16:B45,B124)</f>
        <v>3</v>
      </c>
      <c r="D124" s="82" t="n">
        <f aca="false">SUMIF(B16:B45,$B124,AY16:AY45)</f>
        <v>6120.43029737289</v>
      </c>
      <c r="E124" s="82" t="n">
        <f aca="false">SUMIF(B16:B45,$B124,AZ16:AZ45)</f>
        <v>140.915045384178</v>
      </c>
      <c r="F124" s="82" t="n">
        <f aca="false">SUMIF(B16:B45,$B124,BA16:BA45)</f>
        <v>5979.51525198871</v>
      </c>
      <c r="G124" s="82" t="n">
        <f aca="false">SUMIF(B16:B45,$B124,BH16:BH45)</f>
        <v>59656.7047944724</v>
      </c>
      <c r="H124" s="82" t="n">
        <f aca="false">SUMIF(B16:B45,$B124,BI16:BI45)</f>
        <v>318350</v>
      </c>
      <c r="I124" s="82" t="n">
        <f aca="false">SUMIF(B16:B45,$B124,BK16:BK45)</f>
        <v>366564.62591485</v>
      </c>
      <c r="J124" s="85" t="n">
        <f aca="false">IFERROR(I124/H124,0)</f>
        <v>1.15145162844307</v>
      </c>
    </row>
    <row r="125" customFormat="false" ht="15" hidden="false" customHeight="false" outlineLevel="0" collapsed="false">
      <c r="B125" s="78" t="s">
        <v>123</v>
      </c>
      <c r="C125" s="86" t="n">
        <f aca="false">COUNTIF(B16:B45,B125)</f>
        <v>2</v>
      </c>
      <c r="D125" s="82" t="n">
        <f aca="false">SUMIF(B16:B45,$B125,AY16:AY45)</f>
        <v>11786.0618216604</v>
      </c>
      <c r="E125" s="82" t="n">
        <f aca="false">SUMIF(B16:B45,$B125,AZ16:AZ45)</f>
        <v>226.431729578697</v>
      </c>
      <c r="F125" s="82" t="n">
        <f aca="false">SUMIF(B16:B45,$B125,BA16:BA45)</f>
        <v>11559.6300920817</v>
      </c>
      <c r="G125" s="82" t="n">
        <f aca="false">SUMIF(B16:B45,$B125,BH16:BH45)</f>
        <v>86926.2967587483</v>
      </c>
      <c r="H125" s="82" t="n">
        <f aca="false">SUMIF(B16:B45,$B125,BI16:BI45)</f>
        <v>66420</v>
      </c>
      <c r="I125" s="82" t="n">
        <f aca="false">SUMIF(B16:B45,$B125,BK16:BK45)</f>
        <v>534124.463684529</v>
      </c>
      <c r="J125" s="85" t="n">
        <f aca="false">IFERROR(I125/H125,0)</f>
        <v>8.04162095279327</v>
      </c>
    </row>
    <row r="126" customFormat="false" ht="15" hidden="false" customHeight="false" outlineLevel="0" collapsed="false">
      <c r="B126" s="78" t="s">
        <v>138</v>
      </c>
      <c r="C126" s="86" t="n">
        <f aca="false">COUNTIF(B16:B45,B126)</f>
        <v>1</v>
      </c>
      <c r="D126" s="82" t="n">
        <f aca="false">SUMIF(B16:B45,$B126,AY16:AY45)</f>
        <v>2612.67380283112</v>
      </c>
      <c r="E126" s="82" t="n">
        <f aca="false">SUMIF(B16:B45,$B126,AZ16:AZ45)</f>
        <v>391.901070424667</v>
      </c>
      <c r="F126" s="82" t="n">
        <f aca="false">SUMIF(B16:B45,$B126,BA16:BA45)</f>
        <v>2220.77273240645</v>
      </c>
      <c r="G126" s="82" t="n">
        <f aca="false">SUMIF(B16:B45,$B126,BH16:BH45)</f>
        <v>24554.1060657398</v>
      </c>
      <c r="H126" s="82" t="n">
        <f aca="false">SUMIF(B16:B45,$B126,BI16:BI45)</f>
        <v>41210</v>
      </c>
      <c r="I126" s="82" t="n">
        <f aca="false">SUMIF(B16:B45,$B126,BK16:BK45)</f>
        <v>150874.352441529</v>
      </c>
      <c r="J126" s="85" t="n">
        <f aca="false">IFERROR(I126/H126,0)</f>
        <v>3.66111022668111</v>
      </c>
    </row>
    <row r="127" customFormat="false" ht="15" hidden="false" customHeight="false" outlineLevel="0" collapsed="false">
      <c r="B127" s="78" t="s">
        <v>143</v>
      </c>
      <c r="C127" s="86" t="n">
        <f aca="false">COUNTIF(B16:B45,B127)</f>
        <v>1</v>
      </c>
      <c r="D127" s="82" t="n">
        <f aca="false">SUMIF(B16:B45,$B127,AY16:AY45)</f>
        <v>14514.8544601729</v>
      </c>
      <c r="E127" s="82" t="n">
        <f aca="false">SUMIF(B16:B45,$B127,AZ16:AZ45)</f>
        <v>4354.45633805186</v>
      </c>
      <c r="F127" s="82" t="n">
        <f aca="false">SUMIF(B16:B45,$B127,BA16:BA45)</f>
        <v>10160.398122121</v>
      </c>
      <c r="G127" s="82" t="n">
        <f aca="false">SUMIF(B16:B45,$B127,BH16:BH45)</f>
        <v>28049.2870110099</v>
      </c>
      <c r="H127" s="82" t="n">
        <f aca="false">SUMIF(B16:B45,$B127,BI16:BI45)</f>
        <v>37210</v>
      </c>
      <c r="I127" s="82" t="n">
        <f aca="false">SUMIF(B16:B45,$B127,BK16:BK45)</f>
        <v>172350.726306321</v>
      </c>
      <c r="J127" s="85" t="n">
        <f aca="false">IFERROR(I127/H127,0)</f>
        <v>4.63183892250258</v>
      </c>
    </row>
    <row r="128" customFormat="false" ht="15" hidden="false" customHeight="false" outlineLevel="0" collapsed="false">
      <c r="B128" s="78" t="s">
        <v>247</v>
      </c>
      <c r="C128" s="86" t="n">
        <f aca="false">COUNTIF(B16:B45,B128)</f>
        <v>0</v>
      </c>
      <c r="D128" s="82" t="n">
        <f aca="false">SUMIF(B16:B45,$B128,AY16:AY45)</f>
        <v>0</v>
      </c>
      <c r="E128" s="82" t="n">
        <f aca="false">SUMIF(B16:B45,$B128,AZ16:AZ45)</f>
        <v>0</v>
      </c>
      <c r="F128" s="82" t="n">
        <f aca="false">SUMIF(B16:B45,$B128,BA16:BA45)</f>
        <v>0</v>
      </c>
      <c r="G128" s="82" t="n">
        <f aca="false">SUMIF(B16:B45,$B128,BH16:BH45)</f>
        <v>0</v>
      </c>
      <c r="H128" s="82" t="n">
        <f aca="false">SUMIF(B16:B45,$B128,BI16:BI45)</f>
        <v>0</v>
      </c>
      <c r="I128" s="82" t="n">
        <f aca="false">SUMIF(B16:B45,$B128,BK16:BK45)</f>
        <v>0</v>
      </c>
      <c r="J128" s="85" t="n">
        <f aca="false">IFERROR(I128/H128,0)</f>
        <v>0</v>
      </c>
    </row>
  </sheetData>
  <dataValidations count="12">
    <dataValidation allowBlank="false" errorStyle="stop" operator="between" showDropDown="false" showErrorMessage="false" showInputMessage="false" sqref="E8" type="list">
      <formula1>"CUANT,RAM"</formula1>
      <formula2>0</formula2>
    </dataValidation>
    <dataValidation allowBlank="true" errorStyle="stop" operator="between" showDropDown="false" showErrorMessage="false" showInputMessage="false" sqref="D16:D45" type="list">
      <formula1>"Reactor,Intercambiador T&amp;C,Torre,Horno (proxy),Drum"</formula1>
      <formula2>0</formula2>
    </dataValidation>
    <dataValidation allowBlank="true" errorStyle="stop" operator="between" showDropDown="false" showErrorMessage="false" showInputMessage="false" sqref="L16:L45" type="list">
      <formula1>"Adelgazamiento,Corrosión externa,CUI,Sulfidación,Corrosión nafténica,HIC/SOHIC,SCC,HTHA"</formula1>
      <formula2>0</formula2>
    </dataValidation>
    <dataValidation allowBlank="true" errorStyle="stop" operator="between" showDropDown="false" showErrorMessage="false" showInputMessage="false" sqref="M16:M45" type="list">
      <formula1>"Alta,Media,Baja,Ninguna"</formula1>
      <formula2>0</formula2>
    </dataValidation>
    <dataValidation allowBlank="true" errorStyle="stop" operator="between" showDropDown="false" showErrorMessage="false" showInputMessage="false" sqref="S16:S45" type="list">
      <formula1>"A,B,C,D,E"</formula1>
      <formula2>0</formula2>
    </dataValidation>
    <dataValidation allowBlank="true" errorStyle="stop" operator="between" showDropDown="false" showErrorMessage="false" showInputMessage="false" sqref="T16:T45" type="list">
      <formula1>"0,1,2,3"</formula1>
      <formula2>0</formula2>
    </dataValidation>
    <dataValidation allowBlank="true" errorStyle="stop" operator="between" showDropDown="false" showErrorMessage="false" showInputMessage="false" sqref="U16:U45" type="list">
      <formula1>"Apto,Apto con limitaciones,No apto"</formula1>
      <formula2>0</formula2>
    </dataValidation>
    <dataValidation allowBlank="true" errorStyle="stop" operator="between" showDropDown="false" showErrorMessage="false" showInputMessage="false" sqref="V16:V45" type="list">
      <formula1>"Pasa,No pasa"</formula1>
      <formula2>0</formula2>
    </dataValidation>
    <dataValidation allowBlank="true" errorStyle="stop" operator="between" showDropDown="false" showErrorMessage="false" showInputMessage="false" sqref="AA16:AA45" type="list">
      <formula1>"1,2,3,4,5"</formula1>
      <formula2>0</formula2>
    </dataValidation>
    <dataValidation allowBlank="true" errorStyle="stop" operator="between" showDropDown="false" showErrorMessage="false" showInputMessage="false" sqref="AC16:AC45" type="list">
      <formula1>"1,2,3,4,5"</formula1>
      <formula2>0</formula2>
    </dataValidation>
    <dataValidation allowBlank="true" errorStyle="stop" operator="between" showDropDown="false" showErrorMessage="false" showInputMessage="false" sqref="AB16:AB45" type="list">
      <formula1>"A,B,C,D,E"</formula1>
      <formula2>0</formula2>
    </dataValidation>
    <dataValidation allowBlank="true" errorStyle="stop" operator="between" showDropDown="false" showErrorMessage="false" showInputMessage="false" sqref="AD16:AD45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2026-09-30T02:10:44Z</dcterms:created>
  <dc:creator>openpyxl</dc:creator>
  <dc:description/>
  <dc:language>en-US</dc:language>
  <cp:lastModifiedBy/>
  <dcterms:modified xsi:type="dcterms:W3CDTF">2026-09-30T02:10:45Z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