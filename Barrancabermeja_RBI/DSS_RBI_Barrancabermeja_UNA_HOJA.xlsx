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SS_RBI" sheetId="1" state="visible" r:id="rId3"/>
  </sheets>
  <definedNames>
    <definedName function="false" hidden="false" name="base_year" vbProcedure="false">DSS_RBI!$B$27</definedName>
    <definedName function="false" hidden="false" name="bga_avg" vbProcedure="false">DSS_RBI!$B$492</definedName>
    <definedName function="false" hidden="false" name="bga_cap" vbProcedure="false">DSS_RBI!$B$490</definedName>
    <definedName function="false" hidden="false" name="bga_un" vbProcedure="false">DSS_RBI!$B$491</definedName>
    <definedName function="false" hidden="false" name="bga_val" vbProcedure="false">DSS_RBI!$B$493</definedName>
    <definedName function="false" hidden="false" name="eqtab" vbProcedure="false">DSS_RBI!$A$84:$K$85</definedName>
    <definedName function="false" hidden="false" name="ex_affa" vbProcedure="false">DSS_RBI!$B$402</definedName>
    <definedName function="false" hidden="false" name="ex_arep" vbProcedure="false">DSS_RBI!$B$460</definedName>
    <definedName function="false" hidden="false" name="ex_cacmd" vbProcedure="false">DSS_RBI!$B$399</definedName>
    <definedName function="false" hidden="false" name="ex_cainj" vbProcedure="false">DSS_RBI!$B$400</definedName>
    <definedName function="false" hidden="false" name="ex_ccat" vbProcedure="false">DSS_RBI!$B$419</definedName>
    <definedName function="false" hidden="false" name="ex_cea_nom" vbProcedure="false">DSS_RBI!$C$449</definedName>
    <definedName function="false" hidden="false" name="ex_cffs" vbProcedure="false">DSS_RBI!$B$462</definedName>
    <definedName function="false" hidden="false" name="ex_cinj" vbProcedure="false">DSS_RBI!$B$396</definedName>
    <definedName function="false" hidden="false" name="ex_crep" vbProcedure="false">DSS_RBI!$B$461</definedName>
    <definedName function="false" hidden="false" name="ex_crepl" vbProcedure="false">DSS_RBI!$B$395</definedName>
    <definedName function="false" hidden="false" name="ex_df0" vbProcedure="false">DSS_RBI!$B$406</definedName>
    <definedName function="false" hidden="false" name="ex_dfb" vbProcedure="false">DSS_RBI!$B$421</definedName>
    <definedName function="false" hidden="false" name="ex_dfffs" vbProcedure="false">DSS_RBI!$B$458</definedName>
    <definedName function="false" hidden="false" name="ex_dfrep" vbProcedure="false">DSS_RBI!$B$459</definedName>
    <definedName function="false" hidden="false" name="ex_dftbi" vbProcedure="false">DSS_RBI!$B$409</definedName>
    <definedName function="false" hidden="false" name="ex_dias" vbProcedure="false">DSS_RBI!$B$401</definedName>
    <definedName function="false" hidden="false" name="ex_dlim" vbProcedure="false">DSS_RBI!$B$407</definedName>
    <definedName function="false" hidden="false" name="ex_eaa" vbProcedure="false">DSS_RBI!$C$450</definedName>
    <definedName function="false" hidden="false" name="ex_fc" vbProcedure="false">DSS_RBI!$B$418</definedName>
    <definedName function="false" hidden="false" name="ex_fccmd" vbProcedure="false">DSS_RBI!$B$414</definedName>
    <definedName function="false" hidden="false" name="ex_fcoth" vbProcedure="false">DSS_RBI!$B$417</definedName>
    <definedName function="false" hidden="false" name="ex_fcprod" vbProcedure="false">DSS_RBI!$B$416</definedName>
    <definedName function="false" hidden="false" name="ex_fms" vbProcedure="false">DSS_RBI!$B$405</definedName>
    <definedName function="false" hidden="false" name="ex_g" vbProcedure="false">DSS_RBI!$B$420</definedName>
    <definedName function="false" hidden="false" name="ex_gff" vbProcedure="false">DSS_RBI!$B$403</definedName>
    <definedName function="false" hidden="false" name="ex_intB" vbProcedure="false">DSS_RBI!$B$410</definedName>
    <definedName function="false" hidden="false" name="ex_lse" vbProcedure="false">DSS_RBI!$B$415</definedName>
    <definedName function="false" hidden="false" name="ex_prod" vbProcedure="false">DSS_RBI!$B$398</definedName>
    <definedName function="false" hidden="false" name="ex_r" vbProcedure="false">DSS_RBI!$B$411</definedName>
    <definedName function="false" hidden="false" name="ex_rho" vbProcedure="false">DSS_RBI!$B$397</definedName>
    <definedName function="false" hidden="false" name="ex_score" vbProcedure="false">DSS_RBI!$B$404</definedName>
    <definedName function="false" hidden="false" name="ex_van1" vbProcedure="false">DSS_RBI!$B$440</definedName>
    <definedName function="false" hidden="false" name="ex_van10" vbProcedure="false">DSS_RBI!$C$440</definedName>
    <definedName function="false" hidden="false" name="ex_ylim" vbProcedure="false">DSS_RBI!$B$408</definedName>
    <definedName function="false" hidden="false" name="fms" vbProcedure="false">DSS_RBI!$B$32</definedName>
    <definedName function="false" hidden="false" name="fms_score" vbProcedure="false">DSS_RBI!$B$31</definedName>
    <definedName function="false" hidden="false" name="f_down" vbProcedure="false">DSS_RBI!$F$39</definedName>
    <definedName function="false" hidden="false" name="f_insp" vbProcedure="false">DSS_RBI!$F$40</definedName>
    <definedName function="false" hidden="false" name="f_margin" vbProcedure="false">DSS_RBI!$F$38</definedName>
    <definedName function="false" hidden="false" name="f_price" vbProcedure="false">DSS_RBI!$F$37</definedName>
    <definedName function="false" hidden="false" name="f_rep" vbProcedure="false">DSS_RBI!$F$41</definedName>
    <definedName function="false" hidden="false" name="margin_base" vbProcedure="false">DSS_RBI!$B$30</definedName>
    <definedName function="false" hidden="false" name="o_base" vbProcedure="false">DSS_RBI!$B$56</definedName>
    <definedName function="false" hidden="false" name="pos_N" vbProcedure="false">DSS_RBI!$G$466</definedName>
    <definedName function="false" hidden="false" name="price_base" vbProcedure="false">DSS_RBI!$B$29</definedName>
    <definedName function="false" hidden="false" name="prod_dia" vbProcedure="false">DSS_RBI!$B$58</definedName>
    <definedName function="false" hidden="false" name="risk_target" vbProcedure="false">DSS_RBI!$B$33</definedName>
    <definedName function="false" hidden="false" name="r_desc" vbProcedure="false">DSS_RBI!$B$28</definedName>
    <definedName function="false" hidden="false" name="r_o" vbProcedure="false">DSS_RBI!$B$62</definedName>
    <definedName function="false" hidden="false" name="sel_est" vbProcedure="false">DSS_RBI!$B$60</definedName>
    <definedName function="false" hidden="false" name="sel_modo" vbProcedure="false">DSS_RBI!$B$61</definedName>
    <definedName function="false" hidden="false" name="th_a" vbProcedure="false">DSS_RBI!$B$49</definedName>
    <definedName function="false" hidden="false" name="th_b" vbProcedure="false">DSS_RBI!$B$50</definedName>
    <definedName function="false" hidden="false" name="th_c" vbProcedure="false">DSS_RBI!$B$51</definedName>
    <definedName function="false" hidden="false" name="th_d" vbProcedure="false">DSS_RBI!$B$52</definedName>
    <definedName function="false" hidden="false" name="th_p1" vbProcedure="false">DSS_RBI!$B$45</definedName>
    <definedName function="false" hidden="false" name="th_p2" vbProcedure="false">DSS_RBI!$B$46</definedName>
    <definedName function="false" hidden="false" name="th_p3" vbProcedure="false">DSS_RBI!$B$47</definedName>
    <definedName function="false" hidden="false" name="th_p4" vbProcedure="false">DSS_RBI!$B$48</definedName>
    <definedName function="false" hidden="false" name="y_fin" vbProcedure="false">DSS_RBI!$B$162</definedName>
    <definedName function="false" hidden="false" name="y_ini" vbProcedure="false">DSS_RBI!$B$161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<sst xmlns="http://schemas.openxmlformats.org/spreadsheetml/2006/main" count="1452" uniqueCount="902">
  <si>
    <t xml:space="preserve">DSS RBI – Beneficios económicos por reducción de riesgo · Barrancabermeja (UNA HOJA)</t>
  </si>
  <si>
    <t xml:space="preserve">Basado en Oropallo et al., Safety Science 177 (2024) 106570, DOI 10.1016/j.ssci.2024.106570 · Trazabilidad: Dato → Ecuación → Fuente → Resultado → Impacto económico</t>
  </si>
  <si>
    <t xml:space="preserve">CIFRAS DE BARRANCABERMEJA = ILUSTRATIVAS (supuestos para que el modelo corra). Datos reales solo donde dice "Dato paper". Normas API/ASME/ISO NO disponibles: ubicación exacta = PENDIENTE. Azul = entrada; negro = fórmula; amarillo = pendiente/supuesto clave; naranja = discrepancia.</t>
  </si>
  <si>
    <t xml:space="preserve">0 · LEYENDA, CONVENCIONES Y ÍNDICE</t>
  </si>
  <si>
    <t xml:space="preserve">Propósito: Modelo auditable para convertir ΔEMV en beneficio económico esperado, separándolo del flujo de caja, y comparar TBI vs RBI (Oropallo reproducido con datos reales; Barrancabermeja U-200 y V-220 con datos ILUSTRATIVOS).</t>
  </si>
  <si>
    <t xml:space="preserve">Cadena de trazabilidad: Dato → Ecuación → Fuente → Resultado → Impacto económico. Cada fila de Calculo_EMV y Plan_BGA lleva Estado.</t>
  </si>
  <si>
    <t xml:space="preserve">Estados: Dato paper (verificado en el PDF) · Supuesto (valor ilustrativo que el usuario debe reemplazar) · Estimación · Chequeo propio (modelo del agente, no normativo) · PENDIENTE de validación.</t>
  </si>
  <si>
    <t xml:space="preserve">Colores: Texto azul = entrada editable. Texto negro = fórmula. Fondo amarillo = PENDIENTE/supuesto clave. Fondo naranja = discrepancia detectada.</t>
  </si>
  <si>
    <t xml:space="preserve">Normas: API 581, API 580, API 579-1, ASME PCC-3/PCC-2, API 571, ISO 14224, ISO 15663 e ISO/TS 55010 NO estaban disponibles en la sesión (licenciadas; el acceso web a documentos públicos fue bloqueado). La ubicación exacta de ecuaciones en la edición aplicable queda PENDIENTE; lo verificado es lo que cita el PDF de Oropallo. Ver hoja Fuentes_Normas.</t>
  </si>
  <si>
    <t xml:space="preserve">Núcleo económico: POF=gff·Df·FMS (Oropallo Eq.1). EMV=POF×COF. ΔEMV=EMV₀−EMV₁ (0=TBI/actual, 1=RBI+NDE+FFS). ΔEMV es VALOR ESPERADO, no caja.</t>
  </si>
  <si>
    <t xml:space="preserve">Tres conceptos que no se mezclan: (1) Riesgo técnico: Df, POF, categoría RAM. (2) Beneficio económico esperado = ΔEMV caja-equivalente + flujo de caja incremental. (3) Flujo de caja: inspección, FFS, reparación/reemplazo (+diferido), OPEX, paro planificado.</t>
  </si>
  <si>
    <t xml:space="preserve">Anti doble conteo: a) El paro NO planificado está en COF (FC_prod, Eq.13) y por tanto dentro de EMV; solo el paro PLANIFICADO entra como flujo determinista. b) La inspección reduce POF por información, no repara: el costo de reparación es flujo aparte y la caída de Df por reparación se cuenta una sola vez (reset de Df en Plan_BGA). c) El costo de reemplazo/reparación en caso de falla está en FC_cmd (riesgo), el planificado en flujo: nunca el mismo evento en ambos. d) Lesiones (FC_inj) se reportan aparte como valor no-caja.</t>
  </si>
  <si>
    <t xml:space="preserve">Convención VAN (propia): t=año−año base (2026=t0). VAN 1 año = t0–t1; VAN 10 años = t0–t10; flujos a fin de año; sin valor residual. Tasa en Inputs (supuesto).</t>
  </si>
  <si>
    <t xml:space="preserve">SIR / ROI / payback (propios): Beneficios brutos = suma por año de componentes positivos (riesgo evitado, paro, inspección, FFS, reparación, OPEX); costos brutos = suma de negativos. SIR=VP beneficios/VP costos; ROI=(VP ben−VP costos)/VP costos = VAN/VP costos; payback descontado = primer año desde el cual el acumulado descontado es ≥0 y permanece ≥0. Definiciones propias, no normativas.</t>
  </si>
  <si>
    <t xml:space="preserve">Sensibilidad: Selectores Bajo/Base/Alto por palanca en Inputs (precio del crudo, margen, downtime, inspección, reparación). Hoja Sensibilidad: tornado y escenarios combinados calculados con el mismo modelo (Python) y contrastados con el Excel vivo en el caso base.</t>
  </si>
  <si>
    <t xml:space="preserve">Hojas: Leyenda · Inputs · Inputs_BGA · Plan_BGA · Calculo_EMV · RAM_5x5 · Flujo_Anual · TBI_vs_RBI · Sensibilidad · Catalogo · Plan_TBI_RBI · Oropallo_Calc · Auditoria_Paper · Oropallo_Inventario · Bibliografia_Top3 · Fuentes_Normas · Respuestas · Pendientes</t>
  </si>
  <si>
    <t xml:space="preserve">Bitácora Agent Loop: 1 Investigar/leer Excel previo y PDF (15 pp.) → 2 Extraer eqs/tablas/figs → 3 Verificar vs PDF (página) y marcar norma como no verificada → 4 Calcular (Oropallo recalculado; BGA ilustrativo) → 5 Validar: totales impresos vs recalculados; intento de reconstruir Df (falló, descartado) → 6 Detectar inconsistencias (Auditoria_Paper, 17 hallazgos) → 7 Corregir el Excel previo (estrategia 2 y 1, plantilla sin valores) → 8 Recalcular en LibreOffice y contrastar con el modelo Python.</t>
  </si>
  <si>
    <t xml:space="preserve">Correcciones frente al Excel anterior: (i) Ahora hay cálculo numérico completo (antes vacío). (ii) RBI-1 no intrusivo suma 2.010 $ (no 1.080). (iii) La mejor estrategia recalculada difiere de la del paper. (iv) ASME PCC-3 ≠ reparación (PCC-2).</t>
  </si>
  <si>
    <t xml:space="preserve">ÍNDICE DE SECCIONES (en este orden, de arriba abajo): [1] Inputs – entradas globales, sensibilidad, umbrales, datos del paper · [2] Inputs_BGA – datos por equipo · [3] Plan_BGA – plan por equipo/año y camino · [4] Calculo_EMV – UNA FILA POR EQUIPO/AÑO, paso a paso · [5] RAM_5x5 – antes/después · [6] Flujo_Anual – consolidado anual, VAN 1 y 10 años, SIR, ROI, payback · [7] TBI_vs_RBI – costo esperado · [8] Sensibilidad bajo/base/alto · [9] Catálogo de costos Oropallo · [10] Plan Oropallo Tablas 6, 9–10 · [11] Oropallo_Calc – TBI vs RBI recalculado y descontado · [12] Ejemplo numérico paso a paso (Oropallo ampliado): LSE, DPN, VAN, SIR, ROI, payback, CEA · [13] Matriz RAM 5×5 con posiciones antes/después (sin inspección → RBI → FFS) · [14] Fórmulas LSE, VSL, DPN, CEA · [15] Extrapolación a recipientes de Barrancabermeja y mecanismos · [16] Mapeo normativo por paso (API 581, PCC-3, API 579) · [17] Metodología final y validación OK/INCONSISTENTE contra el paper · [18] Integración VAN ↔ Oropallo ↔ API 581 + literatura con DOI · [19] Auditoría del paper, inventario, bibliografía top 3, verificación de normas, respuestas y pendientes</t>
  </si>
  <si>
    <t xml:space="preserve">1 · INPUTS</t>
  </si>
  <si>
    <t xml:space="preserve">Entradas globales</t>
  </si>
  <si>
    <t xml:space="preserve">Azul = editable. Selectores con lista desplegable.</t>
  </si>
  <si>
    <t xml:space="preserve">CIFRAS DE BARRANCABERMEJA = ILUSTRATIVAS (supuestos para que el modelo corra). Datos reales solo donde se indica "Dato paper". Reemplazar antes de decidir.</t>
  </si>
  <si>
    <t xml:space="preserve">Parámetro</t>
  </si>
  <si>
    <t xml:space="preserve">Valor</t>
  </si>
  <si>
    <t xml:space="preserve">Unidad</t>
  </si>
  <si>
    <t xml:space="preserve">Fuente</t>
  </si>
  <si>
    <t xml:space="preserve">Estado</t>
  </si>
  <si>
    <t xml:space="preserve">Año base (t0)</t>
  </si>
  <si>
    <t xml:space="preserve">año</t>
  </si>
  <si>
    <t xml:space="preserve">Año de la sesión; 10 años → 2026–2036</t>
  </si>
  <si>
    <t xml:space="preserve">Supuesto</t>
  </si>
  <si>
    <t xml:space="preserve">Tasa de descuento</t>
  </si>
  <si>
    <t xml:space="preserve">fracción/año</t>
  </si>
  <si>
    <t xml:space="preserve">Sin valor en el paper; definir con Finanzas Ecopetrol (WACC real)</t>
  </si>
  <si>
    <t xml:space="preserve">Supuesto – PENDIENTE</t>
  </si>
  <si>
    <t xml:space="preserve">Precio del crudo (base)</t>
  </si>
  <si>
    <t xml:space="preserve">$/bbl</t>
  </si>
  <si>
    <t xml:space="preserve">Ilustrativo; valora el inventario liberado en FC_cmd</t>
  </si>
  <si>
    <t xml:space="preserve">Margen de refinación (base)</t>
  </si>
  <si>
    <t xml:space="preserve">Ilustrativo; valora la producción perdida FC_prod y el paro planificado</t>
  </si>
  <si>
    <t xml:space="preserve">Puntuación del sistema de gestión (0–1000)</t>
  </si>
  <si>
    <t xml:space="preserve">pts</t>
  </si>
  <si>
    <t xml:space="preserve">Oropallo usa 750 (Anexo 2.A, p.8). Barrancabermeja: auditar</t>
  </si>
  <si>
    <t xml:space="preserve">FMS (calculado)</t>
  </si>
  <si>
    <t xml:space="preserve">-</t>
  </si>
  <si>
    <t xml:space="preserve">API 581 Anexo 2.A (fórmula recordada, NO verificada)</t>
  </si>
  <si>
    <t xml:space="preserve">Chequeo propio – PENDIENTE</t>
  </si>
  <si>
    <t xml:space="preserve">Risk target (nivel máx. permitido)</t>
  </si>
  <si>
    <t xml:space="preserve">M</t>
  </si>
  <si>
    <t xml:space="preserve">B/M/MA/A</t>
  </si>
  <si>
    <t xml:space="preserve">Oropallo: medio (p.9). Barrancabermeja: criterio corporativo</t>
  </si>
  <si>
    <t xml:space="preserve">Palancas de sensibilidad (factores multiplicativos)</t>
  </si>
  <si>
    <t xml:space="preserve">Palanca</t>
  </si>
  <si>
    <t xml:space="preserve">Bajo</t>
  </si>
  <si>
    <t xml:space="preserve">Base</t>
  </si>
  <si>
    <t xml:space="preserve">Alto</t>
  </si>
  <si>
    <t xml:space="preserve">Escenario activo</t>
  </si>
  <si>
    <t xml:space="preserve">Factor activo</t>
  </si>
  <si>
    <t xml:space="preserve">Qué escala</t>
  </si>
  <si>
    <t xml:space="preserve">Precio del crudo</t>
  </si>
  <si>
    <t xml:space="preserve">Inventario liberado (FC_cmd) · rangos: Supuesto – PENDIENTE</t>
  </si>
  <si>
    <t xml:space="preserve">Margen</t>
  </si>
  <si>
    <t xml:space="preserve">Producción perdida FC_prod y paro planificado · rangos: Supuesto – PENDIENTE</t>
  </si>
  <si>
    <t xml:space="preserve">Downtime (días/horas)</t>
  </si>
  <si>
    <t xml:space="preserve">Días de paro no planificado y horas de paro planificado · rangos: Supuesto – PENDIENTE</t>
  </si>
  <si>
    <t xml:space="preserve">Costo de inspección</t>
  </si>
  <si>
    <t xml:space="preserve">Inspección, NDE, implementación RBI · rangos: Supuesto – PENDIENTE</t>
  </si>
  <si>
    <t xml:space="preserve">Costo de reparación/reemplazo</t>
  </si>
  <si>
    <t xml:space="preserve">Reparación, reemplazo, FFS y costo de reemplazo en FC_cmd · rangos: Supuesto – PENDIENTE</t>
  </si>
  <si>
    <t xml:space="preserve">Umbrales de categorías (API 581 Parte 1 – de memoria, PENDIENTE de verificar)</t>
  </si>
  <si>
    <t xml:space="preserve">Umbral</t>
  </si>
  <si>
    <t xml:space="preserve">Df máx. categoría PoF 1</t>
  </si>
  <si>
    <t xml:space="preserve">Df [-]</t>
  </si>
  <si>
    <t xml:space="preserve">API 581 Parte 1 tablas de categorías (recordadas). Coherente con Oropallo: 1C, PoF máx. 3 con target medio</t>
  </si>
  <si>
    <t xml:space="preserve">Df máx. categoría PoF 2</t>
  </si>
  <si>
    <t xml:space="preserve">Df máx. categoría PoF 3</t>
  </si>
  <si>
    <t xml:space="preserve">Df máx. categoría PoF 4</t>
  </si>
  <si>
    <t xml:space="preserve">FC máx. categoría CoF A</t>
  </si>
  <si>
    <t xml:space="preserve">$</t>
  </si>
  <si>
    <t xml:space="preserve">FC máx. categoría CoF B</t>
  </si>
  <si>
    <t xml:space="preserve">FC máx. categoría CoF C</t>
  </si>
  <si>
    <t xml:space="preserve">FC máx. categoría CoF D</t>
  </si>
  <si>
    <t xml:space="preserve">Datos del paper (caso Oropallo)</t>
  </si>
  <si>
    <t xml:space="preserve">Año base del plan</t>
  </si>
  <si>
    <t xml:space="preserve">p.9</t>
  </si>
  <si>
    <t xml:space="preserve">Dato paper</t>
  </si>
  <si>
    <t xml:space="preserve">Año final del plan</t>
  </si>
  <si>
    <t xml:space="preserve">Producción diaria de la unidad</t>
  </si>
  <si>
    <t xml:space="preserve">$/día</t>
  </si>
  <si>
    <t xml:space="preserve">p.8 (impreso "$/m²"; unidad interpretada)</t>
  </si>
  <si>
    <t xml:space="preserve">Dato paper (unidad interpretada)</t>
  </si>
  <si>
    <t xml:space="preserve">Horas por día</t>
  </si>
  <si>
    <t xml:space="preserve">h</t>
  </si>
  <si>
    <t xml:space="preserve">constante</t>
  </si>
  <si>
    <t xml:space="preserve">Dato</t>
  </si>
  <si>
    <t xml:space="preserve">Estrategia RBI comparada (1–4)</t>
  </si>
  <si>
    <t xml:space="preserve">1–4</t>
  </si>
  <si>
    <t xml:space="preserve">selector</t>
  </si>
  <si>
    <t xml:space="preserve">Selector</t>
  </si>
  <si>
    <t xml:space="preserve">Modo de inspección</t>
  </si>
  <si>
    <t xml:space="preserve">Intrusiva</t>
  </si>
  <si>
    <t xml:space="preserve">Intrusiva/No intrusiva</t>
  </si>
  <si>
    <t xml:space="preserve">Tasa de descuento para Oropallo</t>
  </si>
  <si>
    <t xml:space="preserve">fracción</t>
  </si>
  <si>
    <t xml:space="preserve">igual a la global</t>
  </si>
  <si>
    <t xml:space="preserve">Presión de operación</t>
  </si>
  <si>
    <t xml:space="preserve">bar</t>
  </si>
  <si>
    <t xml:space="preserve">Tabla 2</t>
  </si>
  <si>
    <t xml:space="preserve">Diámetro interno</t>
  </si>
  <si>
    <t xml:space="preserve">mm</t>
  </si>
  <si>
    <t xml:space="preserve">Esfuerzo admisible</t>
  </si>
  <si>
    <t xml:space="preserve">MPa</t>
  </si>
  <si>
    <t xml:space="preserve">Eficiencia de junta</t>
  </si>
  <si>
    <t xml:space="preserve">Último espesor medido (2018)</t>
  </si>
  <si>
    <t xml:space="preserve">mm (unidad no impresa)</t>
  </si>
  <si>
    <t xml:space="preserve">Tasa corrosión interna</t>
  </si>
  <si>
    <t xml:space="preserve">mm/a</t>
  </si>
  <si>
    <t xml:space="preserve">p.8</t>
  </si>
  <si>
    <t xml:space="preserve">Tasa corrosión externa</t>
  </si>
  <si>
    <t xml:space="preserve">Tasa corrosión CUI</t>
  </si>
  <si>
    <t xml:space="preserve">Tasa total declarada</t>
  </si>
  <si>
    <t xml:space="preserve">Dato paper (inconsistente, ver Auditoria #5)</t>
  </si>
  <si>
    <t xml:space="preserve">Puntuación sistema de gestión</t>
  </si>
  <si>
    <t xml:space="preserve">Categoría de riesgo actual</t>
  </si>
  <si>
    <t xml:space="preserve">1C</t>
  </si>
  <si>
    <t xml:space="preserve">Fig. 5 p.10</t>
  </si>
  <si>
    <t xml:space="preserve">Risk target</t>
  </si>
  <si>
    <t xml:space="preserve">Medio</t>
  </si>
  <si>
    <t xml:space="preserve">PoF máxima permitida</t>
  </si>
  <si>
    <t xml:space="preserve">categoría</t>
  </si>
  <si>
    <t xml:space="preserve">p.10</t>
  </si>
  <si>
    <t xml:space="preserve">2 · INPUTS_BGA</t>
  </si>
  <si>
    <t xml:space="preserve">Datos por equipo – Barrancabermeja (ILUSTRATIVOS)</t>
  </si>
  <si>
    <t xml:space="preserve">Cada fila se reemplaza con datos de Ecopetrol (RBI, CMMS ISO 14224, Finanzas). Tabla leída por Calculo_EMV con INDEX/MATCH.</t>
  </si>
  <si>
    <t xml:space="preserve">Equipo</t>
  </si>
  <si>
    <t xml:space="preserve">gff_total [1/a]</t>
  </si>
  <si>
    <t xml:space="preserve">Df inicial</t>
  </si>
  <si>
    <t xml:space="preserve">Df máx.</t>
  </si>
  <si>
    <t xml:space="preserve">Barriles/día afectados</t>
  </si>
  <si>
    <t xml:space="preserve">Días de paro no planificado por falla</t>
  </si>
  <si>
    <t xml:space="preserve">Costo reemplazo equipo [$]</t>
  </si>
  <si>
    <t xml:space="preserve">Inventario liberado [bbl]</t>
  </si>
  <si>
    <t xml:space="preserve">FC_affa equipos vecinos [$]</t>
  </si>
  <si>
    <t xml:space="preserve">FC_inj lesiones [$]</t>
  </si>
  <si>
    <t xml:space="preserve">FC_env ambiente [$]</t>
  </si>
  <si>
    <t xml:space="preserve">Descripción</t>
  </si>
  <si>
    <t xml:space="preserve">Fuente gff</t>
  </si>
  <si>
    <t xml:space="preserve">U-200</t>
  </si>
  <si>
    <t xml:space="preserve">Agregado de 25 componentes equivalentes (supuesto)</t>
  </si>
  <si>
    <t xml:space="preserve">API 581 Parte 2 Tabla 3.1 (recordada): recipiente 3,06E-5/a × 25 componentes</t>
  </si>
  <si>
    <t xml:space="preserve">V-220</t>
  </si>
  <si>
    <t xml:space="preserve">Recipiente individual</t>
  </si>
  <si>
    <t xml:space="preserve">API 581 Parte 2 Tabla 3.1 (recordada): recipiente 3,06E-5/a</t>
  </si>
  <si>
    <t xml:space="preserve">Nota U-200: es una unidad; aquí se representa con un agregado de 25 componentes equivalentes (supuesto). En uso real, una fila por componente/circuito.</t>
  </si>
  <si>
    <t xml:space="preserve">3 · PLAN_BGA</t>
  </si>
  <si>
    <t xml:space="preserve">Plan por equipo/año y camino (ILUSTRATIVO)</t>
  </si>
  <si>
    <t xml:space="preserve">Camino 0 = TBI/estado actual; Camino 1 = RBI + NDE + FFS + reparación dirigida. g = crecimiento anual del Df; factor = multiplicador de Df por información NDE (modelo propio); reset = Df tras reparación/reemplazo.</t>
  </si>
  <si>
    <t xml:space="preserve">Año</t>
  </si>
  <si>
    <t xml:space="preserve">t</t>
  </si>
  <si>
    <t xml:space="preserve">C0 g Df</t>
  </si>
  <si>
    <t xml:space="preserve">C0 Factor Df (NDE)</t>
  </si>
  <si>
    <t xml:space="preserve">C0 Reset Df</t>
  </si>
  <si>
    <t xml:space="preserve">C0 Inspección [$]</t>
  </si>
  <si>
    <t xml:space="preserve">C0 Paro planif. [h]</t>
  </si>
  <si>
    <t xml:space="preserve">C0 FFS [$]</t>
  </si>
  <si>
    <t xml:space="preserve">C0 Reparación/reemplazo [$]</t>
  </si>
  <si>
    <t xml:space="preserve">C0 OPEX [$]</t>
  </si>
  <si>
    <t xml:space="preserve">C0 Actividad</t>
  </si>
  <si>
    <t xml:space="preserve">C1 g Df</t>
  </si>
  <si>
    <t xml:space="preserve">C1 Factor Df (NDE)</t>
  </si>
  <si>
    <t xml:space="preserve">C1 Reset Df</t>
  </si>
  <si>
    <t xml:space="preserve">C1 Inspección [$]</t>
  </si>
  <si>
    <t xml:space="preserve">C1 Paro planif. [h]</t>
  </si>
  <si>
    <t xml:space="preserve">C1 FFS [$]</t>
  </si>
  <si>
    <t xml:space="preserve">C1 Reparación/reemplazo [$]</t>
  </si>
  <si>
    <t xml:space="preserve">C1 OPEX [$]</t>
  </si>
  <si>
    <t xml:space="preserve">C1 Actividad</t>
  </si>
  <si>
    <t xml:space="preserve">Inspección externa TBI (c/3 a)</t>
  </si>
  <si>
    <t xml:space="preserve">Implementación RBI/evergreening</t>
  </si>
  <si>
    <t xml:space="preserve">Supuesto ilustrativo</t>
  </si>
  <si>
    <t xml:space="preserve">NDE en operación (PAUT/ondas guiadas), efectividad B</t>
  </si>
  <si>
    <t xml:space="preserve">Inspección externa + interna TBI (9 a) con paro</t>
  </si>
  <si>
    <t xml:space="preserve">Reparación local dirigida (criterio PCC-2) con paro 48 h</t>
  </si>
  <si>
    <t xml:space="preserve">NDE en operación 2.ª campaña</t>
  </si>
  <si>
    <t xml:space="preserve">Inspección externa TBI</t>
  </si>
  <si>
    <t xml:space="preserve">RBI + PAUT mapeo de espesores</t>
  </si>
  <si>
    <t xml:space="preserve">FFS API 579 Nivel 3 (FEA elasto-plástico)</t>
  </si>
  <si>
    <t xml:space="preserve">Reparación/refuerzo local (PCC-2) con paro 96 h</t>
  </si>
  <si>
    <t xml:space="preserve">Reemplazo programado por tiempo (TBI), paro 30 d</t>
  </si>
  <si>
    <t xml:space="preserve">NDE de seguimiento (PAUT)</t>
  </si>
  <si>
    <t xml:space="preserve">4 · CALCULO_EMV</t>
  </si>
  <si>
    <t xml:space="preserve">Cálculo paso a paso por equipo/año: POF → COF → EMV → ΔEMV → categorías RAM</t>
  </si>
  <si>
    <t xml:space="preserve">Fila = equipo/año. Bloques: [1] Riesgo técnico · [2] COF financiera (Eq.13) · [3] EMV · [4] Flujos de caja · [5] RAM · [6] Trazabilidad.</t>
  </si>
  <si>
    <t xml:space="preserve">gff_total</t>
  </si>
  <si>
    <t xml:space="preserve">FMS</t>
  </si>
  <si>
    <t xml:space="preserve">Df C0 (TBI)</t>
  </si>
  <si>
    <t xml:space="preserve">Df C1 (RBI)</t>
  </si>
  <si>
    <t xml:space="preserve">POF C0</t>
  </si>
  <si>
    <t xml:space="preserve">POF C1</t>
  </si>
  <si>
    <t xml:space="preserve">FC_cmd</t>
  </si>
  <si>
    <t xml:space="preserve">FC_affa</t>
  </si>
  <si>
    <t xml:space="preserve">FC_prod</t>
  </si>
  <si>
    <t xml:space="preserve">FC_inj</t>
  </si>
  <si>
    <t xml:space="preserve">FC_env</t>
  </si>
  <si>
    <t xml:space="preserve">COF [$]</t>
  </si>
  <si>
    <t xml:space="preserve">EMV₀ [$/a]</t>
  </si>
  <si>
    <t xml:space="preserve">EMV₁ [$/a]</t>
  </si>
  <si>
    <t xml:space="preserve">ΔEMV [$/a]</t>
  </si>
  <si>
    <t xml:space="preserve">ΔEMV caja-equiv.</t>
  </si>
  <si>
    <t xml:space="preserve">ΔEMV lesiones (no caja)</t>
  </si>
  <si>
    <t xml:space="preserve">Valor producción [$/día]</t>
  </si>
  <si>
    <t xml:space="preserve">Paro planif. C0 [$]</t>
  </si>
  <si>
    <t xml:space="preserve">Paro planif. C1 [$]</t>
  </si>
  <si>
    <t xml:space="preserve">Inspección C0</t>
  </si>
  <si>
    <t xml:space="preserve">Inspección C1</t>
  </si>
  <si>
    <t xml:space="preserve">FFS C0</t>
  </si>
  <si>
    <t xml:space="preserve">FFS C1</t>
  </si>
  <si>
    <t xml:space="preserve">Repar./reempl. C0</t>
  </si>
  <si>
    <t xml:space="preserve">Repar./reempl. C1</t>
  </si>
  <si>
    <t xml:space="preserve">OPEX C0</t>
  </si>
  <si>
    <t xml:space="preserve">OPEX C1</t>
  </si>
  <si>
    <t xml:space="preserve">Costo caja C0</t>
  </si>
  <si>
    <t xml:space="preserve">Costo caja C1</t>
  </si>
  <si>
    <t xml:space="preserve">Cat. PoF C0</t>
  </si>
  <si>
    <t xml:space="preserve">Cat. PoF C1</t>
  </si>
  <si>
    <t xml:space="preserve">Cat. CoF</t>
  </si>
  <si>
    <t xml:space="preserve">Nivel RAM C0</t>
  </si>
  <si>
    <t xml:space="preserve">Nivel RAM C1</t>
  </si>
  <si>
    <t xml:space="preserve">¿Cumple target C0?</t>
  </si>
  <si>
    <t xml:space="preserve">¿Cumple target C1?</t>
  </si>
  <si>
    <t xml:space="preserve">Dato → Ecuación → Fuente</t>
  </si>
  <si>
    <t xml:space="preserve">Impacto económico</t>
  </si>
  <si>
    <t xml:space="preserve">Clave</t>
  </si>
  <si>
    <t xml:space="preserve">Dato: gff, Df₀, COF (Inputs_BGA) · Ec.: POF=gff·Df·FMS (Oropallo Eq.1 p.4); COF=ΣFC (Eq.13 p.6–7); EMV=POF×COF · Fuente: API 581 (edición PENDIENTE) · Df(t): modelo propio ilustrativo</t>
  </si>
  <si>
    <t xml:space="preserve">5 · RAM_5X5</t>
  </si>
  <si>
    <t xml:space="preserve">Matriz RAM 5×5 – antes (C0 TBI) y después (C1 RBI)</t>
  </si>
  <si>
    <t xml:space="preserve">Matriz PROVISIONAL (modelo propio): nivel por suma de índices P+C: ≤5 B, 6 M, 7 MA, ≥8 A. Anclada en 2 datos del paper: 1C ≤ medio y 3C = medio (PoF máx. 3, Fig. 5). Sustituir por matriz corporativa/API 581 Parte 1.</t>
  </si>
  <si>
    <t xml:space="preserve">PoF \ CoF</t>
  </si>
  <si>
    <t xml:space="preserve">A</t>
  </si>
  <si>
    <t xml:space="preserve">B</t>
  </si>
  <si>
    <t xml:space="preserve">C</t>
  </si>
  <si>
    <t xml:space="preserve">D</t>
  </si>
  <si>
    <t xml:space="preserve">E</t>
  </si>
  <si>
    <t xml:space="preserve">Nivel</t>
  </si>
  <si>
    <t xml:space="preserve">Lista de orden</t>
  </si>
  <si>
    <t xml:space="preserve">Orden</t>
  </si>
  <si>
    <t xml:space="preserve">Significado</t>
  </si>
  <si>
    <t xml:space="preserve">MA</t>
  </si>
  <si>
    <t xml:space="preserve">Medio-alto</t>
  </si>
  <si>
    <t xml:space="preserve">Año inicial</t>
  </si>
  <si>
    <t xml:space="preserve">Año final</t>
  </si>
  <si>
    <t xml:space="preserve">PoF antes (cat.)</t>
  </si>
  <si>
    <t xml:space="preserve">CoF (cat.)</t>
  </si>
  <si>
    <t xml:space="preserve">Nivel antes</t>
  </si>
  <si>
    <t xml:space="preserve">PoF después (cat.)</t>
  </si>
  <si>
    <t xml:space="preserve">Nivel después</t>
  </si>
  <si>
    <t xml:space="preserve">¿Cumple antes?</t>
  </si>
  <si>
    <t xml:space="preserve">¿Cumple después?</t>
  </si>
  <si>
    <t xml:space="preserve">Df antes</t>
  </si>
  <si>
    <t xml:space="preserve">Df después</t>
  </si>
  <si>
    <t xml:space="preserve">EMV antes [$/a]</t>
  </si>
  <si>
    <t xml:space="preserve">EMV después [$/a]</t>
  </si>
  <si>
    <t xml:space="preserve">Calculo_EMV; matriz provisional</t>
  </si>
  <si>
    <t xml:space="preserve">Oropallo</t>
  </si>
  <si>
    <t xml:space="preserve">Fig. 5 p.10; PoF máx. permitida = 3 (p.10)</t>
  </si>
  <si>
    <t xml:space="preserve">Dato paper (1C actual; 3C = límite con target medio)</t>
  </si>
  <si>
    <t xml:space="preserve">Lectura: "antes" = camino TBI sin plan de mitigación; "después" = camino RBI. Si el nivel sigue por encima del target, la inspección por sí sola no basta: hay que mitigar consecuencia o reducir Df (reparación).</t>
  </si>
  <si>
    <t xml:space="preserve">6 · FLUJO_ANUAL</t>
  </si>
  <si>
    <t xml:space="preserve">Consolidado anual: riesgo evitado vs flujo de caja; VAN, SIR, ROI, payback</t>
  </si>
  <si>
    <t xml:space="preserve">Signo: + = favorece a RBI (ahorro/beneficio); − = costo o riesgo adicional. Un año por fila, suma de equipos.</t>
  </si>
  <si>
    <t xml:space="preserve">Factor descuento</t>
  </si>
  <si>
    <t xml:space="preserve">Riesgo evitado ΔEMV (caja-equiv., esperado)</t>
  </si>
  <si>
    <t xml:space="preserve">Paro planificado evitado</t>
  </si>
  <si>
    <t xml:space="preserve">Ahorro de inspección</t>
  </si>
  <si>
    <t xml:space="preserve">FFS (− costo)</t>
  </si>
  <si>
    <t xml:space="preserve">Reparación/reemplazo neto (+diferido)</t>
  </si>
  <si>
    <t xml:space="preserve">OPEX</t>
  </si>
  <si>
    <t xml:space="preserve">Flujo de caja incremental</t>
  </si>
  <si>
    <t xml:space="preserve">Beneficio económico esperado (caja + riesgo)</t>
  </si>
  <si>
    <t xml:space="preserve">Beneficios brutos</t>
  </si>
  <si>
    <t xml:space="preserve">Costos brutos</t>
  </si>
  <si>
    <t xml:space="preserve">VP beneficios</t>
  </si>
  <si>
    <t xml:space="preserve">VP costos</t>
  </si>
  <si>
    <t xml:space="preserve">VP neto (BEE)</t>
  </si>
  <si>
    <t xml:space="preserve">Acumulado VP neto</t>
  </si>
  <si>
    <t xml:space="preserve">Flag payback desc.</t>
  </si>
  <si>
    <t xml:space="preserve">Acumulado simple</t>
  </si>
  <si>
    <t xml:space="preserve">Flag payback simple</t>
  </si>
  <si>
    <t xml:space="preserve">EMV₀ total</t>
  </si>
  <si>
    <t xml:space="preserve">EMV₁ total</t>
  </si>
  <si>
    <t xml:space="preserve">Indicador</t>
  </si>
  <si>
    <t xml:space="preserve">1 año</t>
  </si>
  <si>
    <t xml:space="preserve">10 años</t>
  </si>
  <si>
    <t xml:space="preserve">Definición / estado</t>
  </si>
  <si>
    <t xml:space="preserve">Horizonte n (años)</t>
  </si>
  <si>
    <t xml:space="preserve">VAN beneficio económico esperado (caja + riesgo)</t>
  </si>
  <si>
    <t xml:space="preserve">Σ BEE·FD (t≤n). Incluye valor esperado → NO es caja pura</t>
  </si>
  <si>
    <t xml:space="preserve">VAN flujo de caja incremental</t>
  </si>
  <si>
    <t xml:space="preserve">Solo flujos ciertos (ahorros/costos)</t>
  </si>
  <si>
    <t xml:space="preserve">VAN riesgo evitado (caja-equiv.)</t>
  </si>
  <si>
    <t xml:space="preserve">Σ ΔEMV caja-equiv.·FD: valor esperado, no caja</t>
  </si>
  <si>
    <t xml:space="preserve">VP beneficios brutos</t>
  </si>
  <si>
    <t xml:space="preserve">Componentes positivos por año</t>
  </si>
  <si>
    <t xml:space="preserve">VP costos brutos</t>
  </si>
  <si>
    <t xml:space="preserve">Componentes negativos por año</t>
  </si>
  <si>
    <t xml:space="preserve">SIR</t>
  </si>
  <si>
    <t xml:space="preserve">VP beneficios / VP costos (propio)</t>
  </si>
  <si>
    <t xml:space="preserve">ROI</t>
  </si>
  <si>
    <t xml:space="preserve">(VP ben − VP costos)/VP costos (propio)</t>
  </si>
  <si>
    <t xml:space="preserve">Payback descontado (año)</t>
  </si>
  <si>
    <t xml:space="preserve">Primer año desde el cual el acumulado descontado es ≥0 y permanece ≥0 (propio)</t>
  </si>
  <si>
    <t xml:space="preserve">Payback simple (año)</t>
  </si>
  <si>
    <t xml:space="preserve">Primer año (t&gt;0) con acumulado sin descontar ≥0 (propio)</t>
  </si>
  <si>
    <t xml:space="preserve">Nota: VAN 1 año incluye t0–t1 (inversión inicial sin beneficios aún → suele ser negativo). ΔEMV negativo = riesgo adicional aceptado por diferir/reemplazar; debe estar dentro del risk target (RAM_5x5).</t>
  </si>
  <si>
    <t xml:space="preserve">7 · TBI_VS_RBI</t>
  </si>
  <si>
    <t xml:space="preserve">TBI vs RBI – Barrancabermeja (ilustrativo) y Oropallo (datos reales)</t>
  </si>
  <si>
    <t xml:space="preserve">Costo esperado total = costo de caja + EMV. Identidad de control: Δ(costo esperado total) = flujo de caja incremental + ΔEMV total.</t>
  </si>
  <si>
    <t xml:space="preserve">Costo caja TBI (C0)</t>
  </si>
  <si>
    <t xml:space="preserve">EMV TBI</t>
  </si>
  <si>
    <t xml:space="preserve">Costo esperado TBI</t>
  </si>
  <si>
    <t xml:space="preserve">Costo caja RBI (C1)</t>
  </si>
  <si>
    <t xml:space="preserve">EMV RBI</t>
  </si>
  <si>
    <t xml:space="preserve">Costo esperado RBI</t>
  </si>
  <si>
    <t xml:space="preserve">Δ costo esperado (TBI−RBI)</t>
  </si>
  <si>
    <t xml:space="preserve">Flujo caja incr. + ΔEMV total</t>
  </si>
  <si>
    <t xml:space="preserve">Control (debe ser 0)</t>
  </si>
  <si>
    <t xml:space="preserve">Total</t>
  </si>
  <si>
    <t xml:space="preserve">Oropallo (datos reales, sin descontar) – ver hoja Oropallo_Calc para el detalle y la comparación impreso vs recalculado</t>
  </si>
  <si>
    <t xml:space="preserve">8 · SENSIBILIDAD</t>
  </si>
  <si>
    <t xml:space="preserve">Sensibilidad bajo/base/alto (Barrancabermeja ilustrativo)</t>
  </si>
  <si>
    <t xml:space="preserve">Calculado con el mismo modelo (Python) una palanca a la vez; la fila "Base" se contrasta con el Excel vivo. Bajo/Alto = factor bajo/alto de la palanca (no "peor/mejor").</t>
  </si>
  <si>
    <t xml:space="preserve">Factor bajo</t>
  </si>
  <si>
    <t xml:space="preserve">Factor alto</t>
  </si>
  <si>
    <t xml:space="preserve">VAN10 (BEE) con bajo [$]</t>
  </si>
  <si>
    <t xml:space="preserve">VAN10 base [$]</t>
  </si>
  <si>
    <t xml:space="preserve">VAN10 con alto [$]</t>
  </si>
  <si>
    <t xml:space="preserve">Rango [$]</t>
  </si>
  <si>
    <t xml:space="preserve">Δ% bajo</t>
  </si>
  <si>
    <t xml:space="preserve">Δ% alto</t>
  </si>
  <si>
    <t xml:space="preserve">Downtime</t>
  </si>
  <si>
    <t xml:space="preserve">Reparación/reemplazo</t>
  </si>
  <si>
    <t xml:space="preserve">Inspección</t>
  </si>
  <si>
    <t xml:space="preserve">Escenarios combinados</t>
  </si>
  <si>
    <t xml:space="preserve">Escenario</t>
  </si>
  <si>
    <t xml:space="preserve">Definición</t>
  </si>
  <si>
    <t xml:space="preserve">VAN1 [$]</t>
  </si>
  <si>
    <t xml:space="preserve">VAN10 [$]</t>
  </si>
  <si>
    <t xml:space="preserve">SIR 10a</t>
  </si>
  <si>
    <t xml:space="preserve">ROI 10a</t>
  </si>
  <si>
    <t xml:space="preserve">Payback desc.</t>
  </si>
  <si>
    <t xml:space="preserve">todos los factores = 1</t>
  </si>
  <si>
    <t xml:space="preserve">Desfavorable</t>
  </si>
  <si>
    <t xml:space="preserve">precio, margen, downtime bajos; inspección y reparación altas</t>
  </si>
  <si>
    <t xml:space="preserve">Favorable</t>
  </si>
  <si>
    <t xml:space="preserve">precio, margen, downtime altos; inspección y reparación bajas (la reparación baja también abarata el reemplazo TBI)</t>
  </si>
  <si>
    <t xml:space="preserve">Control: VAN10 base vivo (Flujo_Anual) − VAN10 base Python</t>
  </si>
  <si>
    <t xml:space="preserve">Debe ser 0 cuando los 5 selectores de Inputs están en Base y r=10 %</t>
  </si>
  <si>
    <t xml:space="preserve">Sensibilidad a la tasa de descuento (Python)</t>
  </si>
  <si>
    <t xml:space="preserve">Tasa</t>
  </si>
  <si>
    <t xml:space="preserve">VAN10 (BEE) [$]</t>
  </si>
  <si>
    <t xml:space="preserve">Lectura: el VAN depende sobre todo de downtime y margen (paro planificado evitado por el diferimiento del reemplazo de V-220); el precio del crudo casi no mueve el resultado porque solo valora inventario liberado.</t>
  </si>
  <si>
    <t xml:space="preserve">9 · CATALOGO</t>
  </si>
  <si>
    <t xml:space="preserve">Catálogo de costos Oropallo (Tablas 4 y 5, p.9–10, en $)</t>
  </si>
  <si>
    <t xml:space="preserve">Datos reales del paper</t>
  </si>
  <si>
    <t xml:space="preserve">Código</t>
  </si>
  <si>
    <t xml:space="preserve">Costo intrusivo ($)</t>
  </si>
  <si>
    <t xml:space="preserve">Horas paro intrusivo</t>
  </si>
  <si>
    <t xml:space="preserve">Costo no intrusivo ($)</t>
  </si>
  <si>
    <t xml:space="preserve">Horas paro no intrusivo</t>
  </si>
  <si>
    <t xml:space="preserve">RBI-SYS</t>
  </si>
  <si>
    <t xml:space="preserve">Implementación sistema RBI por activo (evergreening incluido)</t>
  </si>
  <si>
    <t xml:space="preserve">Texto p.9</t>
  </si>
  <si>
    <t xml:space="preserve">CUI-A</t>
  </si>
  <si>
    <t xml:space="preserve">Inspección CUI ferrítico, efectividad A</t>
  </si>
  <si>
    <t xml:space="preserve">Tabla 4</t>
  </si>
  <si>
    <t xml:space="preserve">CUI-B</t>
  </si>
  <si>
    <t xml:space="preserve">CUI ferrítico, B</t>
  </si>
  <si>
    <t xml:space="preserve">CUI-C</t>
  </si>
  <si>
    <t xml:space="preserve">CUI ferrítico, C</t>
  </si>
  <si>
    <t xml:space="preserve">CUI-D</t>
  </si>
  <si>
    <t xml:space="preserve">CUI ferrítico, D</t>
  </si>
  <si>
    <t xml:space="preserve">EXT-A</t>
  </si>
  <si>
    <t xml:space="preserve">Corrosión externa, A</t>
  </si>
  <si>
    <t xml:space="preserve">EXT-B</t>
  </si>
  <si>
    <t xml:space="preserve">Corrosión externa, B</t>
  </si>
  <si>
    <t xml:space="preserve">EXT-C</t>
  </si>
  <si>
    <t xml:space="preserve">Corrosión externa, C</t>
  </si>
  <si>
    <t xml:space="preserve">EXT-D</t>
  </si>
  <si>
    <t xml:space="preserve">Corrosión externa, D</t>
  </si>
  <si>
    <t xml:space="preserve">THIN-A</t>
  </si>
  <si>
    <t xml:space="preserve">Adelgazamiento, A</t>
  </si>
  <si>
    <t xml:space="preserve">Tablas 4 y 5</t>
  </si>
  <si>
    <t xml:space="preserve">THIN-B</t>
  </si>
  <si>
    <t xml:space="preserve">Adelgazamiento, B</t>
  </si>
  <si>
    <t xml:space="preserve">THIN-C</t>
  </si>
  <si>
    <t xml:space="preserve">Adelgazamiento, C</t>
  </si>
  <si>
    <t xml:space="preserve">THIN-D</t>
  </si>
  <si>
    <t xml:space="preserve">Adelgazamiento, D</t>
  </si>
  <si>
    <t xml:space="preserve">TBI-EXT</t>
  </si>
  <si>
    <t xml:space="preserve">Inspección externa (TBI)</t>
  </si>
  <si>
    <t xml:space="preserve">TBI-INT</t>
  </si>
  <si>
    <t xml:space="preserve">Inspección interna (TBI)</t>
  </si>
  <si>
    <t xml:space="preserve">Para inspecciones sin paro (externas/CUI) el paper usa el mismo costo en modo no intrusivo: E=C y F=D por fórmula.</t>
  </si>
  <si>
    <t xml:space="preserve">10 · PLAN_TBI_RBI</t>
  </si>
  <si>
    <t xml:space="preserve">Plan Oropallo: Tabla 6 (RBI, p.10) y Tablas 9–10 (TBI, p.12)</t>
  </si>
  <si>
    <t xml:space="preserve">Una fila por escenario/año/actividad. Costos por búsqueda en Catalogo.</t>
  </si>
  <si>
    <t xml:space="preserve">Costo intr. ($)</t>
  </si>
  <si>
    <t xml:space="preserve">Horas paro intr.</t>
  </si>
  <si>
    <t xml:space="preserve">Pérdida prod. intr. ($)</t>
  </si>
  <si>
    <t xml:space="preserve">Costo no intr. ($)</t>
  </si>
  <si>
    <t xml:space="preserve">Horas paro no intr.</t>
  </si>
  <si>
    <t xml:space="preserve">Pérdida prod. no intr. ($)</t>
  </si>
  <si>
    <t xml:space="preserve">RBI-1</t>
  </si>
  <si>
    <t xml:space="preserve">HX-caso-Oropallo</t>
  </si>
  <si>
    <t xml:space="preserve">Tabla 6 p.10</t>
  </si>
  <si>
    <t xml:space="preserve">RBI-2</t>
  </si>
  <si>
    <t xml:space="preserve">RBI-3</t>
  </si>
  <si>
    <t xml:space="preserve">RBI-4</t>
  </si>
  <si>
    <t xml:space="preserve">TBI</t>
  </si>
  <si>
    <t xml:space="preserve">Tablas 9–10 p.12</t>
  </si>
  <si>
    <t xml:space="preserve">11 · OROPALLO_CALC</t>
  </si>
  <si>
    <t xml:space="preserve">Oropallo: TBI vs RBI recalculado (datos del paper) + descuento</t>
  </si>
  <si>
    <t xml:space="preserve">Costo = inspección + sistema RBI; pérdida = paro planificado × 40.000 $/día (Tablas 7–10). Columnas seleccionadas por Inputs (estrategia y modo).</t>
  </si>
  <si>
    <t xml:space="preserve">RBI-1 Intr. costo</t>
  </si>
  <si>
    <t xml:space="preserve">RBI-1 Intr. pérdida</t>
  </si>
  <si>
    <t xml:space="preserve">RBI-1 No intr. costo</t>
  </si>
  <si>
    <t xml:space="preserve">RBI-1 No intr. pérdida</t>
  </si>
  <si>
    <t xml:space="preserve">RBI-2 Intr. costo</t>
  </si>
  <si>
    <t xml:space="preserve">RBI-2 Intr. pérdida</t>
  </si>
  <si>
    <t xml:space="preserve">RBI-2 No intr. costo</t>
  </si>
  <si>
    <t xml:space="preserve">RBI-2 No intr. pérdida</t>
  </si>
  <si>
    <t xml:space="preserve">RBI-3 Intr. costo</t>
  </si>
  <si>
    <t xml:space="preserve">RBI-3 Intr. pérdida</t>
  </si>
  <si>
    <t xml:space="preserve">RBI-3 No intr. costo</t>
  </si>
  <si>
    <t xml:space="preserve">RBI-3 No intr. pérdida</t>
  </si>
  <si>
    <t xml:space="preserve">RBI-4 Intr. costo</t>
  </si>
  <si>
    <t xml:space="preserve">RBI-4 Intr. pérdida</t>
  </si>
  <si>
    <t xml:space="preserve">RBI-4 No intr. costo</t>
  </si>
  <si>
    <t xml:space="preserve">RBI-4 No intr. pérdida</t>
  </si>
  <si>
    <t xml:space="preserve">TBI Intr. costo</t>
  </si>
  <si>
    <t xml:space="preserve">TBI Intr. pérdida</t>
  </si>
  <si>
    <t xml:space="preserve">TBI No intr. costo</t>
  </si>
  <si>
    <t xml:space="preserve">TBI No intr. pérdida</t>
  </si>
  <si>
    <t xml:space="preserve">TBI sel. (costo+pérdida)</t>
  </si>
  <si>
    <t xml:space="preserve">RBI sel. (costo+pérdida)</t>
  </si>
  <si>
    <t xml:space="preserve">Ahorro RBI vs TBI</t>
  </si>
  <si>
    <t xml:space="preserve">Factor desc.</t>
  </si>
  <si>
    <t xml:space="preserve">VP ahorro</t>
  </si>
  <si>
    <t xml:space="preserve">Acum. ahorro (sin desc.)</t>
  </si>
  <si>
    <t xml:space="preserve">Acum. TBI</t>
  </si>
  <si>
    <t xml:space="preserve">Acum. RBI</t>
  </si>
  <si>
    <t xml:space="preserve">Flag payback</t>
  </si>
  <si>
    <t xml:space="preserve">Total recalculado</t>
  </si>
  <si>
    <t xml:space="preserve">Totales: impreso en el paper vs recalculado (Tablas 7–10, p.12)</t>
  </si>
  <si>
    <t xml:space="preserve">Estrategia</t>
  </si>
  <si>
    <t xml:space="preserve">Intr.: recalc. (costo+pérdida)</t>
  </si>
  <si>
    <t xml:space="preserve">Intr.: impreso</t>
  </si>
  <si>
    <t xml:space="preserve">Dif. intr.</t>
  </si>
  <si>
    <t xml:space="preserve">No intr.: recalc.</t>
  </si>
  <si>
    <t xml:space="preserve">No intr.: impreso</t>
  </si>
  <si>
    <t xml:space="preserve">Dif. no intr.</t>
  </si>
  <si>
    <t xml:space="preserve">Mejor RBI (recalc.): intrusiva</t>
  </si>
  <si>
    <t xml:space="preserve">empates en el mínimo:</t>
  </si>
  <si>
    <t xml:space="preserve">Mejor RBI (recalc.): no intrusiva</t>
  </si>
  <si>
    <t xml:space="preserve">Mejor RBI según el paper</t>
  </si>
  <si>
    <t xml:space="preserve">Intrusiva: RBI-2 · No intrusiva: RBI-1 (p.10)</t>
  </si>
  <si>
    <t xml:space="preserve">¿RBI mejor que TBI en todos los casos? (recalc.)</t>
  </si>
  <si>
    <t xml:space="preserve">Indicadores de la selección (estrategia y modo en Inputs) – RBI vs TBI</t>
  </si>
  <si>
    <t xml:space="preserve">Toda la vida del plan (2023–2056)</t>
  </si>
  <si>
    <t xml:space="preserve">VAN del ahorro RBI vs TBI ($, descontado a r_o)</t>
  </si>
  <si>
    <t xml:space="preserve">Σ ahorro_t·FD; t=año−2023. Ahorro = costo TBI − costo RBI (inspección + RBI + paro planificado)</t>
  </si>
  <si>
    <t xml:space="preserve">Ahorro sin descontar ($)</t>
  </si>
  <si>
    <t xml:space="preserve">VP costos RBI ($)</t>
  </si>
  <si>
    <t xml:space="preserve">VP costos evitados de TBI ($)</t>
  </si>
  <si>
    <t xml:space="preserve">SIR = VP costos evitados / VP costos RBI</t>
  </si>
  <si>
    <t xml:space="preserve">ROI = VAN ahorro / VP costos RBI</t>
  </si>
  <si>
    <t xml:space="preserve">Payback (año en que el ahorro acumulado sin descontar pasa a ≥0 y se mantiene)</t>
  </si>
  <si>
    <t xml:space="preserve">Lectura: el beneficio cuantificado por Oropallo es solo ahorro de inspección y paro planificado; el riesgo (EMV) no se valora en $ en el paper. Las cifras son de un solo intercambiador (orden de 10⁴ $).</t>
  </si>
  <si>
    <t xml:space="preserve">12 · EJEMPLO NUMÉRICO DEL MÉTODO (caso Oropallo ampliado: TBI vs RBI-2 intrusiva; LSE, DPN, VAN, SIR, ROI, payback, CEA)</t>
  </si>
  <si>
    <t xml:space="preserve">Qué es: aplica la cadena Dato → Ecuación → Fuente → Resultado → Impacto al caso del paper. DATOS DEL PAPER (azul): costos 4.000 $/m², 10.000 $/persona, 0,1 persona/m², 40.000 $/día, plan de inspecciones y categoría actual 1C. SUPUESTOS (amarillo): áreas de consecuencia, días de paro por falla, gff, crecimiento del Df, Df tras inspección. Modelo propio: Df(t) en diente de sierra, calibrado para que el Df cruce el límite de la categoría 3 (Df=30) en 2033, año de la primera inspección RBI del paper (Tabla 6). Corrección a su enunciado: en el paper 40.000 $ es la producción diaria (impresa "$/m²"), NO el costo de reemplazo; el reemplazo es 4.000 $/m².</t>
  </si>
  <si>
    <t xml:space="preserve">Fuente / ecuación</t>
  </si>
  <si>
    <t xml:space="preserve">C_repl (reemplazo en área afectada)</t>
  </si>
  <si>
    <t xml:space="preserve">$/m²</t>
  </si>
  <si>
    <t xml:space="preserve">Oropallo p.8</t>
  </si>
  <si>
    <t xml:space="preserve">C_inj (costo por lesión grave; el paper no lo llama VSL)</t>
  </si>
  <si>
    <t xml:space="preserve">$/persona</t>
  </si>
  <si>
    <t xml:space="preserve">Oropallo p.8. Un VSL real es de órdenes de magnitud mayor: parámetro sustituible</t>
  </si>
  <si>
    <t xml:space="preserve">ρ densidad de personas</t>
  </si>
  <si>
    <t xml:space="preserve">persona/m²</t>
  </si>
  <si>
    <t xml:space="preserve">Oropallo p.8 (impreso $/m²)</t>
  </si>
  <si>
    <t xml:space="preserve">CA_cmd área de daño al componente</t>
  </si>
  <si>
    <t xml:space="preserve">m²</t>
  </si>
  <si>
    <t xml:space="preserve">Eq.9–11 (p.6) – el paper no reporta CA</t>
  </si>
  <si>
    <t xml:space="preserve">CA_inj área de lesiones</t>
  </si>
  <si>
    <t xml:space="preserve">Eq.10 (p.6) – no reportada</t>
  </si>
  <si>
    <t xml:space="preserve">días</t>
  </si>
  <si>
    <t xml:space="preserve">FC_prod Eq.13 – no reportado</t>
  </si>
  <si>
    <t xml:space="preserve">FC_affa + FC_environ</t>
  </si>
  <si>
    <t xml:space="preserve">Eq.13 – el paper no da valores</t>
  </si>
  <si>
    <t xml:space="preserve">1/año</t>
  </si>
  <si>
    <t xml:space="preserve">API 581 Parte 2 Tabla 3.1 (recordada)</t>
  </si>
  <si>
    <t xml:space="preserve">PENDIENTE de validación</t>
  </si>
  <si>
    <t xml:space="preserve">Puntuación del sistema de gestión</t>
  </si>
  <si>
    <t xml:space="preserve">Oropallo p.8 (Anexo 2.A)</t>
  </si>
  <si>
    <t xml:space="preserve">API 581 Anexo 2.A (fórmula recordada)</t>
  </si>
  <si>
    <t xml:space="preserve">Df inicial (riesgo actual 1C)</t>
  </si>
  <si>
    <t xml:space="preserve">Fig. 5 p.10 (categoría 1 ⇒ Df≈1 por Df≤2)</t>
  </si>
  <si>
    <t xml:space="preserve">Dato paper (interpretado)</t>
  </si>
  <si>
    <t xml:space="preserve">Df límite (PoF máx. permitida = categoría 3)</t>
  </si>
  <si>
    <t xml:space="preserve">Oropallo p.10; umbral Inputs</t>
  </si>
  <si>
    <t xml:space="preserve">Dato paper + umbral PENDIENTE</t>
  </si>
  <si>
    <t xml:space="preserve">Año en que se alcanza el límite</t>
  </si>
  <si>
    <t xml:space="preserve">Tabla 6 (1.ª inspección RBI 2033)</t>
  </si>
  <si>
    <t xml:space="preserve">Df tras inspección interna TBI</t>
  </si>
  <si>
    <t xml:space="preserve">Supuesto: efectividad suficiente para volver al nivel inicial</t>
  </si>
  <si>
    <t xml:space="preserve">Intervalo RBI-2 tras inspección B</t>
  </si>
  <si>
    <t xml:space="preserve">años</t>
  </si>
  <si>
    <t xml:space="preserve">Tabla 6 (2033→2050)</t>
  </si>
  <si>
    <t xml:space="preserve">Global</t>
  </si>
  <si>
    <t xml:space="preserve">Cálculo de la consecuencia (Eq.13)</t>
  </si>
  <si>
    <t xml:space="preserve">Ecuación</t>
  </si>
  <si>
    <t xml:space="preserve">CA_cmd × 4.000 $/m²</t>
  </si>
  <si>
    <t xml:space="preserve">Cálculo</t>
  </si>
  <si>
    <t xml:space="preserve">LSE = FC_inj (exposición económica de seguridad de vida)</t>
  </si>
  <si>
    <t xml:space="preserve">CA_inj × ρ × C_inj (modelo propio; "LSE" no es término normativo)</t>
  </si>
  <si>
    <t xml:space="preserve">días × producción diaria</t>
  </si>
  <si>
    <t xml:space="preserve">supuesto</t>
  </si>
  <si>
    <t xml:space="preserve">COF financiera FC = DPN (daño potencial neto, sin recuperaciones)</t>
  </si>
  <si>
    <t xml:space="preserve">Eq.13; DPN = FC − recuperaciones (0)</t>
  </si>
  <si>
    <t xml:space="preserve">Categoría de consecuencia</t>
  </si>
  <si>
    <t xml:space="preserve">umbrales Inputs (API 581, recordados)</t>
  </si>
  <si>
    <t xml:space="preserve">g = crecimiento anual del Df</t>
  </si>
  <si>
    <t xml:space="preserve">(Df_lim/Df₀)^(1/Δt) − 1 (modelo propio calibrado al paper)</t>
  </si>
  <si>
    <t xml:space="preserve">Df tras inspección B (implícito)</t>
  </si>
  <si>
    <t xml:space="preserve">Df_lim/(1+g)^17: el Df vuelve a llegar al límite a los 17 años del paper</t>
  </si>
  <si>
    <t xml:space="preserve">Df sin inspección (N)</t>
  </si>
  <si>
    <t xml:space="preserve">Df TBI</t>
  </si>
  <si>
    <t xml:space="preserve">Df RBI-2</t>
  </si>
  <si>
    <t xml:space="preserve">POF N</t>
  </si>
  <si>
    <t xml:space="preserve">POF TBI</t>
  </si>
  <si>
    <t xml:space="preserve">POF RBI-2</t>
  </si>
  <si>
    <t xml:space="preserve">EMV N [$/a]</t>
  </si>
  <si>
    <t xml:space="preserve">EMV TBI [$/a]</t>
  </si>
  <si>
    <t xml:space="preserve">EMV RBI-2 [$/a]</t>
  </si>
  <si>
    <t xml:space="preserve">ΔEMV = EMV_TBI − EMV_RBI</t>
  </si>
  <si>
    <t xml:space="preserve">Inspección TBI [$]</t>
  </si>
  <si>
    <t xml:space="preserve">Pérdida prod. TBI [$]</t>
  </si>
  <si>
    <t xml:space="preserve">Inspección RBI-2 [$]</t>
  </si>
  <si>
    <t xml:space="preserve">Pérdida prod. RBI-2 [$]</t>
  </si>
  <si>
    <t xml:space="preserve">Ahorro por menor inspección</t>
  </si>
  <si>
    <t xml:space="preserve">Ahorro por menor pérdida de producción</t>
  </si>
  <si>
    <t xml:space="preserve">Beneficio económico esperado</t>
  </si>
  <si>
    <t xml:space="preserve">VP beneficio</t>
  </si>
  <si>
    <t xml:space="preserve">VP acumulado</t>
  </si>
  <si>
    <t xml:space="preserve">Benef. bruto</t>
  </si>
  <si>
    <t xml:space="preserve">Costo bruto</t>
  </si>
  <si>
    <t xml:space="preserve">Definición / lectura</t>
  </si>
  <si>
    <t xml:space="preserve">VAN del beneficio económico esperado ($)</t>
  </si>
  <si>
    <t xml:space="preserve">Σ(ΔEMV + ahorro inspección + ahorro pérdida prod.)·FD</t>
  </si>
  <si>
    <t xml:space="preserve">  del cual: ahorro por menor inspección (nominal)</t>
  </si>
  <si>
    <t xml:space="preserve">TBI − RBI, sin descontar</t>
  </si>
  <si>
    <t xml:space="preserve">  del cual: ahorro por menor pérdida de producción (nominal)</t>
  </si>
  <si>
    <t xml:space="preserve">paro planificado evitado, sin descontar</t>
  </si>
  <si>
    <t xml:space="preserve">  del cual: riesgo evitado ΔEMV (nominal; negativo = RBI acepta más riesgo)</t>
  </si>
  <si>
    <t xml:space="preserve">valor esperado, NO caja</t>
  </si>
  <si>
    <t xml:space="preserve">componentes positivos por año</t>
  </si>
  <si>
    <t xml:space="preserve">componentes negativos por año</t>
  </si>
  <si>
    <t xml:space="preserve">VP ben. / VP costos (propio)</t>
  </si>
  <si>
    <t xml:space="preserve">primer año desde el cual el VP acumulado es ≥0 y permanece ≥0</t>
  </si>
  <si>
    <t xml:space="preserve">Costo evitado anualizado, versión suya: [Δpérdida prod. + Δinspección + ΔEMV] por año (11 flujos t0–t10)</t>
  </si>
  <si>
    <t xml:space="preserve">nominal; correcto solo si "lucro cesante" es el PARANDO PLANIFICADO (el no planificado ya está en EMV)</t>
  </si>
  <si>
    <t xml:space="preserve">Costo evitado anualizado, valor presente equivalente (EAA) = VAN × r / (1 − (1+r)^−n)</t>
  </si>
  <si>
    <t xml:space="preserve">renta anual equivalente al VAN a 10 años (modelo propio)</t>
  </si>
  <si>
    <t xml:space="preserve">Control: ahorro nominal inspección + pérdida prod. 2023–2033 frente a Oropallo_Calc (RBI-2 intrusiva)</t>
  </si>
  <si>
    <t xml:space="preserve">Lectura: en este caso 1C/C el riesgo evitado es de cientos de dólares por año y el ΔEMV acumulado es negativo (el plan RBI acepta más riesgo que el TBI, dentro del target). Casi todo el beneficio es la pérdida de producción planificada evitada (una sola parada interna TBI de 6 h); el ahorro por menor inspección es de 270 $ en 10 años. Es coherente con Oropallo y con la observación de que en 1C no hay riesgo que cobrar.</t>
  </si>
  <si>
    <t xml:space="preserve">13 · MATRIZ RAM 5×5: POSICIÓN DEL RIESGO ANTES Y DESPUÉS (sin inspección → RBI → FFS) Y REDUCCIÓN CUANTIFICADA</t>
  </si>
  <si>
    <t xml:space="preserve">Construcción: probabilidad 1–5 (por Df) × consecuencia A–E (por FC en $). Nivel por regla provisional P+C (modelo propio): ≤5 B, 6 M, 7 MA, ≥8 A; anclada en 1C ≤ medio y 3C = límite (Oropallo Fig. 5). Posiciones: [N] sin inspección 2036; [T] TBI 2033; [R] RBI-2 2033; [F] FFS Nivel 2 apto sobre N; [X] FFS no apto con reparación. Parámetros FFS amarillos = SUPUESTO (el paper no tiene FFS).</t>
  </si>
  <si>
    <t xml:space="preserve">Parámetro FFS / reparación</t>
  </si>
  <si>
    <t xml:space="preserve">Df tras FFS apto (nuevo estado: t_rd, Cr, vida remanente)</t>
  </si>
  <si>
    <t xml:space="preserve">Supuesto didáctico</t>
  </si>
  <si>
    <t xml:space="preserve">Df tras reparación (FFS no apto)</t>
  </si>
  <si>
    <t xml:space="preserve">Área a reparar</t>
  </si>
  <si>
    <t xml:space="preserve">Costo de reparación = área × 4.000 $/m²</t>
  </si>
  <si>
    <t xml:space="preserve">Usa el costo de reemplazo del paper como proxy (modelo propio)</t>
  </si>
  <si>
    <t xml:space="preserve">Costo de la evaluación FFS</t>
  </si>
  <si>
    <t xml:space="preserve">Posición</t>
  </si>
  <si>
    <t xml:space="preserve">Tag</t>
  </si>
  <si>
    <t xml:space="preserve">Df</t>
  </si>
  <si>
    <t xml:space="preserve">Cat. PoF</t>
  </si>
  <si>
    <t xml:space="preserve">Orden nivel</t>
  </si>
  <si>
    <t xml:space="preserve">EMV [$/a]</t>
  </si>
  <si>
    <t xml:space="preserve">Δ categorías PoF vs N</t>
  </si>
  <si>
    <t xml:space="preserve">Δ niveles vs N</t>
  </si>
  <si>
    <t xml:space="preserve">Riesgo evitado vs N [$/a]</t>
  </si>
  <si>
    <t xml:space="preserve">Costo de la acción [$]</t>
  </si>
  <si>
    <t xml:space="preserve">Nota</t>
  </si>
  <si>
    <t xml:space="preserve">Riesgo inicial (paper)</t>
  </si>
  <si>
    <t xml:space="preserve">I</t>
  </si>
  <si>
    <t xml:space="preserve">1C: dato del paper</t>
  </si>
  <si>
    <t xml:space="preserve">Sin inspección</t>
  </si>
  <si>
    <t xml:space="preserve">N</t>
  </si>
  <si>
    <t xml:space="preserve">Df crece 40 %/a: cruza cat. 3 tras 2033</t>
  </si>
  <si>
    <t xml:space="preserve">T</t>
  </si>
  <si>
    <t xml:space="preserve">TBI: Df vuelve a 1 en la parada interna 2029</t>
  </si>
  <si>
    <t xml:space="preserve">RBI-2 (inspección B)</t>
  </si>
  <si>
    <t xml:space="preserve">R</t>
  </si>
  <si>
    <t xml:space="preserve">Tras inspección B, Df ≈ 0,09</t>
  </si>
  <si>
    <t xml:space="preserve">FFS Nivel 2, apto</t>
  </si>
  <si>
    <t xml:space="preserve">F</t>
  </si>
  <si>
    <t xml:space="preserve">FFS no repara: recalcula Df con el nuevo estado</t>
  </si>
  <si>
    <t xml:space="preserve">FFS no apto + reparación</t>
  </si>
  <si>
    <t xml:space="preserve">X</t>
  </si>
  <si>
    <t xml:space="preserve">Costo de reparación = riesgo convertido en caja</t>
  </si>
  <si>
    <t xml:space="preserve">Matriz con posiciones marcadas (filas = PoF 5→1; columnas = CoF A→E):</t>
  </si>
  <si>
    <t xml:space="preserve">Riesgo inicial [I] 1C → sin inspección [N] 4C (Medio-alto, EXCEDE el target medio) → RBI [R] 1C → FFS apto [F] 2C. Reducción en categorías = Δ PoF (columna K); en niveles = Δ (L); financiera = riesgo evitado vs N (M) frente al costo de la acción (N). Aquí EMV es pequeño porque es un riesgo de consecuencia C: la acción se justifica por cumplimiento del risk target y seguridad, no por ahorro de riesgo.</t>
  </si>
  <si>
    <t xml:space="preserve">14 · FÓRMULAS PROPUESTAS: LSE, VALOR DE VIDA ESTADÍSTICA, DPN, COSTO EVITADO ANUALIZADO (modelo propio sobre Eq.13 del paper)</t>
  </si>
  <si>
    <t xml:space="preserve">LSE (exposición económica de seguridad de vida) = CA_inj × ρ × C_inj = FC_inj de la Eq.13. Con el paper: CA_inj × 0,1 × 10.000 $ = 1.000 $ por m² de área de lesiones. "LSE" NO es término de API 581: es el nombre que usted propone.</t>
  </si>
  <si>
    <t xml:space="preserve">Valor de la vida estadística (VSL): el paper usa 10.000 $/persona como costo de lesión grave; eso no es un VSL. Fórmula general: FC_inj = CA_inj × ρ × (P_lesión × C_lesión + P_fatal × VSL). Con los datos del paper P_fatal=1 y VSL = C_inj = 10.000 $; un VSL real (política pública/corporativa) cambia FC_inj por órdenes de magnitud. PENDIENTE: política de Ecopetrol.</t>
  </si>
  <si>
    <t xml:space="preserve">DPN (daño potencial neto) = FC − R, con FC = FC_cmd + FC_affa + FC_prod + FC_inj + FC_environ (Eq.13) y R = recuperaciones (seguro, salvamento). Su fórmula "L × 40.000 + Área × 4.000 + LSE" mezcla unidades: 40.000 $ es $/día de producción, no $/m de tubería; el daño al componente es CA_cmd × 4.000 $/m² y la producción es días × 40.000 $/día.</t>
  </si>
  <si>
    <t xml:space="preserve">Costo evitado anualizado: (a) CEA_nominal = promedio anual de [Δpérdida de producción planificada + Δinspección + ΔEMV]; (b) CEA_VP (renta equivalente) = VAN × r / (1 − (1+r)^−n). No sumar además el lucro cesante por falla: ya está dentro de EMV vía FC_prod.</t>
  </si>
  <si>
    <t xml:space="preserve">15 · EXTRAPOLACIÓN A RECIPIENTES A PRESIÓN DE BARRANCABERMEJA (250.000 bbl/d y 52 unidades = datos suyos, no verificados)</t>
  </si>
  <si>
    <t xml:space="preserve">Fuente / lectura</t>
  </si>
  <si>
    <t xml:space="preserve">Capacidad de la refinería</t>
  </si>
  <si>
    <t xml:space="preserve">bbl/d</t>
  </si>
  <si>
    <t xml:space="preserve">Dato dado en el encargo</t>
  </si>
  <si>
    <t xml:space="preserve">Dato del usuario – PENDIENTE de validar</t>
  </si>
  <si>
    <t xml:space="preserve">Unidades de proceso</t>
  </si>
  <si>
    <t xml:space="preserve">unidades</t>
  </si>
  <si>
    <t xml:space="preserve">Producción promedio por unidad</t>
  </si>
  <si>
    <t xml:space="preserve">Promedio simple: las unidades reales difieren mucho (destilación ≫ servicios)</t>
  </si>
  <si>
    <t xml:space="preserve">Valor de producción promedio por unidad</t>
  </si>
  <si>
    <t xml:space="preserve">× margen ilustrativo (Inputs)</t>
  </si>
  <si>
    <t xml:space="preserve">Estimación</t>
  </si>
  <si>
    <t xml:space="preserve">Relación con los 40.000 $/día del paper</t>
  </si>
  <si>
    <t xml:space="preserve">≈1 indica que el orden de magnitud del paper es razonable para una unidad promedio</t>
  </si>
  <si>
    <t xml:space="preserve">Nº de recipientes con perfil tipo V-220</t>
  </si>
  <si>
    <t xml:space="preserve">VAN 10 años (beneficio esperado) [$]</t>
  </si>
  <si>
    <t xml:space="preserve">Lectura</t>
  </si>
  <si>
    <t xml:space="preserve">Cota superior ingenua: supone perfiles idénticos e independientes y descarta efectos de escala/recursos de paro</t>
  </si>
  <si>
    <t xml:space="preserve">Mecanismo dominante</t>
  </si>
  <si>
    <t xml:space="preserve">Módulo API 581 (Parte 2)</t>
  </si>
  <si>
    <t xml:space="preserve">Entradas clave</t>
  </si>
  <si>
    <t xml:space="preserve">NDE típica a evaluar (efectividad A–E)</t>
  </si>
  <si>
    <t xml:space="preserve">Sulfidación (alta temperatura)</t>
  </si>
  <si>
    <t xml:space="preserve">Adelgazamiento (Sec. 4). La velocidad NO viene de tabla: requiere estudio de corrosión (API 571; curvas de sulfidación)</t>
  </si>
  <si>
    <t xml:space="preserve">Temperatura, % S, contenido de Cr del material, velocidad</t>
  </si>
  <si>
    <t xml:space="preserve">UT/PAUT de espesores, radiografía de perfil</t>
  </si>
  <si>
    <t xml:space="preserve">PENDIENTE: velocidades por circuito</t>
  </si>
  <si>
    <t xml:space="preserve">Corrosión nafténica</t>
  </si>
  <si>
    <t xml:space="preserve">Adelgazamiento (Sec. 4), velocidad de estudio de corrosión</t>
  </si>
  <si>
    <t xml:space="preserve">TAN, temperatura, velocidad/turbulencia, Mo del acero</t>
  </si>
  <si>
    <t xml:space="preserve">UT/PAUT en puntos de alta velocidad</t>
  </si>
  <si>
    <t xml:space="preserve">PENDIENTE: TAN del crudo procesado</t>
  </si>
  <si>
    <t xml:space="preserve">Adelgazamiento general/local</t>
  </si>
  <si>
    <t xml:space="preserve">Sec. 4 (Oropallo Eqs. 4–8)</t>
  </si>
  <si>
    <t xml:space="preserve">Espesor medido, velocidad, edad, factores F_IP, F_DL</t>
  </si>
  <si>
    <t xml:space="preserve">UT, mapeo C-scan, radiografía</t>
  </si>
  <si>
    <t xml:space="preserve">Verificado solo en el paper</t>
  </si>
  <si>
    <t xml:space="preserve">CUI (ferrítico)</t>
  </si>
  <si>
    <t xml:space="preserve">Oropallo cita Tabla 16.2M ⇒ Sec. 16 (usted indica Sec. 17: verificar); Eq. 3</t>
  </si>
  <si>
    <t xml:space="preserve">Temperatura, tipo de aislamiento, condición, complejidad</t>
  </si>
  <si>
    <t xml:space="preserve">Radiografía de perfil, pulsed eddy current, retiro de aislamiento</t>
  </si>
  <si>
    <t xml:space="preserve">Paper: verificado parcial; edición PENDIENTE</t>
  </si>
  <si>
    <t xml:space="preserve">Corrosión externa: Oropallo cita la Tabla 15.2M ⇒ Sección 15 de la Parte 2; usted la ubica en la Sección 16 y el CUI en la 17. Como los números de tabla llevan el número de sección, el paper sugiere 15 y 16. Verificar en la edición aplicable antes de citar.</t>
  </si>
  <si>
    <t xml:space="preserve">16 · QUÉ PARTE DE CADA NORMA APLICA A CADA PASO (ubicaciones: verificadas en el paper vs atribuidas por el encargo vs recordadas)</t>
  </si>
  <si>
    <t xml:space="preserve">Paso</t>
  </si>
  <si>
    <t xml:space="preserve">Actividad</t>
  </si>
  <si>
    <t xml:space="preserve">API 581 / API 580</t>
  </si>
  <si>
    <t xml:space="preserve">ASME PCC-3 (Secc. 7–10 según el encargo)</t>
  </si>
  <si>
    <t xml:space="preserve">API 579-1 / ASME FFS-1</t>
  </si>
  <si>
    <t xml:space="preserve">Otras</t>
  </si>
  <si>
    <t xml:space="preserve">Estado de verificación</t>
  </si>
  <si>
    <t xml:space="preserve">1</t>
  </si>
  <si>
    <t xml:space="preserve">Definir alcance, circuitos, mecanismos y objetivo de riesgo</t>
  </si>
  <si>
    <t xml:space="preserve">Parte 1 (planificación; risk target: Oropallo p.7)</t>
  </si>
  <si>
    <t xml:space="preserve">Planificación del análisis y gestión</t>
  </si>
  <si>
    <t xml:space="preserve">—</t>
  </si>
  <si>
    <t xml:space="preserve">API 571 (mecanismos); ISO 14224 (taxonomía)</t>
  </si>
  <si>
    <t xml:space="preserve">Paper verificado; secciones PENDIENTE</t>
  </si>
  <si>
    <t xml:space="preserve">2</t>
  </si>
  <si>
    <t xml:space="preserve">POF = gff × Df × FMS</t>
  </si>
  <si>
    <t xml:space="preserve">Parte 2 (ecuación a ubicar); Tabla 3.1 gff; Anexo 2.A FMS</t>
  </si>
  <si>
    <t xml:space="preserve">ISO 14224 para calibrar gff</t>
  </si>
  <si>
    <t xml:space="preserve">Eq. 1 del paper verificada; norma PENDIENTE</t>
  </si>
  <si>
    <t xml:space="preserve">3</t>
  </si>
  <si>
    <t xml:space="preserve">Df por mecanismo</t>
  </si>
  <si>
    <t xml:space="preserve">Sec. 4 adelgazamiento; Secs. 15 y 16 externa/CUI (según tablas 15.2M/16.2M del paper); usted indica 16 y 17</t>
  </si>
  <si>
    <t xml:space="preserve">Idoneidad de la inspección según mecanismo</t>
  </si>
  <si>
    <t xml:space="preserve">API 571</t>
  </si>
  <si>
    <t xml:space="preserve">Conflicto de numeración: verificar</t>
  </si>
  <si>
    <t xml:space="preserve">4</t>
  </si>
  <si>
    <t xml:space="preserve">Actualización del POF por NDE (efectividad A–E)</t>
  </si>
  <si>
    <t xml:space="preserve">Parte 2: tablas de efectividad por mecanismo; Bayes (Oropallo Tabla 1, Eq. 7)</t>
  </si>
  <si>
    <t xml:space="preserve">Gestión de riesgo con actividades de inspección</t>
  </si>
  <si>
    <t xml:space="preserve">Paper verificado; tablas PENDIENTE</t>
  </si>
  <si>
    <t xml:space="preserve">5</t>
  </si>
  <si>
    <t xml:space="preserve">COF: áreas y financiera</t>
  </si>
  <si>
    <t xml:space="preserve">Parte 3 (Nivel 1 y 2); Oropallo Eqs. 9–13. El paper NO enumera "12 pasos"; usted los menciona</t>
  </si>
  <si>
    <t xml:space="preserve">Pasos de la norma: PENDIENTE</t>
  </si>
  <si>
    <t xml:space="preserve">6</t>
  </si>
  <si>
    <t xml:space="preserve">Matriz RAM y risk target</t>
  </si>
  <si>
    <t xml:space="preserve">Parte 1 (matriz 5×5 desbalanceada; usted cita Tablas 4.1 y 4.2 en Parte 3: verificar)</t>
  </si>
  <si>
    <t xml:space="preserve">Matriz de riesgo de ejemplo</t>
  </si>
  <si>
    <t xml:space="preserve">Matriz corporativa</t>
  </si>
  <si>
    <t xml:space="preserve">Fig. 5 del paper verificada</t>
  </si>
  <si>
    <t xml:space="preserve">7</t>
  </si>
  <si>
    <t xml:space="preserve">Plan de inspección (inspeccionar antes de cruzar el target)</t>
  </si>
  <si>
    <t xml:space="preserve">Parte 1 / Tabla 6 del paper</t>
  </si>
  <si>
    <t xml:space="preserve">Gestión de inspección</t>
  </si>
  <si>
    <t xml:space="preserve">Paper verificado</t>
  </si>
  <si>
    <t xml:space="preserve">8</t>
  </si>
  <si>
    <t xml:space="preserve">Riesgo sobre el objetivo o hallazgo de daño</t>
  </si>
  <si>
    <t xml:space="preserve">FFS Nivel 1 → 2 → 3 (API 579-1 Partes 4/5/6)</t>
  </si>
  <si>
    <t xml:space="preserve">Norma PENDIENTE de lectura</t>
  </si>
  <si>
    <t xml:space="preserve">9</t>
  </si>
  <si>
    <t xml:space="preserve">Resultado FFS: apto → recalcular POF; no apto → reparar/reemplazar</t>
  </si>
  <si>
    <t xml:space="preserve">Recalcular Df con nuevo estado</t>
  </si>
  <si>
    <t xml:space="preserve">Reparación: ASME PCC-2 (no PCC-3)</t>
  </si>
  <si>
    <t xml:space="preserve">RSF, MAWP reducida, vida remanente</t>
  </si>
  <si>
    <t xml:space="preserve">Norma PENDIENTE</t>
  </si>
  <si>
    <t xml:space="preserve">10</t>
  </si>
  <si>
    <t xml:space="preserve">Economía: EMV, flujo, VAN, SIR, ROI, payback, CEA</t>
  </si>
  <si>
    <t xml:space="preserve">ISO 15663; ISO/TS 55010</t>
  </si>
  <si>
    <t xml:space="preserve">Modelo propio</t>
  </si>
  <si>
    <t xml:space="preserve">PCC-3 (lo que el encargo atribuye a sus secciones 7–10): complementa a API 581 en la gestión del riesgo con actividades de inspección y aporta una matriz de riesgo de ejemplo. No pude abrir PCC-3: la numeración de secciones y el contenido exacto quedan PENDIENTES.</t>
  </si>
  <si>
    <t xml:space="preserve">17 · METODOLOGÍA FINAL PASO A PASO Y VALIDACIÓN CONTRA EL PAPER (OK / INCONSISTENTE por fórmula)</t>
  </si>
  <si>
    <t xml:space="preserve">1. Configurar (API 580/581 P1, PCC-3): circuitos, mecanismos (API 571), matriz RAM y risk target corporativos.</t>
  </si>
  <si>
    <t xml:space="preserve">2. Línea base cuantitativa (API 581 P2/P3): gff, FMS, Df por mecanismo, COF = Σ5 componentes; EMV₀ = POF₀ × COF₀.</t>
  </si>
  <si>
    <t xml:space="preserve">3. Posicionar en la matriz: categoría P (Df) × C (FC); si el nivel supera el target en algún año del horizonte, programar intervención.</t>
  </si>
  <si>
    <t xml:space="preserve">4. Inspeccionar (PCC-3/API 581): elegir mecanismo, técnica y efectividad A–E; programar antes del año en que el riesgo alcanza el target (regla de Oropallo).</t>
  </si>
  <si>
    <t xml:space="preserve">5. Actualizar Df con el resultado y la efectividad (Bayes, Eq. 7) → POF₁ y nueva posición; reevaluar tras cada inspección (evergreening).</t>
  </si>
  <si>
    <t xml:space="preserve">6. Si hay daño o el riesgo sigue sobre el target: FFS Nivel 1→2→3 (API 579-1). Apto → recalcular Df/POF con el nuevo estado y vida remanente; no apto → costo de reparación o reemplazo (PCC-2) y nuevo Df.</t>
  </si>
  <si>
    <t xml:space="preserve">7. Flujos ciertos por alternativa: inspección, FFS, reparación/reemplazo (+diferimiento), OPEX, paro planificado. El paro no planificado solo dentro de EMV.</t>
  </si>
  <si>
    <t xml:space="preserve">8. Indicadores: ΔEMV, beneficio económico esperado, VAN 1 y 10 años, SIR, ROI, payback, CEA; sensibilidad bajo/base/alto (ISO 15663).</t>
  </si>
  <si>
    <t xml:space="preserve">9. Validar contra Oropallo (tabla siguiente) y documentar dato/supuesto/pendiente (ISO/TS 55010).</t>
  </si>
  <si>
    <t xml:space="preserve">Riesgo cualitativo (matriz RAM) vs cuantitativo (API 581): la matriz clasifica en categorías ordinales para comunicar y fijar el target; API 581 da POF y COF en unidades (1/año, $) que permiten EMV, ΔEMV y VAN. Se complementan: lo cuantitativo alimenta la posición en la matriz, y la matriz fija el umbral que dispara inspección y FFS. Dos equipos en la misma celda pueden tener EMV muy distintos: no se comparan dólares dentro de una celda.</t>
  </si>
  <si>
    <t xml:space="preserve">Validación contra Oropallo</t>
  </si>
  <si>
    <t xml:space="preserve">Valor del modelo</t>
  </si>
  <si>
    <t xml:space="preserve">Valor del paper</t>
  </si>
  <si>
    <t xml:space="preserve">Riesgo inicial 1C dentro del target medio</t>
  </si>
  <si>
    <t xml:space="preserve">Medio (p.9)</t>
  </si>
  <si>
    <t xml:space="preserve">Fig. 5</t>
  </si>
  <si>
    <t xml:space="preserve">Límite 3C = nivel medio (PoF máx. permitida 3)</t>
  </si>
  <si>
    <t xml:space="preserve">Fig. 5, p.10</t>
  </si>
  <si>
    <t xml:space="preserve">FC calculada en categoría C (consecuencia del paper)</t>
  </si>
  <si>
    <t xml:space="preserve">Fig. 5: 1C (con CA supuestas)</t>
  </si>
  <si>
    <t xml:space="preserve">Pérdida por 6 h de paro = 10.000 $</t>
  </si>
  <si>
    <t xml:space="preserve">Tabla 9</t>
  </si>
  <si>
    <t xml:space="preserve">TBI intrusiva: total recalculado vs impreso</t>
  </si>
  <si>
    <t xml:space="preserve">Tabla 9 (43.360 $)</t>
  </si>
  <si>
    <t xml:space="preserve">TBI no intrusiva: total recalculado vs impreso</t>
  </si>
  <si>
    <t xml:space="preserve">Tabla 10 (3.840 $)</t>
  </si>
  <si>
    <t xml:space="preserve">RBI-1 intrusiva: total recalculado vs impreso</t>
  </si>
  <si>
    <t xml:space="preserve">Tabla 7 (11.650 $)</t>
  </si>
  <si>
    <t xml:space="preserve">RBI-2 intrusiva: total recalculado vs impreso</t>
  </si>
  <si>
    <t xml:space="preserve">Tabla 7 (1.170 $ impreso; suma de filas 1.410 $)</t>
  </si>
  <si>
    <t xml:space="preserve">RBI-1 no intrusiva: total recalculado vs impreso</t>
  </si>
  <si>
    <t xml:space="preserve">Tabla 8 (1.080 $ impreso; suma 2.010 $)</t>
  </si>
  <si>
    <t xml:space="preserve">Tasa de corrosión: suma de componentes vs declarada</t>
  </si>
  <si>
    <t xml:space="preserve">Texto p.8</t>
  </si>
  <si>
    <t xml:space="preserve">Df implícito tras inspección A&lt;B&lt;C&lt;D (monótono en efectividad)</t>
  </si>
  <si>
    <t xml:space="preserve">Intervalos de la Tabla 6 (A 23 a, B 17 a, C 12 a, D 9 a) con g constante: coherente; B ≈ piso 0,1 de la Eq. 8</t>
  </si>
  <si>
    <t xml:space="preserve">Ajuste propuesto (modelo propio, no dato del paper): Tabla 8, RBI-2, año 2050: 600 $ (CUIF-B, Tabla 4) en lugar de 360 $ = +240 $.</t>
  </si>
  <si>
    <t xml:space="preserve">18 · METODOLOGÍA DE INTEGRACIÓN VAN ↔ OROPALLO ↔ API 581 (paso a paso) Y LITERATURA CON DOI</t>
  </si>
  <si>
    <t xml:space="preserve">Paso 1 · Fronteras: equipo/circuito, mecanismos de daño (API 571), horizonte económico (aquí 10 años; Oropallo planifica 2023–2056) y alternativas: 0 = TBI/actual, 1 = RBI(+NDE+FFS+reparación).</t>
  </si>
  <si>
    <t xml:space="preserve">Paso 2 · Riesgo técnico por año: POF(t)=gff·Df(t)·FMS (Oropallo Eq.1 p.4; API 581 Parte 2, ecuación PENDIENTE de ubicar). Df(t) de Eqs. 4–8 (p.5–6) o del software RBI; categoría 1–5 (Fig. 5).</t>
  </si>
  <si>
    <t xml:space="preserve">Paso 3 · COF financiera en $: FC=FC_cmd+FC_affa+FC_prod+FC_inj+FC_environ (Eq.13 p.6–7). El paro NO planificado vive aquí.</t>
  </si>
  <si>
    <t xml:space="preserve">Paso 4 · EMV_j(t)=POF_j(t)×COF(t) para cada alternativa j=0,1 (Oropallo no lo calcula: es el aporte de este DSS); ΔEMV=EMV₀−EMV₁. Es valor esperado, no caja.</t>
  </si>
  <si>
    <t xml:space="preserve">Paso 5 · Regla de planificación de Oropallo (p.7–9): inspeccionar justo antes de que el riesgo alcance el risk target (Fig. 5–6); fija años y efectividad (Tabla 6). Verificar con la matriz RAM antes/después.</t>
  </si>
  <si>
    <t xml:space="preserve">Paso 6 · Flujos ciertos por alternativa: inspección/NDE (Tablas 4–5), sistema RBI (210 $/activo), paro planificado = horas/24×producción diaria (Tablas 9–10), FFS, reparación/reemplazo, OPEX.</t>
  </si>
  <si>
    <t xml:space="preserve">Paso 7 · Costo esperado total de cada alternativa: C_j=Σ_t (Caja_jt+EMV_jt)/(1+r)^t (criterio de Khan &amp; Haddara 2004; Straub &amp; Faber 2005; Kallen &amp; van Noortwijk 2005; estructura LCC de ISO 15663).</t>
  </si>
  <si>
    <t xml:space="preserve">Paso 8 · Beneficio de RBI: VAN=C₀−C₁ = Σ[ΔCaja_t+ΔEMV_t]/(1+r)^t, a 1 y 10 años. SIR, ROI y payback se calculan sobre los mismos flujos (definiciones propias, no normativas).</t>
  </si>
  <si>
    <t xml:space="preserve">Paso 9 · Anti doble conteo: (a) paro no planificado solo en COF; (b) inspección reduce POF por información, la reparación por reset de Df: cada reducción se cuenta una vez; (c) FC_cmd (falla) ≠ costo de reparación planificada; (d) lesiones aparte (no caja).</t>
  </si>
  <si>
    <t xml:space="preserve">Paso 10 · Sensibilidad y control: bajo/base/alto en precio, margen, downtime, inspección, reparación (ISO 15663); comprobar que el camino RBI cumple el risk target y que Δcosto esperado = ΔCaja + ΔEMV (identidad de control).</t>
  </si>
  <si>
    <t xml:space="preserve">Literatura para integrar VAN/SIR/ROI (DOI verificado solo donde se indica):</t>
  </si>
  <si>
    <t xml:space="preserve">• Khan &amp; Haddara (2004) Process Saf. Prog. 23(4):252–265 — https://doi.org/10.1002/prs.10010 — Aporta: Riesgo = PoF×CoF como costo esperado; intervalo de inspección que minimiza costo total (inspección + riesgo). Sustenta C_total = Σ(caja + EMV). [DOI del PDF de Oropallo; contenido NO leído]</t>
  </si>
  <si>
    <t xml:space="preserve">• Straub &amp; Faber (2005) Struct. Saf. 27(4):335–355 — https://doi.org/10.1016/j.strusafe.2005.04.001 — Aporta: Teoría de decisión bayesiana: valor de la inspección = reducción del costo esperado al actualizar la probabilidad. Sustenta ΔEMV como 'valor de la información' y la regla 'inspeccionar antes de cruzar el target'. [DOI del PDF de Oropallo; contenido NO leído]</t>
  </si>
  <si>
    <t xml:space="preserve">• Kallen &amp; van Noortwijk (2005) Reliab. Eng. Syst. Saf. 90(2–3):177–185 — https://doi.org/10.1016/j.ress.2004.10.004 — Aporta: Decisiones óptimas de mantenimiento con inspección imperfecta: corrosión como proceso gamma, actualización bayesiana de la tasa con medidas de espesor imperfectas y minimización del costo esperado. Es el análogo académico de Oropallo Eq.7 + criterio económico. [Existencia/DOI confirmados por búsqueda web; texto NO leído]</t>
  </si>
  <si>
    <t xml:space="preserve">• Inspection Value Method (ECNDT 1998) — https://www.ndt.net/article/ecndt98/reliabil/318/318.htm — Aporta: Cuantifica costos y beneficios de inspección en términos monetarios con fórmulas financieras estándar (VAN). Respaldo para VAN de planes de inspección. [Resumen de búsqueda; página NO abierta (sin DOI)]</t>
  </si>
  <si>
    <t xml:space="preserve">• ISO 15663 (Partes 1–3) – Life cycle costing — (norma de pago) — Aporta: Marco de LCC: periodo de estudio, estructura de costos, descuento, sensibilidad. Define el VAN; no define SIR/ROI/payback. [PENDIENTE de lectura]</t>
  </si>
  <si>
    <t xml:space="preserve">Lo que el paper NO aporta y este DSS añade (modelo propio): descuento, VAN, SIR, ROI, payback, EMV bajo TBI y RBI, FFS, reparación, OPEX, diferimientos, sensibilidad.</t>
  </si>
  <si>
    <t xml:space="preserve">19 · AUDITORÍA, INVENTARIO, BIBLIOGRAFÍA, NORMAS, RESPUESTAS Y PENDIENTES</t>
  </si>
  <si>
    <t xml:space="preserve">19.0 Verificado con los adjuntos (Bertolini 2009; API 581 Adenda 1 abr-2019 Parte 1 §8; ASME PCC-3-2022)</t>
  </si>
  <si>
    <t xml:space="preserve">API 581 Parte 1 §8, ejemplo 8.4.2: Cf = 25 %·100.000·4/100 + 25.000 + 25.000 + 0 = 150.000 $ (Eq. 1.65) ✓; Pf,max = 75.000/150.000 = 0,5 (Eq. 1.68) ✓; ejemplo de inspección: tasa = (0,12−0,104)/11,75 = 0,001362 in/a (1.71) y PBL_adj = 0,5·0,12/0,001362 = 44,1 años (1.72) ✓ recalculados. No reproduje los 7,1 y 17,1 años (la aplicación de la incertidumbre AU 50 %/30 % no queda clara en el texto).</t>
  </si>
  <si>
    <t xml:space="preserve">API 581 Parte 1 §8.6.4: una inspección no reduce el riesgo por sí misma; reduce la incertidumbre y conoce la condición real (curva Weibull se desplaza). §8.7.2: decisión inspeccionar/reemplazar comparando costo de la acción con el riesgo incremental por diferir (Eqs. 1.78–1.80). El texto dice "En la Ecuación (1.80), t1…" (debe ser 1.78) y la nomenclatura da EIR en $/año aunque la ecuación da $ por intervalo.</t>
  </si>
  <si>
    <t xml:space="preserve">API 581 Parte 1 §8.1.4/8.3.3: los módulos usan una biblioteca de confiabilidad (Weibayes). Es la ruta API para haces; la coraza (Oropallo) usa gff·Df·FMS. Un intercambiador de tubo y coraza requiere ambos módulos.</t>
  </si>
  <si>
    <t xml:space="preserve">ASME PCC-3-2022: es una guía de planificación; define cualitativo/semicuantitativo/cuantitativo como continuo (Fig. 3.3.1-1), 6 niveles de probabilidad (§7.3) y de pérdida económica (Tabla 8.3.7-1), matriz de ejemplo (Fig. 9.5.1-1) y gráfico NPVS (§9.5.3). No contiene ecuaciones de POF ni de VAN.</t>
  </si>
  <si>
    <t xml:space="preserve">Bertolini 2009 (leído): J-factor = (riesgo original − nuevo)/costo, sin descuento y con riesgo en puntaje de matriz; ver 19.3.</t>
  </si>
  <si>
    <t xml:space="preserve">19.1 Auditoría del paper (inconsistencias)</t>
  </si>
  <si>
    <t xml:space="preserve">#1 [Aritmético] Tabla 7, estrategia 2 (p.12): Total impreso 1.170 $ ≠ suma de filas 210+600+600 = 1.410 $.</t>
  </si>
  <si>
    <t xml:space="preserve">#2 [Aritmético] Tabla 8, estrategia 1 (p.12): Total impreso 1.080 $ es la fila 2056, no el total: 210+720+1.080 = 2.010 $.</t>
  </si>
  <si>
    <t xml:space="preserve">#3 [Aritmético/consistencia] Tabla 8, estrategia 2 (p.12): 2050 usa 360 $ (costo de CUIF-D) en vez de 600 $ (CUIF-B, Tablas 4 y 6). Total impreso 1.170 $; con 600 $ → 1.410 $.</t>
  </si>
  <si>
    <t xml:space="preserve">#4 [Conclusión afectada] Conclusión de la mejor estrategia (p.10): Recalculado: intrusiva → RBI-2 y RBI-4 empatan en 1.410 $; no intrusiva → RBI-2 y RBI-4 empatan en 1.410 $ y RBI-1 (2.010 $) NO es la mejor, contra lo que dice el paper. La ventaja de RBI sobre TBI se mantiene.</t>
  </si>
  <si>
    <t xml:space="preserve">#5 [Consistencia] Texto p.8, tasa de corrosión: Tasa total declarada 0,132 mm/a ≠ suma 0,05+0,025+0,127 = 0,202; además el Df se calcula por mecanismo, no sumando tasas.</t>
  </si>
  <si>
    <t xml:space="preserve">#6 [Modelo propio – pendiente] Chequeo propio: espesor requerido (Tabla 2): Con t=P·R/(S·E−0,6P) (forma tipo ASME VIII-1, no verificada) se obtiene ≈8,03 mm vs medido 8,3 mm (2018): margen 0,27 mm que a 0,05 mm/a se agota ≈2023,5, pero el paper obtiene 1C y la primera inspección de adelgazamiento en 2056. Implica otro t_min/sobreespesor o datos no reportados.</t>
  </si>
  <si>
    <t xml:space="preserve">#7 [Editorial] Tabla 1 y texto p.6: Texto: 'cuatro niveles' de efectividad; Tabla 1 lista cinco (A–E).</t>
  </si>
  <si>
    <t xml:space="preserve">#8 [Editorial] Tabla 6, leyenda (p.10): CUIF-C definido como 'effectiveness B'.</t>
  </si>
  <si>
    <t xml:space="preserve">#9 [Unidades] p.8, costos: Producción diaria impresa en '$/m²'; debe ser $/día (6 h × 40.000/24 = 10.000 $, Tabla 9). Costo de reemplazo 4.000 $/m² y lesión 10.000 $/persona con 0,1 persona/m² sí son por área.</t>
  </si>
  <si>
    <t xml:space="preserve">#10 [Unidades] Fig. 7–8 vs Tablas: Figuras en € y tablas en $.</t>
  </si>
  <si>
    <t xml:space="preserve">#11 [Interpretación] Fig. 6: Ejes sin unidades; el riesgo cae a ≈0 tras cada inspección: una inspección actualiza conocimiento, no repara el daño físico.</t>
  </si>
  <si>
    <t xml:space="preserve">#12 [Alcance] Comparación TBI vs RBI: No calcula EMV bajo TBI ni descuenta flujos: compara solo inspección + paro planificado. No hay VAN/SIR/ROI.</t>
  </si>
  <si>
    <t xml:space="preserve">#13 [Editorial] Conclusiones p.13: Dice que el caso es específico de un almacenamiento, pero es una planta petroquímica de etileno (p.3).</t>
  </si>
  <si>
    <t xml:space="preserve">#14 [Verificar vs API 581] Eq. 8 (p.6): Solo lista F_IP y F_DL, pero el texto (p.8) dice que 'todos los factores de ajuste' se fijaron en 1.</t>
  </si>
  <si>
    <t xml:space="preserve">#15 [Consistencia] Eq. 6 (p.5) vs Tabla 2 (p.8): Eq. 6 define D como diámetro EXTERNO; Tabla 2 da diámetro INTERNO (203 mm). Impacto en SR_P sin cuantificar.</t>
  </si>
  <si>
    <t xml:space="preserve">#16 [Validación fallida – descartado] Reconstrucción propia del Df (esta sesión): Usando Eqs. 4–7 con probabilidades a priori/condicionales recordadas (NO verificadas) y A_rt=Cr·age/t_rd, el Df 2023 sale ≈11,6 (adelgazamiento), ≈42,6 (CUI), ≈9,0 (ext.), incompatible con la categoría 1C del paper (Df≲2). Se DESCARTA el motor propio: el Df debe venir del software RBI/API 581 licenciado.</t>
  </si>
  <si>
    <t xml:space="preserve">#17 [Omisión] Dato faltante: Tabla 2: 'Volume 0,903' sin unidades; FMS numérico, FC y POF no reportados.</t>
  </si>
  <si>
    <t xml:space="preserve">19.2 Inventario de Oropallo (elemento · página · contenido · función en el DSS · utilidad económica · verificación)</t>
  </si>
  <si>
    <t xml:space="preserve">Eq. 1 (p.4): PoF(t)=gff_total·Df(t)·F_MS (API RP 581, 2016) → Núcleo de POF; base de Calculo_EMV · Utilidad: Alta · Verificado en PDF Oropallo</t>
  </si>
  <si>
    <t xml:space="preserve">Eq. 2 (p.5): Cr=Cr_B·max[F_EQ,F_IF] (corrosión externa, ferrítico) → Entrada del Df externo (tabla 15.2M API 581) · Utilidad: Baja (insumo técnico) · Verificado en PDF Oropallo</t>
  </si>
  <si>
    <t xml:space="preserve">Eq. 3 (p.5): Cr=Cr_B·F_INS·F_CM·F_IC·max[F_EQ,F_IF] (CUI) → Entrada del Df CUI (tablas 16.2M, 16.3) · Utilidad: Baja (insumo técnico) · Verificado en PDF Oropallo</t>
  </si>
  <si>
    <t xml:space="preserve">Eq. 4 (p.5): A_rt=Cr·age/t_rd (fracción de pérdida de espesor) → Progresión de daño en el tiempo → Df(t) · Utilidad: Media · Verificado en PDF Oropallo</t>
  </si>
  <si>
    <t xml:space="preserve">Eq. 5 (p.5): FS=(YS+TS)/2·E·1,1 (flow stress) → Resistencia: entrada de SR_P · Utilidad: Baja · Verificado en PDF Oropallo</t>
  </si>
  <si>
    <t xml:space="preserve">Eq. 6 (p.5): SR_P=P·D/(α·FS·t_rd); α=factor de forma (2 para cilindro) → Ratio de resistencia; α definido aquí · Utilidad: Baja · Verificado en PDF Oropallo</t>
  </si>
  <si>
    <t xml:space="preserve">Eq. 7 (p.5–6): Df=[Po_p1Φ(−β1)+Po_p2Φ(−β2)+Po_p3Φ(−β3)]/(1,56·10⁻⁴) → Actualización bayesiana del Df por inspección NDE · Utilidad: Alta (traduce inspección → Df → ΔPOF) · Verificado en PDF Oropallo</t>
  </si>
  <si>
    <t xml:space="preserve">Eq. 8 (p.6): Df_thin=max[Df_B·F_IP·F_DL ; 0,1] → Ajuste final del Df de adelgazamiento (piso 0,1) · Utilidad: Media · Verificado en PDF Oropallo</t>
  </si>
  <si>
    <t xml:space="preserve">Eq. 9 (p.6): CA=Σ gff_n·CA_n / gff_total → CoF por área ponderada por tamaño de fuga · Utilidad: Media · Verificado en PDF Oropallo</t>
  </si>
  <si>
    <t xml:space="preserve">Eq. 10–12 (p.6): CA_inj=max[flam,tox,nfnt]; CA_cmd=CA_cmd^flam; CA=max[CA_cmd,CA_inj] → CoF por área final · Utilidad: Media · Verificado en PDF Oropallo</t>
  </si>
  <si>
    <t xml:space="preserve">Eq. 13 (p.6–7): FC=FC_cmd+FC_affa+FC_prod+FC_inj+FC_environ → CoF financiera: aquí vive el paro NO planificado → no se suma aparte · Utilidad: Alta · Verificado en PDF Oropallo</t>
  </si>
  <si>
    <t xml:space="preserve">Tabla 1 (p.5): Efectividad de inspección A–E (confianza 80–100 %, 60–80 %, 40–60 %, 20–40 %, &lt;20 %) → Entrada de la actualización NDE del Df · Utilidad: Alta · Verificado en PDF Oropallo</t>
  </si>
  <si>
    <t xml:space="preserve">Tabla 2 (p.8): Datos del equipo (P, D, espesor 8,3, YS, TS, año 1974, confianza de datos 'Low') → Línea base → Inputs · Utilidad: Baja (caso único) · Verificado en PDF Oropallo</t>
  </si>
  <si>
    <t xml:space="preserve">Tabla 3 (p.9): Priorización de efectividad por estrategia RBI 1–4 → Diseño de alternativas de plan · Utilidad: Media · Verificado en PDF Oropallo</t>
  </si>
  <si>
    <t xml:space="preserve">Tablas 4–5 (p.9–10): Costos y horas de paro por tipo de inspección (intrusiva / no intrusiva) → Catálogo de costos → Catalogo · Utilidad: Alta (único dato de costo del paper) · Verificado en PDF Oropallo</t>
  </si>
  <si>
    <t xml:space="preserve">Tabla 6 (p.10): Plan RBI por estrategia y año (2023–2056) → Cronograma → Plan_TBI_RBI · Utilidad: Alta · Verificado en PDF Oropallo</t>
  </si>
  <si>
    <t xml:space="preserve">Tablas 7–8 (p.12): Costos RBI intrusivo / no intrusivo (total impreso) → Comparación → Oropallo_Calc (con discrepancias, ver Auditoria_Paper) · Utilidad: Alta · Verificado en PDF Oropallo</t>
  </si>
  <si>
    <t xml:space="preserve">Tablas 9–10 (p.12): Costos TBI intrusivo (43.360 $) / no intrusivo (3.840 $) → Línea base TBI · Utilidad: Alta · Verificado en PDF Oropallo</t>
  </si>
  <si>
    <t xml:space="preserve">Fig. 1 (p.3): Flujo general del DSS → Arquitectura · Utilidad: Nula · Verificado en PDF Oropallo</t>
  </si>
  <si>
    <t xml:space="preserve">Fig. 2 (p.6): Esquema de consecuencias (flam./tox./no-flam./financiera) → Arquitectura CoF · Utilidad: Baja · Verificado en PDF Oropallo</t>
  </si>
  <si>
    <t xml:space="preserve">Fig. 3 (p.7): Flujo de la metodología RBI → Arquitectura RBI · Utilidad: Baja · Verificado en PDF Oropallo</t>
  </si>
  <si>
    <t xml:space="preserve">Fig. 4 (p.8): DSS aplicado al caso → Arquitectura del caso · Utilidad: Nula · Verificado en PDF Oropallo</t>
  </si>
  <si>
    <t xml:space="preserve">Fig. 5 (p.10): Matriz de riesgo 5×5 'unbalanced': riesgo actual 1C; target = medio; PoF máx. permitida = 3 → RAM_5x5 (antes/después y target) · Utilidad: Media · Verificado en PDF Oropallo</t>
  </si>
  <si>
    <t xml:space="preserve">Fig. 6 (p.11): Riesgo vs tiempo por estrategia; riesgo nunca alcanza el target → Verificación de cumplimiento del risk target · Utilidad: Media (ejes sin unidades) · Verificado en PDF Oropallo</t>
  </si>
  <si>
    <t xml:space="preserve">Fig. 7–8 (p.13): Costo acumulado TBI vs RBI (intrusiva: RBI-2; no intrusiva: RBI-1) → Resultado económico; replicado en Oropallo_Calc · Utilidad: Alta · Verificado en PDF Oropallo</t>
  </si>
  <si>
    <t xml:space="preserve">Metodología §2.3 (p.7–10): Plan 2023–2056, 4 estrategias, inspección justo antes de alcanzar el target, evergreening → Lógica de planificación: inspeccionar antes de cruzar el target · Utilidad: Alta · Verificado en PDF Oropallo</t>
  </si>
  <si>
    <t xml:space="preserve">Hallazgo 1 (p.10, 12): RBI más económico que TBI con diferencia creciente en el tiempo → Valida la dirección del beneficio (ahorro de inspección + paro) · Utilidad: Alta · Verificado en PDF Oropallo</t>
  </si>
  <si>
    <t xml:space="preserve">Hallazgo 2 (p.10, 13): NDE no intrusiva cuesta más por inspección pero ahorra paro → menor costo total → Fuente real de beneficio cuantificado (downtime evitado) · Utilidad: Alta · Verificado en PDF Oropallo</t>
  </si>
  <si>
    <t xml:space="preserve">Conclusión §4 (p.12–13): RBI ventajoso vs TBI; beneficio incremental; evergreening tras cada inspección → Alcance/límites; reevaluar riesgo tras cada inspección · Utilidad: Media · Verificado en PDF Oropallo</t>
  </si>
  <si>
    <t xml:space="preserve">Limitaciones §4 (p.13): Solo 3 mecanismos (adelgazamiento, corrosión externa, CUI); caso único; proyecciones teóricas → Límites de extrapolación a Barrancabermeja · Utilidad: — · Verificado en PDF Oropallo</t>
  </si>
  <si>
    <t xml:space="preserve">Aplicación industrial (p.8–9): Planta petroquímica (España), datos SGS; TBI c/3 a externa y c/9 a interna; Real Decreto 2060/2008 → Referente de caso; normativa NO es la colombiana · Utilidad: — · Verificado en PDF Oropallo</t>
  </si>
  <si>
    <t xml:space="preserve">No cuantificado por el paper: EMV (riesgo en $) bajo TBI o RBI: el paper no reporta FC ni POF numéricos (solo categoría 1C). | Descuento / VAN / SIR / ROI / payback: no existen en el paper (costos sin descontar). | Valor económico de FFS, reparación, reemplazo, OPEX, diferimientos. | Precio del crudo, margen, sensibilidades.</t>
  </si>
  <si>
    <t xml:space="preserve">19.3 Bibliografía: 3 referencias más relevantes (+ suplentes)</t>
  </si>
  <si>
    <t xml:space="preserve">1. Bertolini, Bevilacqua, Ciarapica, Giacchetta (2009) 'Development of risk-based inspection and maintenance procedures for an oil refinery'. J. Loss Prev. Process Ind. 22(2), 244–253. — https://doi.org/10.1016/j.jlp.2009.01.003 — LEÍDO. Procedimiento RBI&amp;M de 6 módulos (panel Delphi de 15 expertos, refinería de Ancona, 3,9 Mt/año): matriz 5×5 (probabilidad A–E × severidad 1–5 con 4 impactos: seguridad, ambiente, reputación y económico &lt;10 k€ … &gt;10 M€), riesgo = probabilidad × exposición × consecuencia, y J-factor = (riesgo original − riesgo nuevo)/costo. Resultados (Tabla 5): horas −20 %/−14 %, costos −18 %/−9 %; partidas en parada −23 % (2004) y −9,5 % (2005). NO usa API 581 ni VAN y su 'riesgo' es un puntaje de matriz, no dólares. Aporta: matriz multi-impacto, J-factor como antecedente del SIR y evidencia de ahorros en refinería. Corrige mi descripción previa ('análisis económico'), que era excesiva.</t>
  </si>
  <si>
    <t xml:space="preserve">2. Khan &amp; Haddara (2004) 'Risk-Based Maintenance (RBM): a new approach for process plant inspection and maintenance'. Process Saf. Prog. 23(4), 252–265. — https://doi.org/10.1002/prs.10010 — Base conceptual de riesgo = PoF×CoF como costo esperado y de la optimización del intervalo de inspección (mínimo de costo de inspección + riesgo). Sostiene el núcleo ΔEMV y la decisión de 'cuándo inspeccionar'.</t>
  </si>
  <si>
    <t xml:space="preserve">3. Straub &amp; Faber (2005) 'Risk based inspection planning for structural systems'. Struct. Saf. 27(4), 335–355. — https://doi.org/10.1016/j.strusafe.2005.04.001 — Marco de decisión bayesiano: una inspección vale su 'valor de la información' (reduce costo esperado al actualizar la probabilidad). Es la justificación teórica de por qué una NDE reduce POF/EMV sin reparar daño físico (hallazgo 11 de la auditoría) y de evitar doble conteo inspección–reparación.</t>
  </si>
  <si>
    <t xml:space="preserve">Alt.. Bhatia, Khan, Patel, Abbassi (2019) 'Dynamic risk-based inspection methodology'. J. Loss Prev. Process Ind. 62. — https://doi.org/10.1016/j.jlp.2019.103974 — Suplente: actualización dinámica del riesgo con datos nuevos (evergreening).</t>
  </si>
  <si>
    <t xml:space="preserve">Alt.. Rodríguez-Prieto, Camacho, Callejas, Sebastián (2020) 'Fitness for service and reliability of materials… petrochemical industry'. IEEE Access 8, 92275–92286. — https://doi.org/10.1109/ACCESS.2020.2994619 — Suplente: vínculo FFS–confiabilidad en petroquímica (útil para V-220).</t>
  </si>
  <si>
    <t xml:space="preserve">Los DOI se tomaron de la bibliografía del PDF de Oropallo (verificado). Bertolini et al. (2009) fue leído completo; Khan &amp; Haddara (2004) y Straub &amp; Faber (2005) NO se han leído: su aporte se describe por el contexto en que los cita Oropallo → PENDIENTE de lectura.</t>
  </si>
  <si>
    <t xml:space="preserve">19.4 Verificación de normas (ubicación exacta: verificada vs probable)</t>
  </si>
  <si>
    <t xml:space="preserve">POF = GFF × DF × FMS · API RP 581 · Oropallo Eq. 1 (p.4) – verificado. En API 581 3.ª ed.: Parte 2 (sección de 'Probability of Failure'), ecuación (2.1) – probable, NO verificado · Estado: Paper: verificado · Norma: PENDIENTE de validación · Acción: Confirmar sección/ecuación en la edición aplicable (3.ª ed. 2016 + Adenda 1 y 2)</t>
  </si>
  <si>
    <t xml:space="preserve">GFF (frecuencias genéricas por tamaño de fuga) · API RP 581 · Parte 2, Tabla 3.1 (probable). Recipiente: 8E-6+2E-5+2E-6+6E-7 = 3,06E-5 /año (memoria; la suma por tamaños Oropallo Eq. 9 verificada) · Estado: Valor: PENDIENTE de validación · Acción: Verificar tabla y tipo de componente (HEXSS, PV, tubería)</t>
  </si>
  <si>
    <t xml:space="preserve">FMS · API RP 581 · Anexo 2.A (citado por Oropallo p.8, verificado: puntuación 750). Fórmula FMS=10^(−0,02·pscore+1), pscore=puntuación/10 (memoria) → 750 ⇒ 0,316 · Estado: Fórmula: PENDIENTE de validación · Acción: Verificar ecuación del Anexo 2.A; Barrancabermeja debe auditar su propio sistema de gestión</t>
  </si>
  <si>
    <t xml:space="preserve">Df adelgazamiento · API RP 581 · Parte 2, sección 4 (probable). Oropallo Eqs. 4–8 y 'Step 6' (A_rt) · Estado: Paper: verificado parcial · Norma: PENDIENTE de validación · Acción: Verificar pasos y Tabla de prob. a priori/condicional</t>
  </si>
  <si>
    <t xml:space="preserve">Df corrosión externa ferrítica / CUI ferrítico · API RP 581 · Parte 2, secciones 15 y 16 (inferido de las tablas 15.2M, 16.2M, 16.3 citadas por Oropallo p.5 y p.8, verificado) · Estado: Inferencia sólida · PENDIENTE de validación · Acción: Confirmar numeración de sección</t>
  </si>
  <si>
    <t xml:space="preserve">Actualización del Df por NDE (efectividad A–E) · API RP 581 · Oropallo Tabla 1 + Eq. 7 (verificado). Norma: Parte 2, tablas de probabilidades condicionales y a priori (memoria, no cargadas en el modelo) · Estado: Paper: verificado · Norma: PENDIENTE de validación · Acción: Cargar tablas solo tras verificar; mi reconstrucción NO reprodujo 1C (ver Auditoria #16)</t>
  </si>
  <si>
    <t xml:space="preserve">COF (áreas, financiera) · API RP 581 · Parte 3. Oropallo Eqs. 9–13 (verificado); niveles 1 y 2 (conceptual) · Estado: Paper: verificado · Norma: PENDIENTE de validación · Acción: Verificar ecuaciones y Adenda 2 sobre CA</t>
  </si>
  <si>
    <t xml:space="preserve">Categorías RAM 5×5 / risk target · API RP 581 · Parte 1 (matriz 'unbalanced'; Oropallo Fig. 5 verificada: 1C, target medio, PoF máx. 3). Rangos de categoría (Df≤2, 3–10, 11–30, 31–100, &gt;100; FC A≤10⁴ … E&gt;10⁷ $) = memoria · Estado: Rangos: PENDIENTE de validación · Acción: Sustituir por matriz corporativa Ecopetrol</t>
  </si>
  <si>
    <t xml:space="preserve">Adenda(s) 2018–2020 sobre CA · API RP 581 · Fuentes públicas indican: Adenda 2 (emitida 1-oct-2020 según la tienda) modifica Partes incl. CA; resumen público: se elimina el límite de 10.000 ft² en COF Nivel 1 y 2. Existe además un documento fechado abril 2019. NO se pudo abrir el texto · Estado: PENDIENTE · Acción: Leer el texto de las adendas; no afirmar cuál adenda contiene cada cambio</t>
  </si>
  <si>
    <t xml:space="preserve">Continuum de enfoques; shall/should/may · ASME PCC-3-2022 (leído) · API 580 (no disponible) · PCC-3 Foreword: 'shall' = requisito, 'should' = recomendación, 'may' = permiso. PCC-3 §3.3 y Fig. 3.3.1-1 'Continuum of RBI Approaches' (cualitativo – semicuantitativo – cuantitativo); §3.3.4: los enfoques son complementarios, no competidores · Estado: PCC-3: VERIFICADO · API 580: PENDIENTE de validación · Acción: Verificar la convención y las claves de un programa en API 580 (ed. aplicable)</t>
  </si>
  <si>
    <t xml:space="preserve">PCC-3 §7–10 (POF, COF, riesgo, gestión con inspección) · ASME PCC-3-2022 (leído) · §7 Determining POF (categorías de 3 y 6 niveles, §7.3); §8 Determining COF (§8.3.6–8.3.7: costo de oportunidad = valor diario de la unidad × días de paro; Tabla 8.3.7-1 de 6 niveles de pérdida económica); §9 (Fig. 9.5.1-1 matriz de ejemplo; §9.5.3 gráfico de ahorro de valor presente neto vs tiempo de inspección); §10.1 la inspección no detiene el daño: reduce incertidumbre. PCC-3 NO trae la ecuación POF=gff·Df·FMS · Estado: VERIFICADO · Acción: </t>
  </si>
  <si>
    <t xml:space="preserve">API 581 Adenda 1 (abril 2019) Parte 1 §8 Haces de intercambiadores · API RP 581 3.ª ed. 2016 + Adenda 1 (leído, pp. 1-86 a 1-102) · POF del haz por Weibull (Eq. 1.54–1.61, 1.74–1.77); Cf=Cost_prod+Cost_env+Cost_bundle+Cost_maint (1.62); Cost_prod=Unit·D_sd·Rate_red/100 (1.63); Riesgo=Pf·Cf (1.66); Pf,max=Risk_tgt/Cf (1.67); riesgo incremental esperado por diferir EIR=Cf·(1−[1−Pf(t2)]/[1−Pf(t1)]) (1.78); inspeccionar si (Cost_insp+Cost_maint)(1+ROR)&lt;EIR (1.79); reemplazar (1.80); frecuencia óptima de reemplazo minimizando costo total (1.81–1.89). Matriz de riesgo: Parte 1 Figs. 4.2 y 4.3 y Tabla 8.7 (por referencia cruzada) · Estado: VERIFICADO (módulo de haces; la POF de la coraza con Df NO está en este extracto) · Acción: Las Eqs. 1.78–1.80 son la base API de 'ahorro por diferimiento'</t>
  </si>
  <si>
    <t xml:space="preserve">FFS Niveles 1–3 · API 579-1/ASME FFS-1 · Nivel 3 = análisis detallado (FEA elasto-plástico); Partes 4 (GML), 5 (LTA), 6 (picaduras) … · Estado: Conocimiento: PENDIENTE de validación · Acción: Verificar partes y criterios (RSF, MAWP reducida)</t>
  </si>
  <si>
    <t xml:space="preserve">Reparación temporal/permanente · ASME PCC-2 (NO PCC-3) · ASME PCC-3 es 'Inspection Planning Using Risk-Based Methods'; las reparaciones están en PCC-2 · Estado: Corrección al enunciado · PENDIENTE de validación · Acción: Usar PCC-3 para planificación RBI y PCC-2 para reparaciones</t>
  </si>
  <si>
    <t xml:space="preserve">Mecanismos de daño · API RP 571 · Catálogo de mecanismos; entrada al screening de Df · Estado: Conocimiento: PENDIENTE de validación · Acción: Revisión de mecanismos por unidad (U-200, V-220)</t>
  </si>
  <si>
    <t xml:space="preserve">Datos de falla/downtime · ISO 14224 · Taxonomía de equipos, modos/mecanismos de falla, tiempos de reparación → calibrar GFF y horas de paro · Estado: Conocimiento: PENDIENTE de validación · Acción: Mapear CMMS de Barrancabermeja a ISO 14224</t>
  </si>
  <si>
    <t xml:space="preserve">Costo de ciclo de vida · ISO 15663 (Partes 1–3) · Marco de LCC: estructura de costos, periodo de estudio, tasa de descuento, VAN, sensibilidad · Estado: Conocimiento: PENDIENTE de validación · Acción: Verificar cláusulas; ISO 15663 no define SIR/ROI/payback</t>
  </si>
  <si>
    <t xml:space="preserve">Alineación financiera–técnica · ISO/TS 55010 · Conciliar categorías contables (CAPEX/OPEX) con datos técnicos de gestión de activos · Estado: Conocimiento: PENDIENTE de validación · Acción: Verificar; usar para evitar doble conteo</t>
  </si>
  <si>
    <t xml:space="preserve">19.5 Respuestas a las preguntas</t>
  </si>
  <si>
    <t xml:space="preserve">1. ¿Qué es α en la Eq. 2.16?  →  En Oropallo no existe 'Eq. 2.16': el ratio de resistencia está en la Eq. 6 (p.5): SR_P = P·D/(α·FS·t_rd), donde α es el factor de forma geométrica del componente (2 para cilindro, p.5). Es consistente con σ_aro = P·D/(2t). La numeración '2.x' corresponde a la Parte 2 de API 581; allí SR_P aparece en el paso de resistencia del Df de adelgazamiento (por indicios públicos, tras A_rt = Eq. 2.13), posiblemente como 2.16 — NO verificado. Nota: Eq. 6 dice D externo y Tabla 2 da D interno.  [Paper: verificado (Eq. 6) · API 581 nº de ecuación: PENDIENTE de validación]</t>
  </si>
  <si>
    <t xml:space="preserve">2. ¿Cómo actualiza una inspección NDE el DF?  →  (1) Se definen 3 estados de daño (factores 1, 2, 4 sobre la tasa esperada, p.5). (2) Cada inspección, según su efectividad A–E (Tabla 1), actualiza las probabilidades a priori de cada estado con probabilidades condicionales → probabilidades posteriores Po_p1–3 (p.6). (3) Con el ratio A_rt y SR_P se calcula el índice β de cada estado. (4) Df = [ΣPo_pi·Φ(−β_i)]/1,56·10⁻⁴ (Eq. 7). Mayor efectividad y más inspecciones concentran la posterior en el estado real → baja la incertidumbre; el Df puede bajar (o subir si se confirma daño). No repara daño físico (Fig. 6, Auditoría #11).  [Paper: verificado (p.5–6). Valores de probabilidades: PENDIENTE de validación]</t>
  </si>
  <si>
    <t xml:space="preserve">3. ¿Qué elementos son indispensables en RBI para evaluar beneficios?  →  Mínimo para cuantificar beneficio económico: (a) POF = gff·Df·FMS por mecanismo de daño; (b) CoF financiera FC (5 componentes, Eq. 13); (c) efectividad y costo de cada inspección/mitigación (Tablas 1, 4, 5); (d) plan en el tiempo y risk target (Fig. 5, p.9); (e) evergreening; (f) costos de paro planificado; (g) tasa de descuento y horizonte (NO están en el paper: los aporta el DSS). Claves de un programa RBI según API 580: sistema de gestión, método de PoF, método de CoF y método de gestión del riesgo documentados.  [Paper: verificado · API 580: PENDIENTE de validación]</t>
  </si>
  <si>
    <t xml:space="preserve">4. ¿Cuál es el continuum de enfoques RBI?  →  API 580 describe RBI como un continuo de cualitativo → semicuantitativo → cuantitativo (no tres cajas aisladas); API 581 es el extremo cuantitativo. Oropallo (p.4) describe los mismos tres tipos: cualitativo (puntajes subjetivos), semicuantitativo (intermedio) y cuantitativo (modelos numéricos). Un programa corporativo suele mezclarlos: screening cualitativo de todo el inventario, API 581 cuantitativo en lo crítico.  [Paper: verificado (p.4) · figura/sección de API 580: PENDIENTE de validación]</t>
  </si>
  <si>
    <t xml:space="preserve">5. ¿Qué cambia con el Addendum 2019 sobre CA?  →  No pude abrir el texto. Fuentes públicas reportan que las adendas de API 581 3.ª ed. modifican definiciones, ecuaciones y tablas, y que se eliminó el límite de 10.000 ft² en el área de consecuencia de COF Nivel 1 y 2 (límite pensado para derrames de líquido inflamable que propagaban fuego en charco). Existe un documento público fechado abril 2019 y una 'Addendum 2' del 1-oct-2020; no puedo asignar cada cambio a una adenda. Efecto práctico: CA de líquidos inflamables puede subir → FC y EMV suben → mayor ΔEMV.  [Resumen de fuentes públicas (no el texto): PENDIENTE de validación]</t>
  </si>
  <si>
    <t xml:space="preserve">6. Diferencias Level 1 vs Level 2 de COF  →  Level 1: método simplificado con fluidos representativos tabulados y ecuaciones cerradas de CA según tasa de fuga; adecuado para cribado de muchos equipos. Level 2: cálculo detallado con propiedades del fluido/mezcla, tasas y duraciones de fuga, mitigación y (para toxicidad) dispersión más rigurosa; para equipos críticos o donde Level 1 es poco conservador/demasiado conservador. Oropallo no indica qué nivel usó (Eqs. 9–12 son comunes).  [Conceptual: PENDIENTE de validación]</t>
  </si>
  <si>
    <t xml:space="preserve">7. ¿Qué significa GFF para riesgo 1C?  →  1C = categoría de probabilidad 1 (la más baja) y de consecuencia financiera C. Con Df≈1, POF = gff·Df·FMS ≈ gff·FMS: el riesgo está en el piso definido por la frecuencia genérica y el sistema de gestión, no por daño activo. Implicación económica: en 1C casi no hay ΔEMV que capturar; el beneficio de RBI viene de inspeccionar menos / sin paro (justo lo que muestra Oropallo), no de riesgo evitado. Además GFF es un valor de industria (no de la planta): si no se calibra, ΔEMV hereda esa incertidumbre.  [Paper: 1C verificado (Fig. 5). Lectura: razonamiento del agente.]</t>
  </si>
  <si>
    <t xml:space="preserve">8. ¿Cómo simular U-200?  →  U-200 se trata como unidad agregada (modelo ILUSTRATIVO en Excel): 1) dividir en circuitos/equipos con Df propio (aquí: 25 componentes equivalentes, supuesto); 2) por cada uno gff, Df0(t) sin plan (TBI) y Df1(t) con plan RBI (NDE en operación, reparación dirigida); 3) CoF de unidad: FC_prod con el margen de toda la unidad (Eq. 13); 4) EMV0, EMV1, ΔEMV por año; 5) flujo incremental y VAN. Resultado ilustrativo: aun con RBI permanece en nivel Alto por consecuencia E → requiere mitigación de consecuencia, no solo inspección. Sustituir todos los datos por los de Ecopetrol.  [Modelo propio ilustrativo; datos: supuesto]</t>
  </si>
  <si>
    <t xml:space="preserve">9. ¿Cómo aplicar FFS Nivel 3 a V-220?  →  Secuencia: 1) identificar mecanismo (API 571) y medir (mapeo PAUT/UT de espesores, propiedades del material); 2) Niveles 1 y 2 (API 579-1 Partes 4/5/6 según el tipo de pérdida) – si no pasan, 3) Nivel 3: FEA elasto-plástico 3D del recipiente con la geometría degradada, criterio de colapso plástico y factor de resistencia remanente (RSF) contra el admisible; 4) salidas: presión máxima admisible reducida, vida remanente, intervalo de reinspección; 5) retroalimentar al RBI (t_rd, Cr → Df) y al flujo: costo FFS (−), reparación/reemplazo diferido (+), paro evitado (+); no contar además el mismo riesgo evitado dos veces. En Excel: V-220, fila 2027 (FFS 180 k$ ilustrativo) → reparación local 2028 en lugar del reemplazo 2029.  [API 579-1: PENDIENTE de validación · Modelo de flujo: propio]</t>
  </si>
  <si>
    <t xml:space="preserve">10. Key elements of an RBI program and Oropallo methodology  →  Elementos (API 580/581): gestión y documentación, método de PoF, método de CoF, gestión del riesgo con inspección/mitigación. Oropallo (Fig. 3, p.7): mecanismos de daño + consecuencias + tasas de progresión + efectividad de inspección + mitigación → probabilidad de pérdida; risk target; plan (mecanismo, técnica, efectividad, fecha); evergreening.  [Paper: verificado · API 580: PENDIENTE de validación]</t>
  </si>
  <si>
    <t xml:space="preserve">11. Absolute vs relative risk (API 581)  →  Riesgo absoluto: valor numérico de POF×CoF en unidades (área/año o $/año); permite EMV y ΔEMV. Riesgo relativo: posición en ranking/matriz (categorías) para priorizar. API 581 produce ambos, pero el absoluto depende de gff e insumos genéricos: para flujo de caja hay que calibrarlo; para priorizar basta el relativo. Por eso aquí ΔEMV se reporta como 'valor esperado', no caja.  [Conceptual: PENDIENTE de validación]</t>
  </si>
  <si>
    <t xml:space="preserve">12. 'shall' vs 'should' en API 580/581  →  En las prácticas recomendadas API: 'shall' = requisito mínimo para conformar con el documento; 'should' = recomendación/consejo no obligatorio. Para auditar: lo 'shall' de API 580 (elementos clave de un programa) es la lista mínima de cumplimiento; lo 'should' es práctica a adoptar según criterio.  [Conocimiento de la convención API: verificar en el prefacio/alcance de cada documento]</t>
  </si>
  <si>
    <t xml:space="preserve">13. Tipos de evaluación RBI y viabilidad para Barrancabermeja  →  Tipos: cualitativa, semicuantitativa, cuantitativa (API 581) – un continuo. Viabilidad: SÍ es viable, condicionada a: inventario y datos de inspección confiables (Oropallo usó confianza de datos 'Low'), gff calibrado con datos propios (ISO 14224), matriz/risk target corporativo, auditoría del sistema de gestión (FMS), capacidad NDE en operación, y reevaluación tras cada inspección. La evidencia del paper (1 intercambiador, ahorros de ~10 k$ en 10 años) es de escala pequeña: el caso económico de Barrancabermeja se sostiene con equipos de alta consecuencia y paros evitados grandes, no con el ahorro de inspección.  [Paper + razonamiento del agente; no hay datos de Barrancabermeja]</t>
  </si>
  <si>
    <t xml:space="preserve">14. Equipos y mecanismos que cubren API 580/581  →  API 581: recipientes a presión, tuberías, tanques atmosféricos y fondos, PRD, haces de tubos de intercambiadores (y bombas/compresores en CoF). Mecanismos (Parte 2): adelgazamiento general/local, revestimiento, daño externo (corrosión y CUI, ferrítico y austenítico), SCC (cáusticos, aminas, sulfuros, carbonatos, cloruros, HF…), HTHA, fractura frágil y fragilización, fatiga mecánica (tubería), entre otros; API 571 es el catálogo de referencia. Oropallo solo evalúa adelgazamiento, corrosión externa y CUI.  [Paper: verificado (alcance) · lista API: PENDIENTE de validación]</t>
  </si>
  <si>
    <t xml:space="preserve">15. ¿Cómo se integra ISO 15663 en el VAN/ROI/VPN?  →  ISO 15663 (LCC) aporta la estructura: alcance/periodo de estudio, desglose de costos (CAPEX, OPEX, costo de indisponibilidad/riesgo), tasa de descuento, VAN y análisis de sensibilidad e incertidumbre. En el Excel: periodo 10 años, flujos fin de año, tasa = Inputs; costos separados por categoría (Flujo_Anual). ROI, SIR y payback son definiciones propias (ISO 15663 no las fija). Con ISO/TS 55010 se concilia la clasificación contable (CAPEX/OPEX, diferimientos) con los datos técnicos.  [Conocimiento: PENDIENTE de validación]</t>
  </si>
  <si>
    <t xml:space="preserve">16. Diferencia entre daño técnico y financiero; matriz RAM cost  →  Daño técnico: POF/Df y CA (m² afectados): mide qué tan probable y grande es el daño físico. Daño financiero: FC en $ (Eq. 13: daño al componente, a equipos vecinos, producción, lesiones, ambiente). Matriz RAM: eje de probabilidad (categorías 1–5 por Df) × consecuencia financiera (A–E por $); Oropallo usa la financiera (1C). Tres lenguajes que no deben mezclarse: riesgo técnico (categoría), beneficio económico esperado (ΔEMV, valor esperado) y flujo de caja (costos/ahorros ciertos).  [Paper: verificado (Fig. 2, 5; Eq. 13)]</t>
  </si>
  <si>
    <t xml:space="preserve">17. ¿Qué impacto tiene FMS en el ahorro total? GFF y DF  →  ΔEMV = gff·FMS·(Df0·CoF0 − Df1·CoF1): gff y FMS son multiplicadores comunes → escalan linealmente el ahorro de riesgo, sin cambiar el ranking entre equipos. Con la puntuación 750 del paper FMS≈0,316 (fórmula recordada) frente a 700 (0,398) o 500 (1,0): pasar de 700 a 500 multiplica el riesgo evitado ×2,5. En el Excel ilustrativo el riesgo evitado es ~16 % del VAN, por lo que el FMS mueve el VAN menos que el paro evitado. Df es la palanca que depende del plan de inspección.  [Lectura de Eq. 1 (verificada) + fórmula FMS: PENDIENTE de validación]</t>
  </si>
  <si>
    <t xml:space="preserve">18. ¿Cómo se define el Risk Target para Barrancabermeja?  →  Es una decisión corporativa del dueño-usuario, no de la norma (Oropallo p.7: 'máximo nivel de riesgo que el propietario puede asumir'; el paper fijó 'medio'). Propuesta: nivel máximo por celda de la matriz corporativa (p.ej. no Medio-Alto ni Alto), complementado con PoF/CoF/Df target y intervalo máximo. En el Excel: Medio (supuesto) con matriz provisional. PENDIENTE: criterio Ecopetrol y marco regulatorio colombiano.  [Paper: verificado · Barrancabermeja: PENDIENTE de validación]</t>
  </si>
  <si>
    <t xml:space="preserve">19. ¿Cómo afecta el uso de tbm y tcm al Step 6 de A_rt?  →  tbm/tcm no aparecen en Oropallo (que usa A_rt=Cr·age/t_rd, Eq. 4). Según lo que reportan fuentes públicas, en API 581 3.ª ed. el Step 6 unifica el cálculo de A_rt con y sin revestimiento (cladding/weld overlay): t_bm = espesor del metal base, t_cm = espesor del revestimiento, con edad del revestimiento age_cm = t_cm/Cr_cm: mientras el revestimiento dura se usa su velocidad de corrosión y luego la del metal base. Efecto: menor A_rt (y Df) mientras el cladding protege; después el Df sube. No pude leer la ecuación exacta.  [Indicios públicos; ecuación exacta: PENDIENTE de validación]</t>
  </si>
  <si>
    <t xml:space="preserve">20. ¿Qué impacto tiene dn en las áreas de consecuencia?  →  dn = diámetro del orificio de fuga n (Oropallo p.6: pequeño 6,4 mm, mediano 25 mm, grande 102 mm, ruptura 406 mm o diámetro del componente). Cada dn define gff_n y CA_n; la CA final es el promedio ponderado por gff (Eq. 9). CA crece fuerte con dn (mayor tasa de fuga), pero gff_n cae: el aporte de cada tamaño al riesgo depende del producto. Para recipientes de alta presión/inventario grande dominan los orificios grandes en CA y los pequeños en frecuencia.  [Paper: verificado (dn y Eq. 9); tendencia: razonamiento]</t>
  </si>
  <si>
    <t xml:space="preserve">21. ¿Qué cambia entre las definiciones de Oropallo y API 581?  →  Oropallo usa API RP 581 (2016) como referencia y simplifica: 3 mecanismos, factores de ajuste = 1, sin tbm/tcm, costos por área fijos, sin descuento, riesgo solo como restricción (no en $). Además: Eq. 4 A_rt simplificada (API 3.ª ed. usa t_min y CA), D externo vs interno, categoría de efectividad 4 vs 5 niveles. Diferencias reales con la edición exacta: PENDIENTE de validación  [Paper: verificado · edición: PENDIENTE de validación]</t>
  </si>
  <si>
    <t xml:space="preserve">22. Corrección al enunciado: ASME PCC-3  →  ASME PCC-3 es planificación de inspección basada en riesgo; la reparación/re-rating es ASME PCC-2 (y API 579 para FFS). El modelo trata 'reparación' como actividad PCC-2.  [Conocimiento: PENDIENTE de validación]</t>
  </si>
  <si>
    <t xml:space="preserve">19.6 Pendientes</t>
  </si>
  <si>
    <t xml:space="preserve">• Ubicación exacta de POF, Df, NDE, COF, RAM en API 581 (3.ª ed. + adendas) — necesita: Texto de la edición aplicable — responsable: Integridad / Ingeniería</t>
  </si>
  <si>
    <t xml:space="preserve">• Adendas de API 581 sobre CA — necesita: Texto de las adendas — responsable: Integridad</t>
  </si>
  <si>
    <t xml:space="preserve">• Tablas de probabilidades bayesianas, GFF, categorías — necesita: Tablas de API 581 (se cargarán solo verificadas) — responsable: Integridad</t>
  </si>
  <si>
    <t xml:space="preserve">• Df por equipo/año (U-200, V-220) — necesita: Salida del software RBI licenciado o cálculo API 581 verificado — responsable: Integridad</t>
  </si>
  <si>
    <t xml:space="preserve">• Matriz de riesgo y risk target Ecopetrol — necesita: Criterio corporativo — responsable: Riesgos / HSE</t>
  </si>
  <si>
    <t xml:space="preserve">• Costos: inspección, NDE, FFS, reparación, OPEX — necesita: Cotizaciones/históricos — responsable: Mantenimiento / Planeación</t>
  </si>
  <si>
    <t xml:space="preserve">• Margen, precio, horas de paro, barriles afectados — necesita: Planeación de refinería / Finanzas — responsable: Planeación</t>
  </si>
  <si>
    <t xml:space="preserve">• Tasa de descuento y convención (real/nominal, USD/COP) — necesita: Política financiera — responsable: Finanzas</t>
  </si>
  <si>
    <t xml:space="preserve">• Normativa colombiana aplicable (el paper usa RD 2060/2008, España) — necesita: Requisitos jurisdiccionales — responsable: Legal / Integridad</t>
  </si>
  <si>
    <t xml:space="preserve">• Normas ISO 15663, ISO/TS 55010, ISO 14224, API 579-1, PCC-2/3, API 571 — necesita: Acceso a las normas — responsable: Ingeniería</t>
  </si>
  <si>
    <t xml:space="preserve">• Lectura de Bertolini 2009, Khan &amp; Haddara 2004, Straub &amp; Faber 2005 — necesita: Acceso a los artículos — responsable: Integridad</t>
  </si>
  <si>
    <t xml:space="preserve">• Datos reales de U-200 y V-220 (espesores, historial, P/T, consecuencias) — necesita: Expediente de integridad — responsable: Integridad</t>
  </si>
</sst>
</file>

<file path=xl/styles.xml><?xml version="1.0" encoding="utf-8"?>
<styleSheet xmlns="http://schemas.openxmlformats.org/spreadsheetml/2006/main">
  <numFmts count="12">
    <numFmt numFmtId="164" formatCode="General"/>
    <numFmt numFmtId="165" formatCode="0.0%"/>
    <numFmt numFmtId="166" formatCode="General"/>
    <numFmt numFmtId="167" formatCode="0.000"/>
    <numFmt numFmtId="168" formatCode="0.00"/>
    <numFmt numFmtId="169" formatCode="#,##0"/>
    <numFmt numFmtId="170" formatCode="0.00E+00"/>
    <numFmt numFmtId="171" formatCode="0"/>
    <numFmt numFmtId="172" formatCode="#,##0;[RED]\-#,##0"/>
    <numFmt numFmtId="173" formatCode="0.0"/>
    <numFmt numFmtId="174" formatCode="0.0000"/>
    <numFmt numFmtId="175" formatCode="#,##0.000"/>
  </numFmts>
  <fonts count="12">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1"/>
      <color rgb="FFC00000"/>
      <name val="Cambria"/>
      <family val="0"/>
      <charset val="1"/>
    </font>
    <font>
      <b val="true"/>
      <sz val="12"/>
      <color rgb="FFFFFFFF"/>
      <name val="Cambria"/>
      <family val="0"/>
      <charset val="1"/>
    </font>
    <font>
      <b val="true"/>
      <sz val="11"/>
      <name val="Cambria"/>
      <family val="0"/>
      <charset val="1"/>
    </font>
    <font>
      <b val="true"/>
      <sz val="14"/>
      <name val="Cambria"/>
      <family val="0"/>
      <charset val="1"/>
    </font>
    <font>
      <i val="true"/>
      <sz val="11"/>
      <name val="Cambria"/>
      <family val="0"/>
      <charset val="1"/>
    </font>
    <font>
      <b val="true"/>
      <sz val="11"/>
      <color rgb="FFFFFFFF"/>
      <name val="Cambria"/>
      <family val="0"/>
      <charset val="1"/>
    </font>
    <font>
      <sz val="11"/>
      <color rgb="FF0000FF"/>
      <name val="Cambria"/>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EDEDED"/>
        <bgColor rgb="FFD9E1F2"/>
      </patternFill>
    </fill>
    <fill>
      <patternFill patternType="solid">
        <fgColor rgb="FFD9E1F2"/>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0" fillId="3" borderId="1" xfId="0" applyFont="false" applyBorder="true" applyAlignment="false" applyProtection="false">
      <alignment horizontal="general" vertical="bottom" textRotation="0" wrapText="false" indent="0" shrinkToFit="false"/>
      <protection locked="true" hidden="false"/>
    </xf>
    <xf numFmtId="169" fontId="0" fillId="3" borderId="1" xfId="0" applyFont="fals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75" fontId="0" fillId="0" borderId="1" xfId="0" applyFont="false" applyBorder="true" applyAlignment="false" applyProtection="false">
      <alignment horizontal="general" vertical="bottom" textRotation="0" wrapText="false" indent="0" shrinkToFit="false"/>
      <protection locked="true" hidden="false"/>
    </xf>
    <xf numFmtId="173" fontId="11" fillId="3" borderId="1" xfId="0" applyFont="true" applyBorder="true" applyAlignment="false" applyProtection="false">
      <alignment horizontal="general" vertical="bottom" textRotation="0" wrapText="false" indent="0" shrinkToFit="false"/>
      <protection locked="true" hidden="false"/>
    </xf>
    <xf numFmtId="172" fontId="11" fillId="3" borderId="1"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true" applyAlignment="true" applyProtection="false">
      <alignment horizontal="general" vertical="top" textRotation="0" wrapText="tru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FFEB9C"/>
        </patternFill>
      </fill>
    </dxf>
    <dxf>
      <fill>
        <patternFill>
          <bgColor rgb="FFF8CBAD"/>
        </patternFill>
      </fill>
    </dxf>
    <dxf>
      <fill>
        <patternFill>
          <bgColor rgb="FFFF999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99"/>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69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7" min="2" style="0" width="13"/>
  </cols>
  <sheetData>
    <row r="1" customFormat="false" ht="19.7" hidden="false" customHeight="false" outlineLevel="0" collapsed="false">
      <c r="A1" s="1" t="s">
        <v>0</v>
      </c>
    </row>
    <row r="2" customFormat="false" ht="15" hidden="false" customHeight="false" outlineLevel="0" collapsed="false">
      <c r="A2" s="0" t="s">
        <v>1</v>
      </c>
    </row>
    <row r="3" customFormat="false" ht="15" hidden="false" customHeight="false" outlineLevel="0" collapsed="false">
      <c r="A3" s="2" t="s">
        <v>2</v>
      </c>
    </row>
    <row r="4" customFormat="false" ht="15" hidden="false" customHeight="false" outlineLevel="0" collapsed="false">
      <c r="A4" s="3" t="s">
        <v>3</v>
      </c>
      <c r="B4" s="4"/>
      <c r="C4" s="4"/>
      <c r="D4" s="4"/>
      <c r="E4" s="4"/>
      <c r="F4" s="4"/>
      <c r="G4" s="4"/>
      <c r="H4" s="4"/>
      <c r="I4" s="4"/>
      <c r="J4" s="4"/>
      <c r="K4" s="4"/>
      <c r="L4" s="4"/>
      <c r="M4" s="4"/>
      <c r="N4" s="4"/>
      <c r="O4" s="4"/>
      <c r="P4" s="4"/>
      <c r="Q4" s="4"/>
      <c r="R4" s="4"/>
      <c r="S4" s="4"/>
      <c r="T4" s="4"/>
      <c r="U4" s="4"/>
      <c r="V4" s="4"/>
      <c r="W4" s="4"/>
      <c r="X4" s="4"/>
      <c r="Y4" s="4"/>
      <c r="Z4" s="4"/>
      <c r="AA4" s="4"/>
      <c r="AB4" s="4"/>
      <c r="AC4" s="4"/>
    </row>
    <row r="5" customFormat="false" ht="30" hidden="false" customHeight="true" outlineLevel="0" collapsed="false">
      <c r="A5" s="5" t="s">
        <v>4</v>
      </c>
      <c r="B5" s="5"/>
      <c r="C5" s="5"/>
      <c r="D5" s="5"/>
      <c r="E5" s="5"/>
      <c r="F5" s="5"/>
      <c r="G5" s="5"/>
      <c r="H5" s="5"/>
      <c r="I5" s="5"/>
      <c r="J5" s="5"/>
      <c r="K5" s="5"/>
      <c r="L5" s="5"/>
      <c r="M5" s="5"/>
      <c r="N5" s="5"/>
      <c r="O5" s="5"/>
      <c r="P5" s="5"/>
    </row>
    <row r="6" customFormat="false" ht="15" hidden="false" customHeight="true" outlineLevel="0" collapsed="false">
      <c r="A6" s="5" t="s">
        <v>5</v>
      </c>
      <c r="B6" s="5"/>
      <c r="C6" s="5"/>
      <c r="D6" s="5"/>
      <c r="E6" s="5"/>
      <c r="F6" s="5"/>
      <c r="G6" s="5"/>
      <c r="H6" s="5"/>
      <c r="I6" s="5"/>
      <c r="J6" s="5"/>
      <c r="K6" s="5"/>
      <c r="L6" s="5"/>
      <c r="M6" s="5"/>
      <c r="N6" s="5"/>
      <c r="O6" s="5"/>
      <c r="P6" s="5"/>
    </row>
    <row r="7" customFormat="false" ht="15" hidden="false" customHeight="true" outlineLevel="0" collapsed="false">
      <c r="A7" s="5" t="s">
        <v>6</v>
      </c>
      <c r="B7" s="5"/>
      <c r="C7" s="5"/>
      <c r="D7" s="5"/>
      <c r="E7" s="5"/>
      <c r="F7" s="5"/>
      <c r="G7" s="5"/>
      <c r="H7" s="5"/>
      <c r="I7" s="5"/>
      <c r="J7" s="5"/>
      <c r="K7" s="5"/>
      <c r="L7" s="5"/>
      <c r="M7" s="5"/>
      <c r="N7" s="5"/>
      <c r="O7" s="5"/>
      <c r="P7" s="5"/>
    </row>
    <row r="8" customFormat="false" ht="15" hidden="false" customHeight="true" outlineLevel="0" collapsed="false">
      <c r="A8" s="5" t="s">
        <v>7</v>
      </c>
      <c r="B8" s="5"/>
      <c r="C8" s="5"/>
      <c r="D8" s="5"/>
      <c r="E8" s="5"/>
      <c r="F8" s="5"/>
      <c r="G8" s="5"/>
      <c r="H8" s="5"/>
      <c r="I8" s="5"/>
      <c r="J8" s="5"/>
      <c r="K8" s="5"/>
      <c r="L8" s="5"/>
      <c r="M8" s="5"/>
      <c r="N8" s="5"/>
      <c r="O8" s="5"/>
      <c r="P8" s="5"/>
    </row>
    <row r="9" customFormat="false" ht="30" hidden="false" customHeight="true" outlineLevel="0" collapsed="false">
      <c r="A9" s="5" t="s">
        <v>8</v>
      </c>
      <c r="B9" s="5"/>
      <c r="C9" s="5"/>
      <c r="D9" s="5"/>
      <c r="E9" s="5"/>
      <c r="F9" s="5"/>
      <c r="G9" s="5"/>
      <c r="H9" s="5"/>
      <c r="I9" s="5"/>
      <c r="J9" s="5"/>
      <c r="K9" s="5"/>
      <c r="L9" s="5"/>
      <c r="M9" s="5"/>
      <c r="N9" s="5"/>
      <c r="O9" s="5"/>
      <c r="P9" s="5"/>
    </row>
    <row r="10" customFormat="false" ht="15" hidden="false" customHeight="true" outlineLevel="0" collapsed="false">
      <c r="A10" s="5" t="s">
        <v>9</v>
      </c>
      <c r="B10" s="5"/>
      <c r="C10" s="5"/>
      <c r="D10" s="5"/>
      <c r="E10" s="5"/>
      <c r="F10" s="5"/>
      <c r="G10" s="5"/>
      <c r="H10" s="5"/>
      <c r="I10" s="5"/>
      <c r="J10" s="5"/>
      <c r="K10" s="5"/>
      <c r="L10" s="5"/>
      <c r="M10" s="5"/>
      <c r="N10" s="5"/>
      <c r="O10" s="5"/>
      <c r="P10" s="5"/>
    </row>
    <row r="11" customFormat="false" ht="30" hidden="false" customHeight="true" outlineLevel="0" collapsed="false">
      <c r="A11" s="5" t="s">
        <v>10</v>
      </c>
      <c r="B11" s="5"/>
      <c r="C11" s="5"/>
      <c r="D11" s="5"/>
      <c r="E11" s="5"/>
      <c r="F11" s="5"/>
      <c r="G11" s="5"/>
      <c r="H11" s="5"/>
      <c r="I11" s="5"/>
      <c r="J11" s="5"/>
      <c r="K11" s="5"/>
      <c r="L11" s="5"/>
      <c r="M11" s="5"/>
      <c r="N11" s="5"/>
      <c r="O11" s="5"/>
      <c r="P11" s="5"/>
    </row>
    <row r="12" customFormat="false" ht="45" hidden="false" customHeight="true" outlineLevel="0" collapsed="false">
      <c r="A12" s="5" t="s">
        <v>11</v>
      </c>
      <c r="B12" s="5"/>
      <c r="C12" s="5"/>
      <c r="D12" s="5"/>
      <c r="E12" s="5"/>
      <c r="F12" s="5"/>
      <c r="G12" s="5"/>
      <c r="H12" s="5"/>
      <c r="I12" s="5"/>
      <c r="J12" s="5"/>
      <c r="K12" s="5"/>
      <c r="L12" s="5"/>
      <c r="M12" s="5"/>
      <c r="N12" s="5"/>
      <c r="O12" s="5"/>
      <c r="P12" s="5"/>
    </row>
    <row r="13" customFormat="false" ht="15" hidden="false" customHeight="true" outlineLevel="0" collapsed="false">
      <c r="A13" s="5" t="s">
        <v>12</v>
      </c>
      <c r="B13" s="5"/>
      <c r="C13" s="5"/>
      <c r="D13" s="5"/>
      <c r="E13" s="5"/>
      <c r="F13" s="5"/>
      <c r="G13" s="5"/>
      <c r="H13" s="5"/>
      <c r="I13" s="5"/>
      <c r="J13" s="5"/>
      <c r="K13" s="5"/>
      <c r="L13" s="5"/>
      <c r="M13" s="5"/>
      <c r="N13" s="5"/>
      <c r="O13" s="5"/>
      <c r="P13" s="5"/>
    </row>
    <row r="14" customFormat="false" ht="30" hidden="false" customHeight="true" outlineLevel="0" collapsed="false">
      <c r="A14" s="5" t="s">
        <v>13</v>
      </c>
      <c r="B14" s="5"/>
      <c r="C14" s="5"/>
      <c r="D14" s="5"/>
      <c r="E14" s="5"/>
      <c r="F14" s="5"/>
      <c r="G14" s="5"/>
      <c r="H14" s="5"/>
      <c r="I14" s="5"/>
      <c r="J14" s="5"/>
      <c r="K14" s="5"/>
      <c r="L14" s="5"/>
      <c r="M14" s="5"/>
      <c r="N14" s="5"/>
      <c r="O14" s="5"/>
      <c r="P14" s="5"/>
    </row>
    <row r="15" customFormat="false" ht="30" hidden="false" customHeight="true" outlineLevel="0" collapsed="false">
      <c r="A15" s="5" t="s">
        <v>14</v>
      </c>
      <c r="B15" s="5"/>
      <c r="C15" s="5"/>
      <c r="D15" s="5"/>
      <c r="E15" s="5"/>
      <c r="F15" s="5"/>
      <c r="G15" s="5"/>
      <c r="H15" s="5"/>
      <c r="I15" s="5"/>
      <c r="J15" s="5"/>
      <c r="K15" s="5"/>
      <c r="L15" s="5"/>
      <c r="M15" s="5"/>
      <c r="N15" s="5"/>
      <c r="O15" s="5"/>
      <c r="P15" s="5"/>
    </row>
    <row r="16" customFormat="false" ht="30" hidden="false" customHeight="true" outlineLevel="0" collapsed="false">
      <c r="A16" s="5" t="s">
        <v>15</v>
      </c>
      <c r="B16" s="5"/>
      <c r="C16" s="5"/>
      <c r="D16" s="5"/>
      <c r="E16" s="5"/>
      <c r="F16" s="5"/>
      <c r="G16" s="5"/>
      <c r="H16" s="5"/>
      <c r="I16" s="5"/>
      <c r="J16" s="5"/>
      <c r="K16" s="5"/>
      <c r="L16" s="5"/>
      <c r="M16" s="5"/>
      <c r="N16" s="5"/>
      <c r="O16" s="5"/>
      <c r="P16" s="5"/>
    </row>
    <row r="17" customFormat="false" ht="45" hidden="false" customHeight="true" outlineLevel="0" collapsed="false">
      <c r="A17" s="5" t="s">
        <v>16</v>
      </c>
      <c r="B17" s="5"/>
      <c r="C17" s="5"/>
      <c r="D17" s="5"/>
      <c r="E17" s="5"/>
      <c r="F17" s="5"/>
      <c r="G17" s="5"/>
      <c r="H17" s="5"/>
      <c r="I17" s="5"/>
      <c r="J17" s="5"/>
      <c r="K17" s="5"/>
      <c r="L17" s="5"/>
      <c r="M17" s="5"/>
      <c r="N17" s="5"/>
      <c r="O17" s="5"/>
      <c r="P17" s="5"/>
    </row>
    <row r="18" customFormat="false" ht="30" hidden="false" customHeight="true" outlineLevel="0" collapsed="false">
      <c r="A18" s="5" t="s">
        <v>17</v>
      </c>
      <c r="B18" s="5"/>
      <c r="C18" s="5"/>
      <c r="D18" s="5"/>
      <c r="E18" s="5"/>
      <c r="F18" s="5"/>
      <c r="G18" s="5"/>
      <c r="H18" s="5"/>
      <c r="I18" s="5"/>
      <c r="J18" s="5"/>
      <c r="K18" s="5"/>
      <c r="L18" s="5"/>
      <c r="M18" s="5"/>
      <c r="N18" s="5"/>
      <c r="O18" s="5"/>
      <c r="P18" s="5"/>
    </row>
    <row r="19" customFormat="false" ht="90" hidden="false" customHeight="true" outlineLevel="0" collapsed="false">
      <c r="A19" s="6" t="s">
        <v>18</v>
      </c>
      <c r="B19" s="6"/>
      <c r="C19" s="6"/>
      <c r="D19" s="6"/>
      <c r="E19" s="6"/>
      <c r="F19" s="6"/>
      <c r="G19" s="6"/>
      <c r="H19" s="6"/>
      <c r="I19" s="6"/>
      <c r="J19" s="6"/>
      <c r="K19" s="6"/>
      <c r="L19" s="6"/>
      <c r="M19" s="6"/>
      <c r="N19" s="6"/>
      <c r="O19" s="6"/>
      <c r="P19" s="6"/>
    </row>
    <row r="21" customFormat="false" ht="15" hidden="false" customHeight="false" outlineLevel="0" collapsed="false">
      <c r="A21" s="3" t="s">
        <v>19</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customFormat="false" ht="17.35" hidden="false" customHeight="false" outlineLevel="0" collapsed="false">
      <c r="A22" s="7" t="s">
        <v>20</v>
      </c>
    </row>
    <row r="23" customFormat="false" ht="15" hidden="false" customHeight="false" outlineLevel="0" collapsed="false">
      <c r="A23" s="8" t="s">
        <v>21</v>
      </c>
    </row>
    <row r="24" customFormat="false" ht="15" hidden="false" customHeight="false" outlineLevel="0" collapsed="false">
      <c r="A24" s="2" t="s">
        <v>22</v>
      </c>
    </row>
    <row r="26" customFormat="false" ht="15" hidden="false" customHeight="false" outlineLevel="0" collapsed="false">
      <c r="A26" s="9" t="s">
        <v>23</v>
      </c>
      <c r="B26" s="9" t="s">
        <v>24</v>
      </c>
      <c r="C26" s="9" t="s">
        <v>25</v>
      </c>
      <c r="D26" s="9" t="s">
        <v>26</v>
      </c>
      <c r="E26" s="9" t="s">
        <v>27</v>
      </c>
    </row>
    <row r="27" customFormat="false" ht="55.2" hidden="false" customHeight="false" outlineLevel="0" collapsed="false">
      <c r="A27" s="10" t="s">
        <v>28</v>
      </c>
      <c r="B27" s="11" t="n">
        <v>2026</v>
      </c>
      <c r="C27" s="10" t="s">
        <v>29</v>
      </c>
      <c r="D27" s="12" t="s">
        <v>30</v>
      </c>
      <c r="E27" s="10" t="s">
        <v>31</v>
      </c>
    </row>
    <row r="28" customFormat="false" ht="68.65" hidden="false" customHeight="false" outlineLevel="0" collapsed="false">
      <c r="A28" s="10" t="s">
        <v>32</v>
      </c>
      <c r="B28" s="13" t="n">
        <v>0.1</v>
      </c>
      <c r="C28" s="10" t="s">
        <v>33</v>
      </c>
      <c r="D28" s="12" t="s">
        <v>34</v>
      </c>
      <c r="E28" s="10" t="s">
        <v>35</v>
      </c>
    </row>
    <row r="29" customFormat="false" ht="68.65" hidden="false" customHeight="false" outlineLevel="0" collapsed="false">
      <c r="A29" s="10" t="s">
        <v>36</v>
      </c>
      <c r="B29" s="11" t="n">
        <v>70</v>
      </c>
      <c r="C29" s="10" t="s">
        <v>37</v>
      </c>
      <c r="D29" s="12" t="s">
        <v>38</v>
      </c>
      <c r="E29" s="10" t="s">
        <v>31</v>
      </c>
    </row>
    <row r="30" customFormat="false" ht="95.5" hidden="false" customHeight="false" outlineLevel="0" collapsed="false">
      <c r="A30" s="10" t="s">
        <v>39</v>
      </c>
      <c r="B30" s="11" t="n">
        <v>8</v>
      </c>
      <c r="C30" s="10" t="s">
        <v>37</v>
      </c>
      <c r="D30" s="12" t="s">
        <v>40</v>
      </c>
      <c r="E30" s="10" t="s">
        <v>31</v>
      </c>
    </row>
    <row r="31" customFormat="false" ht="68.65" hidden="false" customHeight="false" outlineLevel="0" collapsed="false">
      <c r="A31" s="10" t="s">
        <v>41</v>
      </c>
      <c r="B31" s="14" t="n">
        <v>700</v>
      </c>
      <c r="C31" s="10" t="s">
        <v>42</v>
      </c>
      <c r="D31" s="12" t="s">
        <v>43</v>
      </c>
      <c r="E31" s="10" t="s">
        <v>35</v>
      </c>
    </row>
    <row r="32" customFormat="false" ht="55.2" hidden="false" customHeight="false" outlineLevel="0" collapsed="false">
      <c r="A32" s="10" t="s">
        <v>44</v>
      </c>
      <c r="B32" s="15" t="n">
        <f aca="false">10^(-0.02*(fms_score/10)+1)</f>
        <v>0.398107170553497</v>
      </c>
      <c r="C32" s="10" t="s">
        <v>45</v>
      </c>
      <c r="D32" s="12" t="s">
        <v>46</v>
      </c>
      <c r="E32" s="10" t="s">
        <v>47</v>
      </c>
    </row>
    <row r="33" customFormat="false" ht="68.65" hidden="false" customHeight="false" outlineLevel="0" collapsed="false">
      <c r="A33" s="10" t="s">
        <v>48</v>
      </c>
      <c r="B33" s="16" t="s">
        <v>49</v>
      </c>
      <c r="C33" s="10" t="s">
        <v>50</v>
      </c>
      <c r="D33" s="12" t="s">
        <v>51</v>
      </c>
      <c r="E33" s="10" t="s">
        <v>35</v>
      </c>
    </row>
    <row r="35" customFormat="false" ht="15" hidden="false" customHeight="false" outlineLevel="0" collapsed="false">
      <c r="A35" s="17" t="s">
        <v>52</v>
      </c>
    </row>
    <row r="36" customFormat="false" ht="28.35" hidden="false" customHeight="false" outlineLevel="0" collapsed="false">
      <c r="A36" s="9" t="s">
        <v>53</v>
      </c>
      <c r="B36" s="9" t="s">
        <v>54</v>
      </c>
      <c r="C36" s="9" t="s">
        <v>55</v>
      </c>
      <c r="D36" s="9" t="s">
        <v>56</v>
      </c>
      <c r="E36" s="9" t="s">
        <v>57</v>
      </c>
      <c r="F36" s="9" t="s">
        <v>58</v>
      </c>
      <c r="G36" s="9" t="s">
        <v>59</v>
      </c>
    </row>
    <row r="37" customFormat="false" ht="15" hidden="false" customHeight="false" outlineLevel="0" collapsed="false">
      <c r="A37" s="10" t="s">
        <v>60</v>
      </c>
      <c r="B37" s="14" t="n">
        <v>0.7</v>
      </c>
      <c r="C37" s="11" t="n">
        <v>1</v>
      </c>
      <c r="D37" s="14" t="n">
        <v>1.3</v>
      </c>
      <c r="E37" s="11" t="s">
        <v>55</v>
      </c>
      <c r="F37" s="18" t="n">
        <f aca="false">IF(E37="Bajo",B37,IF(E37="Alto",D37,C37))</f>
        <v>1</v>
      </c>
      <c r="G37" s="10" t="s">
        <v>61</v>
      </c>
    </row>
    <row r="38" customFormat="false" ht="15" hidden="false" customHeight="false" outlineLevel="0" collapsed="false">
      <c r="A38" s="10" t="s">
        <v>62</v>
      </c>
      <c r="B38" s="14" t="n">
        <v>0.6</v>
      </c>
      <c r="C38" s="11" t="n">
        <v>1</v>
      </c>
      <c r="D38" s="14" t="n">
        <v>1.4</v>
      </c>
      <c r="E38" s="11" t="s">
        <v>55</v>
      </c>
      <c r="F38" s="18" t="n">
        <f aca="false">IF(E38="Bajo",B38,IF(E38="Alto",D38,C38))</f>
        <v>1</v>
      </c>
      <c r="G38" s="10" t="s">
        <v>63</v>
      </c>
    </row>
    <row r="39" customFormat="false" ht="15" hidden="false" customHeight="false" outlineLevel="0" collapsed="false">
      <c r="A39" s="10" t="s">
        <v>64</v>
      </c>
      <c r="B39" s="14" t="n">
        <v>0.5</v>
      </c>
      <c r="C39" s="11" t="n">
        <v>1</v>
      </c>
      <c r="D39" s="14" t="n">
        <v>1.5</v>
      </c>
      <c r="E39" s="11" t="s">
        <v>55</v>
      </c>
      <c r="F39" s="18" t="n">
        <f aca="false">IF(E39="Bajo",B39,IF(E39="Alto",D39,C39))</f>
        <v>1</v>
      </c>
      <c r="G39" s="10" t="s">
        <v>65</v>
      </c>
    </row>
    <row r="40" customFormat="false" ht="15" hidden="false" customHeight="false" outlineLevel="0" collapsed="false">
      <c r="A40" s="10" t="s">
        <v>66</v>
      </c>
      <c r="B40" s="14" t="n">
        <v>0.8</v>
      </c>
      <c r="C40" s="11" t="n">
        <v>1</v>
      </c>
      <c r="D40" s="14" t="n">
        <v>1.3</v>
      </c>
      <c r="E40" s="11" t="s">
        <v>55</v>
      </c>
      <c r="F40" s="18" t="n">
        <f aca="false">IF(E40="Bajo",B40,IF(E40="Alto",D40,C40))</f>
        <v>1</v>
      </c>
      <c r="G40" s="10" t="s">
        <v>67</v>
      </c>
    </row>
    <row r="41" customFormat="false" ht="15" hidden="false" customHeight="false" outlineLevel="0" collapsed="false">
      <c r="A41" s="10" t="s">
        <v>68</v>
      </c>
      <c r="B41" s="14" t="n">
        <v>0.8</v>
      </c>
      <c r="C41" s="11" t="n">
        <v>1</v>
      </c>
      <c r="D41" s="14" t="n">
        <v>1.4</v>
      </c>
      <c r="E41" s="11" t="s">
        <v>55</v>
      </c>
      <c r="F41" s="18" t="n">
        <f aca="false">IF(E41="Bajo",B41,IF(E41="Alto",D41,C41))</f>
        <v>1</v>
      </c>
      <c r="G41" s="10" t="s">
        <v>69</v>
      </c>
    </row>
    <row r="43" customFormat="false" ht="15" hidden="false" customHeight="false" outlineLevel="0" collapsed="false">
      <c r="A43" s="17" t="s">
        <v>70</v>
      </c>
    </row>
    <row r="44" customFormat="false" ht="15" hidden="false" customHeight="false" outlineLevel="0" collapsed="false">
      <c r="A44" s="9" t="s">
        <v>71</v>
      </c>
      <c r="B44" s="9" t="s">
        <v>24</v>
      </c>
      <c r="C44" s="9" t="s">
        <v>25</v>
      </c>
      <c r="D44" s="9" t="s">
        <v>26</v>
      </c>
      <c r="E44" s="9" t="s">
        <v>27</v>
      </c>
    </row>
    <row r="45" customFormat="false" ht="15" hidden="false" customHeight="false" outlineLevel="0" collapsed="false">
      <c r="A45" s="10" t="s">
        <v>72</v>
      </c>
      <c r="B45" s="19" t="n">
        <v>2</v>
      </c>
      <c r="C45" s="10" t="s">
        <v>73</v>
      </c>
      <c r="D45" s="10" t="s">
        <v>74</v>
      </c>
      <c r="E45" s="10" t="s">
        <v>35</v>
      </c>
    </row>
    <row r="46" customFormat="false" ht="15" hidden="false" customHeight="false" outlineLevel="0" collapsed="false">
      <c r="A46" s="10" t="s">
        <v>75</v>
      </c>
      <c r="B46" s="19" t="n">
        <v>10</v>
      </c>
      <c r="C46" s="10" t="s">
        <v>73</v>
      </c>
      <c r="D46" s="10" t="s">
        <v>74</v>
      </c>
      <c r="E46" s="10" t="s">
        <v>35</v>
      </c>
    </row>
    <row r="47" customFormat="false" ht="15" hidden="false" customHeight="false" outlineLevel="0" collapsed="false">
      <c r="A47" s="10" t="s">
        <v>76</v>
      </c>
      <c r="B47" s="19" t="n">
        <v>30</v>
      </c>
      <c r="C47" s="10" t="s">
        <v>73</v>
      </c>
      <c r="D47" s="10" t="s">
        <v>74</v>
      </c>
      <c r="E47" s="10" t="s">
        <v>35</v>
      </c>
    </row>
    <row r="48" customFormat="false" ht="15" hidden="false" customHeight="false" outlineLevel="0" collapsed="false">
      <c r="A48" s="10" t="s">
        <v>77</v>
      </c>
      <c r="B48" s="19" t="n">
        <v>100</v>
      </c>
      <c r="C48" s="10" t="s">
        <v>73</v>
      </c>
      <c r="D48" s="10" t="s">
        <v>74</v>
      </c>
      <c r="E48" s="10" t="s">
        <v>35</v>
      </c>
    </row>
    <row r="49" customFormat="false" ht="15" hidden="false" customHeight="false" outlineLevel="0" collapsed="false">
      <c r="A49" s="10" t="s">
        <v>78</v>
      </c>
      <c r="B49" s="19" t="n">
        <v>10000</v>
      </c>
      <c r="C49" s="10" t="s">
        <v>79</v>
      </c>
      <c r="D49" s="10" t="s">
        <v>74</v>
      </c>
      <c r="E49" s="10" t="s">
        <v>35</v>
      </c>
    </row>
    <row r="50" customFormat="false" ht="15" hidden="false" customHeight="false" outlineLevel="0" collapsed="false">
      <c r="A50" s="10" t="s">
        <v>80</v>
      </c>
      <c r="B50" s="19" t="n">
        <v>100000</v>
      </c>
      <c r="C50" s="10" t="s">
        <v>79</v>
      </c>
      <c r="D50" s="10" t="s">
        <v>74</v>
      </c>
      <c r="E50" s="10" t="s">
        <v>35</v>
      </c>
    </row>
    <row r="51" customFormat="false" ht="15" hidden="false" customHeight="false" outlineLevel="0" collapsed="false">
      <c r="A51" s="10" t="s">
        <v>81</v>
      </c>
      <c r="B51" s="19" t="n">
        <v>1000000</v>
      </c>
      <c r="C51" s="10" t="s">
        <v>79</v>
      </c>
      <c r="D51" s="10" t="s">
        <v>74</v>
      </c>
      <c r="E51" s="10" t="s">
        <v>35</v>
      </c>
    </row>
    <row r="52" customFormat="false" ht="15" hidden="false" customHeight="false" outlineLevel="0" collapsed="false">
      <c r="A52" s="10" t="s">
        <v>82</v>
      </c>
      <c r="B52" s="19" t="n">
        <v>10000000</v>
      </c>
      <c r="C52" s="10" t="s">
        <v>79</v>
      </c>
      <c r="D52" s="10" t="s">
        <v>74</v>
      </c>
      <c r="E52" s="10" t="s">
        <v>35</v>
      </c>
    </row>
    <row r="54" customFormat="false" ht="15" hidden="false" customHeight="false" outlineLevel="0" collapsed="false">
      <c r="A54" s="17" t="s">
        <v>83</v>
      </c>
    </row>
    <row r="55" customFormat="false" ht="15" hidden="false" customHeight="false" outlineLevel="0" collapsed="false">
      <c r="A55" s="9" t="s">
        <v>23</v>
      </c>
      <c r="B55" s="9" t="s">
        <v>24</v>
      </c>
      <c r="C55" s="9" t="s">
        <v>25</v>
      </c>
      <c r="D55" s="9" t="s">
        <v>26</v>
      </c>
      <c r="E55" s="9" t="s">
        <v>27</v>
      </c>
    </row>
    <row r="56" customFormat="false" ht="15" hidden="false" customHeight="false" outlineLevel="0" collapsed="false">
      <c r="A56" s="10" t="s">
        <v>84</v>
      </c>
      <c r="B56" s="11" t="n">
        <v>2023</v>
      </c>
      <c r="C56" s="10" t="s">
        <v>29</v>
      </c>
      <c r="D56" s="10" t="s">
        <v>85</v>
      </c>
      <c r="E56" s="10" t="s">
        <v>86</v>
      </c>
    </row>
    <row r="57" customFormat="false" ht="15" hidden="false" customHeight="false" outlineLevel="0" collapsed="false">
      <c r="A57" s="10" t="s">
        <v>87</v>
      </c>
      <c r="B57" s="11" t="n">
        <v>2056</v>
      </c>
      <c r="C57" s="10" t="s">
        <v>29</v>
      </c>
      <c r="D57" s="10" t="s">
        <v>85</v>
      </c>
      <c r="E57" s="10" t="s">
        <v>86</v>
      </c>
    </row>
    <row r="58" customFormat="false" ht="15" hidden="false" customHeight="false" outlineLevel="0" collapsed="false">
      <c r="A58" s="10" t="s">
        <v>88</v>
      </c>
      <c r="B58" s="11" t="n">
        <v>40000</v>
      </c>
      <c r="C58" s="10" t="s">
        <v>89</v>
      </c>
      <c r="D58" s="10" t="s">
        <v>90</v>
      </c>
      <c r="E58" s="10" t="s">
        <v>91</v>
      </c>
    </row>
    <row r="59" customFormat="false" ht="15" hidden="false" customHeight="false" outlineLevel="0" collapsed="false">
      <c r="A59" s="10" t="s">
        <v>92</v>
      </c>
      <c r="B59" s="11" t="n">
        <v>24</v>
      </c>
      <c r="C59" s="10" t="s">
        <v>93</v>
      </c>
      <c r="D59" s="10" t="s">
        <v>94</v>
      </c>
      <c r="E59" s="10" t="s">
        <v>95</v>
      </c>
    </row>
    <row r="60" customFormat="false" ht="15" hidden="false" customHeight="false" outlineLevel="0" collapsed="false">
      <c r="A60" s="10" t="s">
        <v>96</v>
      </c>
      <c r="B60" s="11" t="n">
        <v>2</v>
      </c>
      <c r="C60" s="10" t="s">
        <v>97</v>
      </c>
      <c r="D60" s="10" t="s">
        <v>98</v>
      </c>
      <c r="E60" s="10" t="s">
        <v>99</v>
      </c>
    </row>
    <row r="61" customFormat="false" ht="15" hidden="false" customHeight="false" outlineLevel="0" collapsed="false">
      <c r="A61" s="10" t="s">
        <v>100</v>
      </c>
      <c r="B61" s="11" t="s">
        <v>101</v>
      </c>
      <c r="C61" s="10" t="s">
        <v>102</v>
      </c>
      <c r="D61" s="10" t="s">
        <v>98</v>
      </c>
      <c r="E61" s="10" t="s">
        <v>99</v>
      </c>
    </row>
    <row r="62" customFormat="false" ht="15" hidden="false" customHeight="false" outlineLevel="0" collapsed="false">
      <c r="A62" s="10" t="s">
        <v>103</v>
      </c>
      <c r="B62" s="20" t="n">
        <f aca="false">r_desc</f>
        <v>0.1</v>
      </c>
      <c r="C62" s="10" t="s">
        <v>104</v>
      </c>
      <c r="D62" s="10" t="s">
        <v>105</v>
      </c>
      <c r="E62" s="10" t="s">
        <v>31</v>
      </c>
    </row>
    <row r="63" customFormat="false" ht="15" hidden="false" customHeight="false" outlineLevel="0" collapsed="false">
      <c r="A63" s="10" t="s">
        <v>106</v>
      </c>
      <c r="B63" s="11" t="n">
        <v>114</v>
      </c>
      <c r="C63" s="10" t="s">
        <v>107</v>
      </c>
      <c r="D63" s="10" t="s">
        <v>108</v>
      </c>
      <c r="E63" s="10" t="s">
        <v>86</v>
      </c>
    </row>
    <row r="64" customFormat="false" ht="15" hidden="false" customHeight="false" outlineLevel="0" collapsed="false">
      <c r="A64" s="10" t="s">
        <v>109</v>
      </c>
      <c r="B64" s="11" t="n">
        <v>203</v>
      </c>
      <c r="C64" s="10" t="s">
        <v>110</v>
      </c>
      <c r="D64" s="10" t="s">
        <v>108</v>
      </c>
      <c r="E64" s="10" t="s">
        <v>86</v>
      </c>
    </row>
    <row r="65" customFormat="false" ht="15" hidden="false" customHeight="false" outlineLevel="0" collapsed="false">
      <c r="A65" s="10" t="s">
        <v>111</v>
      </c>
      <c r="B65" s="11" t="n">
        <v>151</v>
      </c>
      <c r="C65" s="10" t="s">
        <v>112</v>
      </c>
      <c r="D65" s="10" t="s">
        <v>108</v>
      </c>
      <c r="E65" s="10" t="s">
        <v>86</v>
      </c>
    </row>
    <row r="66" customFormat="false" ht="15" hidden="false" customHeight="false" outlineLevel="0" collapsed="false">
      <c r="A66" s="10" t="s">
        <v>113</v>
      </c>
      <c r="B66" s="11" t="n">
        <v>1</v>
      </c>
      <c r="C66" s="10" t="s">
        <v>45</v>
      </c>
      <c r="D66" s="10" t="s">
        <v>108</v>
      </c>
      <c r="E66" s="10" t="s">
        <v>86</v>
      </c>
    </row>
    <row r="67" customFormat="false" ht="15" hidden="false" customHeight="false" outlineLevel="0" collapsed="false">
      <c r="A67" s="10" t="s">
        <v>114</v>
      </c>
      <c r="B67" s="11" t="n">
        <v>8.3</v>
      </c>
      <c r="C67" s="10" t="s">
        <v>115</v>
      </c>
      <c r="D67" s="10" t="s">
        <v>108</v>
      </c>
      <c r="E67" s="10" t="s">
        <v>86</v>
      </c>
    </row>
    <row r="68" customFormat="false" ht="15" hidden="false" customHeight="false" outlineLevel="0" collapsed="false">
      <c r="A68" s="10" t="s">
        <v>116</v>
      </c>
      <c r="B68" s="11" t="n">
        <v>0.05</v>
      </c>
      <c r="C68" s="10" t="s">
        <v>117</v>
      </c>
      <c r="D68" s="10" t="s">
        <v>118</v>
      </c>
      <c r="E68" s="10" t="s">
        <v>86</v>
      </c>
    </row>
    <row r="69" customFormat="false" ht="15" hidden="false" customHeight="false" outlineLevel="0" collapsed="false">
      <c r="A69" s="10" t="s">
        <v>119</v>
      </c>
      <c r="B69" s="11" t="n">
        <v>0.025</v>
      </c>
      <c r="C69" s="10" t="s">
        <v>117</v>
      </c>
      <c r="D69" s="10" t="s">
        <v>118</v>
      </c>
      <c r="E69" s="10" t="s">
        <v>86</v>
      </c>
    </row>
    <row r="70" customFormat="false" ht="15" hidden="false" customHeight="false" outlineLevel="0" collapsed="false">
      <c r="A70" s="10" t="s">
        <v>120</v>
      </c>
      <c r="B70" s="11" t="n">
        <v>0.127</v>
      </c>
      <c r="C70" s="10" t="s">
        <v>117</v>
      </c>
      <c r="D70" s="10" t="s">
        <v>118</v>
      </c>
      <c r="E70" s="10" t="s">
        <v>86</v>
      </c>
    </row>
    <row r="71" customFormat="false" ht="15" hidden="false" customHeight="false" outlineLevel="0" collapsed="false">
      <c r="A71" s="10" t="s">
        <v>121</v>
      </c>
      <c r="B71" s="11" t="n">
        <v>0.132</v>
      </c>
      <c r="C71" s="10" t="s">
        <v>117</v>
      </c>
      <c r="D71" s="10" t="s">
        <v>118</v>
      </c>
      <c r="E71" s="10" t="s">
        <v>122</v>
      </c>
    </row>
    <row r="72" customFormat="false" ht="15" hidden="false" customHeight="false" outlineLevel="0" collapsed="false">
      <c r="A72" s="10" t="s">
        <v>123</v>
      </c>
      <c r="B72" s="11" t="n">
        <v>750</v>
      </c>
      <c r="C72" s="10" t="s">
        <v>42</v>
      </c>
      <c r="D72" s="10" t="s">
        <v>118</v>
      </c>
      <c r="E72" s="10" t="s">
        <v>86</v>
      </c>
    </row>
    <row r="73" customFormat="false" ht="15" hidden="false" customHeight="false" outlineLevel="0" collapsed="false">
      <c r="A73" s="10" t="s">
        <v>124</v>
      </c>
      <c r="B73" s="11" t="s">
        <v>125</v>
      </c>
      <c r="C73" s="10" t="s">
        <v>45</v>
      </c>
      <c r="D73" s="10" t="s">
        <v>126</v>
      </c>
      <c r="E73" s="10" t="s">
        <v>86</v>
      </c>
    </row>
    <row r="74" customFormat="false" ht="15" hidden="false" customHeight="false" outlineLevel="0" collapsed="false">
      <c r="A74" s="10" t="s">
        <v>127</v>
      </c>
      <c r="B74" s="11" t="s">
        <v>128</v>
      </c>
      <c r="C74" s="10" t="s">
        <v>45</v>
      </c>
      <c r="D74" s="10" t="s">
        <v>85</v>
      </c>
      <c r="E74" s="10" t="s">
        <v>86</v>
      </c>
    </row>
    <row r="75" customFormat="false" ht="15" hidden="false" customHeight="false" outlineLevel="0" collapsed="false">
      <c r="A75" s="10" t="s">
        <v>129</v>
      </c>
      <c r="B75" s="11" t="n">
        <v>3</v>
      </c>
      <c r="C75" s="10" t="s">
        <v>130</v>
      </c>
      <c r="D75" s="10" t="s">
        <v>131</v>
      </c>
      <c r="E75" s="10" t="s">
        <v>86</v>
      </c>
    </row>
    <row r="78" customFormat="false" ht="15" hidden="false" customHeight="false" outlineLevel="0" collapsed="false">
      <c r="A78" s="3" t="s">
        <v>132</v>
      </c>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customFormat="false" ht="17.35" hidden="false" customHeight="false" outlineLevel="0" collapsed="false">
      <c r="A79" s="7" t="s">
        <v>133</v>
      </c>
    </row>
    <row r="80" customFormat="false" ht="15" hidden="false" customHeight="false" outlineLevel="0" collapsed="false">
      <c r="A80" s="8" t="s">
        <v>134</v>
      </c>
    </row>
    <row r="81" customFormat="false" ht="15" hidden="false" customHeight="false" outlineLevel="0" collapsed="false">
      <c r="A81" s="2" t="s">
        <v>22</v>
      </c>
    </row>
    <row r="83" customFormat="false" ht="55.2" hidden="false" customHeight="false" outlineLevel="0" collapsed="false">
      <c r="A83" s="9" t="s">
        <v>135</v>
      </c>
      <c r="B83" s="9" t="s">
        <v>136</v>
      </c>
      <c r="C83" s="9" t="s">
        <v>137</v>
      </c>
      <c r="D83" s="9" t="s">
        <v>138</v>
      </c>
      <c r="E83" s="9" t="s">
        <v>139</v>
      </c>
      <c r="F83" s="9" t="s">
        <v>140</v>
      </c>
      <c r="G83" s="9" t="s">
        <v>141</v>
      </c>
      <c r="H83" s="9" t="s">
        <v>142</v>
      </c>
      <c r="I83" s="9" t="s">
        <v>143</v>
      </c>
      <c r="J83" s="9" t="s">
        <v>144</v>
      </c>
      <c r="K83" s="9" t="s">
        <v>145</v>
      </c>
      <c r="L83" s="9" t="s">
        <v>146</v>
      </c>
      <c r="M83" s="9" t="s">
        <v>147</v>
      </c>
      <c r="N83" s="9" t="s">
        <v>27</v>
      </c>
    </row>
    <row r="84" customFormat="false" ht="15" hidden="false" customHeight="false" outlineLevel="0" collapsed="false">
      <c r="A84" s="10" t="s">
        <v>148</v>
      </c>
      <c r="B84" s="21" t="n">
        <v>0.000765</v>
      </c>
      <c r="C84" s="14" t="n">
        <v>40</v>
      </c>
      <c r="D84" s="14" t="n">
        <v>1000</v>
      </c>
      <c r="E84" s="14" t="n">
        <v>40000</v>
      </c>
      <c r="F84" s="19" t="n">
        <v>15</v>
      </c>
      <c r="G84" s="19" t="n">
        <v>1500000</v>
      </c>
      <c r="H84" s="19" t="n">
        <v>20000</v>
      </c>
      <c r="I84" s="19" t="n">
        <v>2000000</v>
      </c>
      <c r="J84" s="19" t="n">
        <v>500000</v>
      </c>
      <c r="K84" s="19" t="n">
        <v>800000</v>
      </c>
      <c r="L84" s="10" t="s">
        <v>149</v>
      </c>
      <c r="M84" s="10" t="s">
        <v>150</v>
      </c>
      <c r="N84" s="10" t="s">
        <v>35</v>
      </c>
    </row>
    <row r="85" customFormat="false" ht="15" hidden="false" customHeight="false" outlineLevel="0" collapsed="false">
      <c r="A85" s="10" t="s">
        <v>151</v>
      </c>
      <c r="B85" s="21" t="n">
        <v>3.06E-005</v>
      </c>
      <c r="C85" s="14" t="n">
        <v>120</v>
      </c>
      <c r="D85" s="14" t="n">
        <v>1000</v>
      </c>
      <c r="E85" s="14" t="n">
        <v>15000</v>
      </c>
      <c r="F85" s="19" t="n">
        <v>10</v>
      </c>
      <c r="G85" s="19" t="n">
        <v>600000</v>
      </c>
      <c r="H85" s="19" t="n">
        <v>5000</v>
      </c>
      <c r="I85" s="19" t="n">
        <v>400000</v>
      </c>
      <c r="J85" s="19" t="n">
        <v>300000</v>
      </c>
      <c r="K85" s="19" t="n">
        <v>200000</v>
      </c>
      <c r="L85" s="10" t="s">
        <v>152</v>
      </c>
      <c r="M85" s="10" t="s">
        <v>153</v>
      </c>
      <c r="N85" s="10" t="s">
        <v>35</v>
      </c>
    </row>
    <row r="87" customFormat="false" ht="15" hidden="false" customHeight="false" outlineLevel="0" collapsed="false">
      <c r="A87" s="10" t="s">
        <v>154</v>
      </c>
    </row>
    <row r="90" customFormat="false" ht="15" hidden="false" customHeight="false" outlineLevel="0" collapsed="false">
      <c r="A90" s="3" t="s">
        <v>155</v>
      </c>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customFormat="false" ht="17.35" hidden="false" customHeight="false" outlineLevel="0" collapsed="false">
      <c r="A91" s="7" t="s">
        <v>156</v>
      </c>
    </row>
    <row r="92" customFormat="false" ht="15" hidden="false" customHeight="false" outlineLevel="0" collapsed="false">
      <c r="A92" s="8" t="s">
        <v>157</v>
      </c>
    </row>
    <row r="93" customFormat="false" ht="15" hidden="false" customHeight="false" outlineLevel="0" collapsed="false">
      <c r="A93" s="2" t="s">
        <v>22</v>
      </c>
    </row>
    <row r="95" customFormat="false" ht="41.75" hidden="false" customHeight="false" outlineLevel="0" collapsed="false">
      <c r="A95" s="9" t="s">
        <v>135</v>
      </c>
      <c r="B95" s="9" t="s">
        <v>158</v>
      </c>
      <c r="C95" s="9" t="s">
        <v>159</v>
      </c>
      <c r="D95" s="9" t="s">
        <v>160</v>
      </c>
      <c r="E95" s="9" t="s">
        <v>161</v>
      </c>
      <c r="F95" s="9" t="s">
        <v>162</v>
      </c>
      <c r="G95" s="9" t="s">
        <v>163</v>
      </c>
      <c r="H95" s="9" t="s">
        <v>164</v>
      </c>
      <c r="I95" s="9" t="s">
        <v>165</v>
      </c>
      <c r="J95" s="9" t="s">
        <v>166</v>
      </c>
      <c r="K95" s="9" t="s">
        <v>167</v>
      </c>
      <c r="L95" s="9" t="s">
        <v>168</v>
      </c>
      <c r="M95" s="9" t="s">
        <v>169</v>
      </c>
      <c r="N95" s="9" t="s">
        <v>170</v>
      </c>
      <c r="O95" s="9" t="s">
        <v>171</v>
      </c>
      <c r="P95" s="9" t="s">
        <v>172</v>
      </c>
      <c r="Q95" s="9" t="s">
        <v>173</v>
      </c>
      <c r="R95" s="9" t="s">
        <v>174</v>
      </c>
      <c r="S95" s="9" t="s">
        <v>175</v>
      </c>
      <c r="T95" s="9" t="s">
        <v>176</v>
      </c>
      <c r="U95" s="9" t="s">
        <v>177</v>
      </c>
      <c r="V95" s="9" t="s">
        <v>27</v>
      </c>
    </row>
    <row r="96" customFormat="false" ht="15" hidden="false" customHeight="false" outlineLevel="0" collapsed="false">
      <c r="A96" s="10" t="s">
        <v>148</v>
      </c>
      <c r="B96" s="22" t="n">
        <f aca="false">base_year</f>
        <v>2026</v>
      </c>
      <c r="C96" s="10" t="n">
        <f aca="false">B96-base_year</f>
        <v>0</v>
      </c>
      <c r="D96" s="23" t="n">
        <v>0.15</v>
      </c>
      <c r="E96" s="11" t="n">
        <v>1</v>
      </c>
      <c r="F96" s="11"/>
      <c r="G96" s="24" t="n">
        <v>25000</v>
      </c>
      <c r="H96" s="11" t="n">
        <v>0</v>
      </c>
      <c r="I96" s="24" t="n">
        <v>0</v>
      </c>
      <c r="J96" s="24" t="n">
        <v>0</v>
      </c>
      <c r="K96" s="24" t="n">
        <v>0</v>
      </c>
      <c r="L96" s="11" t="s">
        <v>178</v>
      </c>
      <c r="M96" s="23" t="n">
        <v>0.15</v>
      </c>
      <c r="N96" s="11" t="n">
        <v>1</v>
      </c>
      <c r="O96" s="11"/>
      <c r="P96" s="24" t="n">
        <v>60000</v>
      </c>
      <c r="Q96" s="11" t="n">
        <v>0</v>
      </c>
      <c r="R96" s="24" t="n">
        <v>0</v>
      </c>
      <c r="S96" s="24" t="n">
        <v>0</v>
      </c>
      <c r="T96" s="24" t="n">
        <v>15000</v>
      </c>
      <c r="U96" s="11" t="s">
        <v>179</v>
      </c>
      <c r="V96" s="10" t="s">
        <v>180</v>
      </c>
    </row>
    <row r="97" customFormat="false" ht="15" hidden="false" customHeight="false" outlineLevel="0" collapsed="false">
      <c r="A97" s="10" t="s">
        <v>148</v>
      </c>
      <c r="B97" s="22" t="n">
        <v>2027</v>
      </c>
      <c r="C97" s="10" t="n">
        <f aca="false">B97-base_year</f>
        <v>1</v>
      </c>
      <c r="D97" s="23" t="n">
        <v>0.15</v>
      </c>
      <c r="E97" s="11" t="n">
        <v>1</v>
      </c>
      <c r="F97" s="11"/>
      <c r="G97" s="24" t="n">
        <v>0</v>
      </c>
      <c r="H97" s="11" t="n">
        <v>0</v>
      </c>
      <c r="I97" s="24" t="n">
        <v>0</v>
      </c>
      <c r="J97" s="24" t="n">
        <v>0</v>
      </c>
      <c r="K97" s="24" t="n">
        <v>0</v>
      </c>
      <c r="L97" s="11"/>
      <c r="M97" s="23" t="n">
        <v>0.15</v>
      </c>
      <c r="N97" s="11" t="n">
        <v>0.5</v>
      </c>
      <c r="O97" s="11"/>
      <c r="P97" s="24" t="n">
        <v>90000</v>
      </c>
      <c r="Q97" s="11" t="n">
        <v>0</v>
      </c>
      <c r="R97" s="24" t="n">
        <v>0</v>
      </c>
      <c r="S97" s="24" t="n">
        <v>0</v>
      </c>
      <c r="T97" s="24" t="n">
        <v>15000</v>
      </c>
      <c r="U97" s="11" t="s">
        <v>181</v>
      </c>
      <c r="V97" s="10" t="s">
        <v>180</v>
      </c>
    </row>
    <row r="98" customFormat="false" ht="15" hidden="false" customHeight="false" outlineLevel="0" collapsed="false">
      <c r="A98" s="10" t="s">
        <v>148</v>
      </c>
      <c r="B98" s="22" t="n">
        <v>2028</v>
      </c>
      <c r="C98" s="10" t="n">
        <f aca="false">B98-base_year</f>
        <v>2</v>
      </c>
      <c r="D98" s="23" t="n">
        <v>0.15</v>
      </c>
      <c r="E98" s="11" t="n">
        <v>1</v>
      </c>
      <c r="F98" s="11"/>
      <c r="G98" s="24" t="n">
        <v>0</v>
      </c>
      <c r="H98" s="11" t="n">
        <v>0</v>
      </c>
      <c r="I98" s="24" t="n">
        <v>0</v>
      </c>
      <c r="J98" s="24" t="n">
        <v>0</v>
      </c>
      <c r="K98" s="24" t="n">
        <v>0</v>
      </c>
      <c r="L98" s="11"/>
      <c r="M98" s="23" t="n">
        <v>0.15</v>
      </c>
      <c r="N98" s="11" t="n">
        <v>1</v>
      </c>
      <c r="O98" s="11"/>
      <c r="P98" s="24" t="n">
        <v>0</v>
      </c>
      <c r="Q98" s="11" t="n">
        <v>0</v>
      </c>
      <c r="R98" s="24" t="n">
        <v>0</v>
      </c>
      <c r="S98" s="24" t="n">
        <v>0</v>
      </c>
      <c r="T98" s="24" t="n">
        <v>15000</v>
      </c>
      <c r="U98" s="11"/>
      <c r="V98" s="10" t="s">
        <v>180</v>
      </c>
    </row>
    <row r="99" customFormat="false" ht="15" hidden="false" customHeight="false" outlineLevel="0" collapsed="false">
      <c r="A99" s="10" t="s">
        <v>148</v>
      </c>
      <c r="B99" s="22" t="n">
        <v>2029</v>
      </c>
      <c r="C99" s="10" t="n">
        <f aca="false">B99-base_year</f>
        <v>3</v>
      </c>
      <c r="D99" s="23" t="n">
        <v>0.15</v>
      </c>
      <c r="E99" s="11" t="n">
        <v>0.6</v>
      </c>
      <c r="F99" s="11"/>
      <c r="G99" s="24" t="n">
        <v>175000</v>
      </c>
      <c r="H99" s="11" t="n">
        <v>120</v>
      </c>
      <c r="I99" s="24" t="n">
        <v>0</v>
      </c>
      <c r="J99" s="24" t="n">
        <v>0</v>
      </c>
      <c r="K99" s="24" t="n">
        <v>0</v>
      </c>
      <c r="L99" s="11" t="s">
        <v>182</v>
      </c>
      <c r="M99" s="23" t="n">
        <v>0.15</v>
      </c>
      <c r="N99" s="11" t="n">
        <v>1</v>
      </c>
      <c r="O99" s="11"/>
      <c r="P99" s="24" t="n">
        <v>0</v>
      </c>
      <c r="Q99" s="11" t="n">
        <v>0</v>
      </c>
      <c r="R99" s="24" t="n">
        <v>0</v>
      </c>
      <c r="S99" s="24" t="n">
        <v>0</v>
      </c>
      <c r="T99" s="24" t="n">
        <v>15000</v>
      </c>
      <c r="U99" s="11"/>
      <c r="V99" s="10" t="s">
        <v>180</v>
      </c>
    </row>
    <row r="100" customFormat="false" ht="15" hidden="false" customHeight="false" outlineLevel="0" collapsed="false">
      <c r="A100" s="10" t="s">
        <v>148</v>
      </c>
      <c r="B100" s="22" t="n">
        <v>2030</v>
      </c>
      <c r="C100" s="10" t="n">
        <f aca="false">B100-base_year</f>
        <v>4</v>
      </c>
      <c r="D100" s="23" t="n">
        <v>0.15</v>
      </c>
      <c r="E100" s="11" t="n">
        <v>1</v>
      </c>
      <c r="F100" s="11"/>
      <c r="G100" s="24" t="n">
        <v>0</v>
      </c>
      <c r="H100" s="11" t="n">
        <v>0</v>
      </c>
      <c r="I100" s="24" t="n">
        <v>0</v>
      </c>
      <c r="J100" s="24" t="n">
        <v>0</v>
      </c>
      <c r="K100" s="24" t="n">
        <v>0</v>
      </c>
      <c r="L100" s="11"/>
      <c r="M100" s="23" t="n">
        <v>0.15</v>
      </c>
      <c r="N100" s="11" t="n">
        <v>1</v>
      </c>
      <c r="O100" s="11" t="n">
        <v>25</v>
      </c>
      <c r="P100" s="24" t="n">
        <v>0</v>
      </c>
      <c r="Q100" s="11" t="n">
        <v>48</v>
      </c>
      <c r="R100" s="24" t="n">
        <v>0</v>
      </c>
      <c r="S100" s="24" t="n">
        <v>250000</v>
      </c>
      <c r="T100" s="24" t="n">
        <v>15000</v>
      </c>
      <c r="U100" s="11" t="s">
        <v>183</v>
      </c>
      <c r="V100" s="10" t="s">
        <v>180</v>
      </c>
    </row>
    <row r="101" customFormat="false" ht="15" hidden="false" customHeight="false" outlineLevel="0" collapsed="false">
      <c r="A101" s="10" t="s">
        <v>148</v>
      </c>
      <c r="B101" s="22" t="n">
        <v>2031</v>
      </c>
      <c r="C101" s="10" t="n">
        <f aca="false">B101-base_year</f>
        <v>5</v>
      </c>
      <c r="D101" s="23" t="n">
        <v>0.15</v>
      </c>
      <c r="E101" s="11" t="n">
        <v>1</v>
      </c>
      <c r="F101" s="11"/>
      <c r="G101" s="24" t="n">
        <v>0</v>
      </c>
      <c r="H101" s="11" t="n">
        <v>0</v>
      </c>
      <c r="I101" s="24" t="n">
        <v>0</v>
      </c>
      <c r="J101" s="24" t="n">
        <v>0</v>
      </c>
      <c r="K101" s="24" t="n">
        <v>0</v>
      </c>
      <c r="L101" s="11"/>
      <c r="M101" s="23" t="n">
        <v>0.08</v>
      </c>
      <c r="N101" s="11" t="n">
        <v>0.6</v>
      </c>
      <c r="O101" s="11"/>
      <c r="P101" s="24" t="n">
        <v>90000</v>
      </c>
      <c r="Q101" s="11" t="n">
        <v>0</v>
      </c>
      <c r="R101" s="24" t="n">
        <v>0</v>
      </c>
      <c r="S101" s="24" t="n">
        <v>0</v>
      </c>
      <c r="T101" s="24" t="n">
        <v>15000</v>
      </c>
      <c r="U101" s="11" t="s">
        <v>184</v>
      </c>
      <c r="V101" s="10" t="s">
        <v>180</v>
      </c>
    </row>
    <row r="102" customFormat="false" ht="15" hidden="false" customHeight="false" outlineLevel="0" collapsed="false">
      <c r="A102" s="10" t="s">
        <v>148</v>
      </c>
      <c r="B102" s="22" t="n">
        <v>2032</v>
      </c>
      <c r="C102" s="10" t="n">
        <f aca="false">B102-base_year</f>
        <v>6</v>
      </c>
      <c r="D102" s="23" t="n">
        <v>0.15</v>
      </c>
      <c r="E102" s="11" t="n">
        <v>1</v>
      </c>
      <c r="F102" s="11"/>
      <c r="G102" s="24" t="n">
        <v>25000</v>
      </c>
      <c r="H102" s="11" t="n">
        <v>0</v>
      </c>
      <c r="I102" s="24" t="n">
        <v>0</v>
      </c>
      <c r="J102" s="24" t="n">
        <v>0</v>
      </c>
      <c r="K102" s="24" t="n">
        <v>0</v>
      </c>
      <c r="L102" s="11" t="s">
        <v>178</v>
      </c>
      <c r="M102" s="23" t="n">
        <v>0.08</v>
      </c>
      <c r="N102" s="11" t="n">
        <v>1</v>
      </c>
      <c r="O102" s="11"/>
      <c r="P102" s="24" t="n">
        <v>0</v>
      </c>
      <c r="Q102" s="11" t="n">
        <v>0</v>
      </c>
      <c r="R102" s="24" t="n">
        <v>0</v>
      </c>
      <c r="S102" s="24" t="n">
        <v>0</v>
      </c>
      <c r="T102" s="24" t="n">
        <v>15000</v>
      </c>
      <c r="U102" s="11"/>
      <c r="V102" s="10" t="s">
        <v>180</v>
      </c>
    </row>
    <row r="103" customFormat="false" ht="15" hidden="false" customHeight="false" outlineLevel="0" collapsed="false">
      <c r="A103" s="10" t="s">
        <v>148</v>
      </c>
      <c r="B103" s="22" t="n">
        <v>2033</v>
      </c>
      <c r="C103" s="10" t="n">
        <f aca="false">B103-base_year</f>
        <v>7</v>
      </c>
      <c r="D103" s="23" t="n">
        <v>0.15</v>
      </c>
      <c r="E103" s="11" t="n">
        <v>1</v>
      </c>
      <c r="F103" s="11"/>
      <c r="G103" s="24" t="n">
        <v>0</v>
      </c>
      <c r="H103" s="11" t="n">
        <v>0</v>
      </c>
      <c r="I103" s="24" t="n">
        <v>0</v>
      </c>
      <c r="J103" s="24" t="n">
        <v>0</v>
      </c>
      <c r="K103" s="24" t="n">
        <v>0</v>
      </c>
      <c r="L103" s="11"/>
      <c r="M103" s="23" t="n">
        <v>0.08</v>
      </c>
      <c r="N103" s="11" t="n">
        <v>1</v>
      </c>
      <c r="O103" s="11"/>
      <c r="P103" s="24" t="n">
        <v>0</v>
      </c>
      <c r="Q103" s="11" t="n">
        <v>0</v>
      </c>
      <c r="R103" s="24" t="n">
        <v>0</v>
      </c>
      <c r="S103" s="24" t="n">
        <v>0</v>
      </c>
      <c r="T103" s="24" t="n">
        <v>15000</v>
      </c>
      <c r="U103" s="11"/>
      <c r="V103" s="10" t="s">
        <v>180</v>
      </c>
    </row>
    <row r="104" customFormat="false" ht="15" hidden="false" customHeight="false" outlineLevel="0" collapsed="false">
      <c r="A104" s="10" t="s">
        <v>148</v>
      </c>
      <c r="B104" s="22" t="n">
        <v>2034</v>
      </c>
      <c r="C104" s="10" t="n">
        <f aca="false">B104-base_year</f>
        <v>8</v>
      </c>
      <c r="D104" s="23" t="n">
        <v>0.15</v>
      </c>
      <c r="E104" s="11" t="n">
        <v>1</v>
      </c>
      <c r="F104" s="11"/>
      <c r="G104" s="24" t="n">
        <v>0</v>
      </c>
      <c r="H104" s="11" t="n">
        <v>0</v>
      </c>
      <c r="I104" s="24" t="n">
        <v>0</v>
      </c>
      <c r="J104" s="24" t="n">
        <v>0</v>
      </c>
      <c r="K104" s="24" t="n">
        <v>0</v>
      </c>
      <c r="L104" s="11"/>
      <c r="M104" s="23" t="n">
        <v>0.08</v>
      </c>
      <c r="N104" s="11" t="n">
        <v>1</v>
      </c>
      <c r="O104" s="11"/>
      <c r="P104" s="24" t="n">
        <v>0</v>
      </c>
      <c r="Q104" s="11" t="n">
        <v>0</v>
      </c>
      <c r="R104" s="24" t="n">
        <v>0</v>
      </c>
      <c r="S104" s="24" t="n">
        <v>0</v>
      </c>
      <c r="T104" s="24" t="n">
        <v>15000</v>
      </c>
      <c r="U104" s="11"/>
      <c r="V104" s="10" t="s">
        <v>180</v>
      </c>
    </row>
    <row r="105" customFormat="false" ht="15" hidden="false" customHeight="false" outlineLevel="0" collapsed="false">
      <c r="A105" s="10" t="s">
        <v>148</v>
      </c>
      <c r="B105" s="22" t="n">
        <v>2035</v>
      </c>
      <c r="C105" s="10" t="n">
        <f aca="false">B105-base_year</f>
        <v>9</v>
      </c>
      <c r="D105" s="23" t="n">
        <v>0.15</v>
      </c>
      <c r="E105" s="11" t="n">
        <v>1</v>
      </c>
      <c r="F105" s="11"/>
      <c r="G105" s="24" t="n">
        <v>25000</v>
      </c>
      <c r="H105" s="11" t="n">
        <v>0</v>
      </c>
      <c r="I105" s="24" t="n">
        <v>0</v>
      </c>
      <c r="J105" s="24" t="n">
        <v>0</v>
      </c>
      <c r="K105" s="24" t="n">
        <v>0</v>
      </c>
      <c r="L105" s="11" t="s">
        <v>178</v>
      </c>
      <c r="M105" s="23" t="n">
        <v>0.08</v>
      </c>
      <c r="N105" s="11" t="n">
        <v>1</v>
      </c>
      <c r="O105" s="11"/>
      <c r="P105" s="24" t="n">
        <v>0</v>
      </c>
      <c r="Q105" s="11" t="n">
        <v>0</v>
      </c>
      <c r="R105" s="24" t="n">
        <v>0</v>
      </c>
      <c r="S105" s="24" t="n">
        <v>0</v>
      </c>
      <c r="T105" s="24" t="n">
        <v>15000</v>
      </c>
      <c r="U105" s="11"/>
      <c r="V105" s="10" t="s">
        <v>180</v>
      </c>
    </row>
    <row r="106" customFormat="false" ht="15" hidden="false" customHeight="false" outlineLevel="0" collapsed="false">
      <c r="A106" s="10" t="s">
        <v>148</v>
      </c>
      <c r="B106" s="22" t="n">
        <v>2036</v>
      </c>
      <c r="C106" s="10" t="n">
        <f aca="false">B106-base_year</f>
        <v>10</v>
      </c>
      <c r="D106" s="23" t="n">
        <v>0.15</v>
      </c>
      <c r="E106" s="11" t="n">
        <v>1</v>
      </c>
      <c r="F106" s="11"/>
      <c r="G106" s="24" t="n">
        <v>0</v>
      </c>
      <c r="H106" s="11" t="n">
        <v>0</v>
      </c>
      <c r="I106" s="24" t="n">
        <v>0</v>
      </c>
      <c r="J106" s="24" t="n">
        <v>0</v>
      </c>
      <c r="K106" s="24" t="n">
        <v>0</v>
      </c>
      <c r="L106" s="11"/>
      <c r="M106" s="23" t="n">
        <v>0.08</v>
      </c>
      <c r="N106" s="11" t="n">
        <v>1</v>
      </c>
      <c r="O106" s="11"/>
      <c r="P106" s="24" t="n">
        <v>0</v>
      </c>
      <c r="Q106" s="11" t="n">
        <v>0</v>
      </c>
      <c r="R106" s="24" t="n">
        <v>0</v>
      </c>
      <c r="S106" s="24" t="n">
        <v>0</v>
      </c>
      <c r="T106" s="24" t="n">
        <v>15000</v>
      </c>
      <c r="U106" s="11"/>
      <c r="V106" s="10" t="s">
        <v>180</v>
      </c>
    </row>
    <row r="107" customFormat="false" ht="15" hidden="false" customHeight="false" outlineLevel="0" collapsed="false">
      <c r="A107" s="10" t="s">
        <v>151</v>
      </c>
      <c r="B107" s="22" t="n">
        <f aca="false">base_year</f>
        <v>2026</v>
      </c>
      <c r="C107" s="10" t="n">
        <f aca="false">B107-base_year</f>
        <v>0</v>
      </c>
      <c r="D107" s="23" t="n">
        <v>0.2</v>
      </c>
      <c r="E107" s="11" t="n">
        <v>1</v>
      </c>
      <c r="F107" s="11"/>
      <c r="G107" s="24" t="n">
        <v>8000</v>
      </c>
      <c r="H107" s="11" t="n">
        <v>0</v>
      </c>
      <c r="I107" s="24" t="n">
        <v>0</v>
      </c>
      <c r="J107" s="24" t="n">
        <v>0</v>
      </c>
      <c r="K107" s="24" t="n">
        <v>0</v>
      </c>
      <c r="L107" s="11" t="s">
        <v>185</v>
      </c>
      <c r="M107" s="23" t="n">
        <v>0.2</v>
      </c>
      <c r="N107" s="11" t="n">
        <v>0.8</v>
      </c>
      <c r="O107" s="11"/>
      <c r="P107" s="24" t="n">
        <v>65000</v>
      </c>
      <c r="Q107" s="11" t="n">
        <v>0</v>
      </c>
      <c r="R107" s="24" t="n">
        <v>0</v>
      </c>
      <c r="S107" s="24" t="n">
        <v>0</v>
      </c>
      <c r="T107" s="24" t="n">
        <v>10000</v>
      </c>
      <c r="U107" s="11" t="s">
        <v>186</v>
      </c>
      <c r="V107" s="10" t="s">
        <v>180</v>
      </c>
    </row>
    <row r="108" customFormat="false" ht="15" hidden="false" customHeight="false" outlineLevel="0" collapsed="false">
      <c r="A108" s="10" t="s">
        <v>151</v>
      </c>
      <c r="B108" s="22" t="n">
        <v>2027</v>
      </c>
      <c r="C108" s="10" t="n">
        <f aca="false">B108-base_year</f>
        <v>1</v>
      </c>
      <c r="D108" s="23" t="n">
        <v>0.2</v>
      </c>
      <c r="E108" s="11" t="n">
        <v>1</v>
      </c>
      <c r="F108" s="11"/>
      <c r="G108" s="24" t="n">
        <v>0</v>
      </c>
      <c r="H108" s="11" t="n">
        <v>0</v>
      </c>
      <c r="I108" s="24" t="n">
        <v>0</v>
      </c>
      <c r="J108" s="24" t="n">
        <v>0</v>
      </c>
      <c r="K108" s="24" t="n">
        <v>0</v>
      </c>
      <c r="L108" s="11"/>
      <c r="M108" s="23" t="n">
        <v>0.2</v>
      </c>
      <c r="N108" s="11" t="n">
        <v>0.5</v>
      </c>
      <c r="O108" s="11"/>
      <c r="P108" s="24" t="n">
        <v>0</v>
      </c>
      <c r="Q108" s="11" t="n">
        <v>0</v>
      </c>
      <c r="R108" s="24" t="n">
        <v>180000</v>
      </c>
      <c r="S108" s="24" t="n">
        <v>0</v>
      </c>
      <c r="T108" s="24" t="n">
        <v>10000</v>
      </c>
      <c r="U108" s="11" t="s">
        <v>187</v>
      </c>
      <c r="V108" s="10" t="s">
        <v>180</v>
      </c>
    </row>
    <row r="109" customFormat="false" ht="15" hidden="false" customHeight="false" outlineLevel="0" collapsed="false">
      <c r="A109" s="10" t="s">
        <v>151</v>
      </c>
      <c r="B109" s="22" t="n">
        <v>2028</v>
      </c>
      <c r="C109" s="10" t="n">
        <f aca="false">B109-base_year</f>
        <v>2</v>
      </c>
      <c r="D109" s="23" t="n">
        <v>0.2</v>
      </c>
      <c r="E109" s="11" t="n">
        <v>1</v>
      </c>
      <c r="F109" s="11"/>
      <c r="G109" s="24" t="n">
        <v>0</v>
      </c>
      <c r="H109" s="11" t="n">
        <v>0</v>
      </c>
      <c r="I109" s="24" t="n">
        <v>0</v>
      </c>
      <c r="J109" s="24" t="n">
        <v>0</v>
      </c>
      <c r="K109" s="24" t="n">
        <v>0</v>
      </c>
      <c r="L109" s="11"/>
      <c r="M109" s="23" t="n">
        <v>0.06</v>
      </c>
      <c r="N109" s="11" t="n">
        <v>1</v>
      </c>
      <c r="O109" s="11" t="n">
        <v>8</v>
      </c>
      <c r="P109" s="24" t="n">
        <v>0</v>
      </c>
      <c r="Q109" s="11" t="n">
        <v>96</v>
      </c>
      <c r="R109" s="24" t="n">
        <v>0</v>
      </c>
      <c r="S109" s="24" t="n">
        <v>450000</v>
      </c>
      <c r="T109" s="24" t="n">
        <v>10000</v>
      </c>
      <c r="U109" s="11" t="s">
        <v>188</v>
      </c>
      <c r="V109" s="10" t="s">
        <v>180</v>
      </c>
    </row>
    <row r="110" customFormat="false" ht="15" hidden="false" customHeight="false" outlineLevel="0" collapsed="false">
      <c r="A110" s="10" t="s">
        <v>151</v>
      </c>
      <c r="B110" s="22" t="n">
        <v>2029</v>
      </c>
      <c r="C110" s="10" t="n">
        <f aca="false">B110-base_year</f>
        <v>3</v>
      </c>
      <c r="D110" s="23" t="n">
        <v>0.2</v>
      </c>
      <c r="E110" s="11" t="n">
        <v>1</v>
      </c>
      <c r="F110" s="11" t="n">
        <v>1</v>
      </c>
      <c r="G110" s="24" t="n">
        <v>0</v>
      </c>
      <c r="H110" s="11" t="n">
        <v>720</v>
      </c>
      <c r="I110" s="24" t="n">
        <v>0</v>
      </c>
      <c r="J110" s="24" t="n">
        <v>1800000</v>
      </c>
      <c r="K110" s="24" t="n">
        <v>0</v>
      </c>
      <c r="L110" s="11" t="s">
        <v>189</v>
      </c>
      <c r="M110" s="23" t="n">
        <v>0.06</v>
      </c>
      <c r="N110" s="11" t="n">
        <v>1</v>
      </c>
      <c r="O110" s="11"/>
      <c r="P110" s="24" t="n">
        <v>0</v>
      </c>
      <c r="Q110" s="11" t="n">
        <v>0</v>
      </c>
      <c r="R110" s="24" t="n">
        <v>0</v>
      </c>
      <c r="S110" s="24" t="n">
        <v>0</v>
      </c>
      <c r="T110" s="24" t="n">
        <v>10000</v>
      </c>
      <c r="U110" s="11"/>
      <c r="V110" s="10" t="s">
        <v>180</v>
      </c>
    </row>
    <row r="111" customFormat="false" ht="15" hidden="false" customHeight="false" outlineLevel="0" collapsed="false">
      <c r="A111" s="10" t="s">
        <v>151</v>
      </c>
      <c r="B111" s="22" t="n">
        <v>2030</v>
      </c>
      <c r="C111" s="10" t="n">
        <f aca="false">B111-base_year</f>
        <v>4</v>
      </c>
      <c r="D111" s="23" t="n">
        <v>0.06</v>
      </c>
      <c r="E111" s="11" t="n">
        <v>1</v>
      </c>
      <c r="F111" s="11"/>
      <c r="G111" s="24" t="n">
        <v>0</v>
      </c>
      <c r="H111" s="11" t="n">
        <v>0</v>
      </c>
      <c r="I111" s="24" t="n">
        <v>0</v>
      </c>
      <c r="J111" s="24" t="n">
        <v>0</v>
      </c>
      <c r="K111" s="24" t="n">
        <v>0</v>
      </c>
      <c r="L111" s="11"/>
      <c r="M111" s="23" t="n">
        <v>0.06</v>
      </c>
      <c r="N111" s="11" t="n">
        <v>1</v>
      </c>
      <c r="O111" s="11"/>
      <c r="P111" s="24" t="n">
        <v>0</v>
      </c>
      <c r="Q111" s="11" t="n">
        <v>0</v>
      </c>
      <c r="R111" s="24" t="n">
        <v>0</v>
      </c>
      <c r="S111" s="24" t="n">
        <v>0</v>
      </c>
      <c r="T111" s="24" t="n">
        <v>10000</v>
      </c>
      <c r="U111" s="11"/>
      <c r="V111" s="10" t="s">
        <v>180</v>
      </c>
    </row>
    <row r="112" customFormat="false" ht="15" hidden="false" customHeight="false" outlineLevel="0" collapsed="false">
      <c r="A112" s="10" t="s">
        <v>151</v>
      </c>
      <c r="B112" s="22" t="n">
        <v>2031</v>
      </c>
      <c r="C112" s="10" t="n">
        <f aca="false">B112-base_year</f>
        <v>5</v>
      </c>
      <c r="D112" s="23" t="n">
        <v>0.06</v>
      </c>
      <c r="E112" s="11" t="n">
        <v>1</v>
      </c>
      <c r="F112" s="11"/>
      <c r="G112" s="24" t="n">
        <v>0</v>
      </c>
      <c r="H112" s="11" t="n">
        <v>0</v>
      </c>
      <c r="I112" s="24" t="n">
        <v>0</v>
      </c>
      <c r="J112" s="24" t="n">
        <v>0</v>
      </c>
      <c r="K112" s="24" t="n">
        <v>0</v>
      </c>
      <c r="L112" s="11"/>
      <c r="M112" s="23" t="n">
        <v>0.06</v>
      </c>
      <c r="N112" s="11" t="n">
        <v>1</v>
      </c>
      <c r="O112" s="11"/>
      <c r="P112" s="24" t="n">
        <v>0</v>
      </c>
      <c r="Q112" s="11" t="n">
        <v>0</v>
      </c>
      <c r="R112" s="24" t="n">
        <v>0</v>
      </c>
      <c r="S112" s="24" t="n">
        <v>0</v>
      </c>
      <c r="T112" s="24" t="n">
        <v>10000</v>
      </c>
      <c r="U112" s="11"/>
      <c r="V112" s="10" t="s">
        <v>180</v>
      </c>
    </row>
    <row r="113" customFormat="false" ht="15" hidden="false" customHeight="false" outlineLevel="0" collapsed="false">
      <c r="A113" s="10" t="s">
        <v>151</v>
      </c>
      <c r="B113" s="22" t="n">
        <v>2032</v>
      </c>
      <c r="C113" s="10" t="n">
        <f aca="false">B113-base_year</f>
        <v>6</v>
      </c>
      <c r="D113" s="23" t="n">
        <v>0.06</v>
      </c>
      <c r="E113" s="11" t="n">
        <v>1</v>
      </c>
      <c r="F113" s="11"/>
      <c r="G113" s="24" t="n">
        <v>8000</v>
      </c>
      <c r="H113" s="11" t="n">
        <v>0</v>
      </c>
      <c r="I113" s="24" t="n">
        <v>0</v>
      </c>
      <c r="J113" s="24" t="n">
        <v>0</v>
      </c>
      <c r="K113" s="24" t="n">
        <v>0</v>
      </c>
      <c r="L113" s="11" t="s">
        <v>185</v>
      </c>
      <c r="M113" s="23" t="n">
        <v>0.06</v>
      </c>
      <c r="N113" s="11" t="n">
        <v>1</v>
      </c>
      <c r="O113" s="11"/>
      <c r="P113" s="24" t="n">
        <v>0</v>
      </c>
      <c r="Q113" s="11" t="n">
        <v>0</v>
      </c>
      <c r="R113" s="24" t="n">
        <v>0</v>
      </c>
      <c r="S113" s="24" t="n">
        <v>0</v>
      </c>
      <c r="T113" s="24" t="n">
        <v>10000</v>
      </c>
      <c r="U113" s="11"/>
      <c r="V113" s="10" t="s">
        <v>180</v>
      </c>
    </row>
    <row r="114" customFormat="false" ht="15" hidden="false" customHeight="false" outlineLevel="0" collapsed="false">
      <c r="A114" s="10" t="s">
        <v>151</v>
      </c>
      <c r="B114" s="22" t="n">
        <v>2033</v>
      </c>
      <c r="C114" s="10" t="n">
        <f aca="false">B114-base_year</f>
        <v>7</v>
      </c>
      <c r="D114" s="23" t="n">
        <v>0.06</v>
      </c>
      <c r="E114" s="11" t="n">
        <v>1</v>
      </c>
      <c r="F114" s="11"/>
      <c r="G114" s="24" t="n">
        <v>0</v>
      </c>
      <c r="H114" s="11" t="n">
        <v>0</v>
      </c>
      <c r="I114" s="24" t="n">
        <v>0</v>
      </c>
      <c r="J114" s="24" t="n">
        <v>0</v>
      </c>
      <c r="K114" s="24" t="n">
        <v>0</v>
      </c>
      <c r="L114" s="11"/>
      <c r="M114" s="23" t="n">
        <v>0.06</v>
      </c>
      <c r="N114" s="11" t="n">
        <v>0.6</v>
      </c>
      <c r="O114" s="11"/>
      <c r="P114" s="24" t="n">
        <v>40000</v>
      </c>
      <c r="Q114" s="11" t="n">
        <v>0</v>
      </c>
      <c r="R114" s="24" t="n">
        <v>0</v>
      </c>
      <c r="S114" s="24" t="n">
        <v>0</v>
      </c>
      <c r="T114" s="24" t="n">
        <v>10000</v>
      </c>
      <c r="U114" s="11" t="s">
        <v>190</v>
      </c>
      <c r="V114" s="10" t="s">
        <v>180</v>
      </c>
    </row>
    <row r="115" customFormat="false" ht="15" hidden="false" customHeight="false" outlineLevel="0" collapsed="false">
      <c r="A115" s="10" t="s">
        <v>151</v>
      </c>
      <c r="B115" s="22" t="n">
        <v>2034</v>
      </c>
      <c r="C115" s="10" t="n">
        <f aca="false">B115-base_year</f>
        <v>8</v>
      </c>
      <c r="D115" s="23" t="n">
        <v>0.06</v>
      </c>
      <c r="E115" s="11" t="n">
        <v>1</v>
      </c>
      <c r="F115" s="11"/>
      <c r="G115" s="24" t="n">
        <v>0</v>
      </c>
      <c r="H115" s="11" t="n">
        <v>0</v>
      </c>
      <c r="I115" s="24" t="n">
        <v>0</v>
      </c>
      <c r="J115" s="24" t="n">
        <v>0</v>
      </c>
      <c r="K115" s="24" t="n">
        <v>0</v>
      </c>
      <c r="L115" s="11"/>
      <c r="M115" s="23" t="n">
        <v>0.06</v>
      </c>
      <c r="N115" s="11" t="n">
        <v>1</v>
      </c>
      <c r="O115" s="11"/>
      <c r="P115" s="24" t="n">
        <v>0</v>
      </c>
      <c r="Q115" s="11" t="n">
        <v>0</v>
      </c>
      <c r="R115" s="24" t="n">
        <v>0</v>
      </c>
      <c r="S115" s="24" t="n">
        <v>0</v>
      </c>
      <c r="T115" s="24" t="n">
        <v>10000</v>
      </c>
      <c r="U115" s="11"/>
      <c r="V115" s="10" t="s">
        <v>180</v>
      </c>
    </row>
    <row r="116" customFormat="false" ht="15" hidden="false" customHeight="false" outlineLevel="0" collapsed="false">
      <c r="A116" s="10" t="s">
        <v>151</v>
      </c>
      <c r="B116" s="22" t="n">
        <v>2035</v>
      </c>
      <c r="C116" s="10" t="n">
        <f aca="false">B116-base_year</f>
        <v>9</v>
      </c>
      <c r="D116" s="23" t="n">
        <v>0.06</v>
      </c>
      <c r="E116" s="11" t="n">
        <v>1</v>
      </c>
      <c r="F116" s="11"/>
      <c r="G116" s="24" t="n">
        <v>0</v>
      </c>
      <c r="H116" s="11" t="n">
        <v>0</v>
      </c>
      <c r="I116" s="24" t="n">
        <v>0</v>
      </c>
      <c r="J116" s="24" t="n">
        <v>0</v>
      </c>
      <c r="K116" s="24" t="n">
        <v>0</v>
      </c>
      <c r="L116" s="11"/>
      <c r="M116" s="23" t="n">
        <v>0.06</v>
      </c>
      <c r="N116" s="11" t="n">
        <v>1</v>
      </c>
      <c r="O116" s="11"/>
      <c r="P116" s="24" t="n">
        <v>0</v>
      </c>
      <c r="Q116" s="11" t="n">
        <v>0</v>
      </c>
      <c r="R116" s="24" t="n">
        <v>0</v>
      </c>
      <c r="S116" s="24" t="n">
        <v>0</v>
      </c>
      <c r="T116" s="24" t="n">
        <v>10000</v>
      </c>
      <c r="U116" s="11"/>
      <c r="V116" s="10" t="s">
        <v>180</v>
      </c>
    </row>
    <row r="117" customFormat="false" ht="15" hidden="false" customHeight="false" outlineLevel="0" collapsed="false">
      <c r="A117" s="10" t="s">
        <v>151</v>
      </c>
      <c r="B117" s="22" t="n">
        <v>2036</v>
      </c>
      <c r="C117" s="10" t="n">
        <f aca="false">B117-base_year</f>
        <v>10</v>
      </c>
      <c r="D117" s="23" t="n">
        <v>0.06</v>
      </c>
      <c r="E117" s="11" t="n">
        <v>1</v>
      </c>
      <c r="F117" s="11"/>
      <c r="G117" s="24" t="n">
        <v>0</v>
      </c>
      <c r="H117" s="11" t="n">
        <v>0</v>
      </c>
      <c r="I117" s="24" t="n">
        <v>0</v>
      </c>
      <c r="J117" s="24" t="n">
        <v>0</v>
      </c>
      <c r="K117" s="24" t="n">
        <v>0</v>
      </c>
      <c r="L117" s="11"/>
      <c r="M117" s="23" t="n">
        <v>0.06</v>
      </c>
      <c r="N117" s="11" t="n">
        <v>1</v>
      </c>
      <c r="O117" s="11"/>
      <c r="P117" s="24" t="n">
        <v>0</v>
      </c>
      <c r="Q117" s="11" t="n">
        <v>0</v>
      </c>
      <c r="R117" s="24" t="n">
        <v>0</v>
      </c>
      <c r="S117" s="24" t="n">
        <v>0</v>
      </c>
      <c r="T117" s="24" t="n">
        <v>10000</v>
      </c>
      <c r="U117" s="11"/>
      <c r="V117" s="10" t="s">
        <v>180</v>
      </c>
    </row>
    <row r="120" customFormat="false" ht="15" hidden="false" customHeight="false" outlineLevel="0" collapsed="false">
      <c r="A120" s="3" t="s">
        <v>191</v>
      </c>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customFormat="false" ht="17.35" hidden="false" customHeight="false" outlineLevel="0" collapsed="false">
      <c r="A121" s="7" t="s">
        <v>192</v>
      </c>
    </row>
    <row r="122" customFormat="false" ht="15" hidden="false" customHeight="false" outlineLevel="0" collapsed="false">
      <c r="A122" s="8" t="s">
        <v>193</v>
      </c>
    </row>
    <row r="123" customFormat="false" ht="15" hidden="false" customHeight="false" outlineLevel="0" collapsed="false">
      <c r="A123" s="2" t="s">
        <v>22</v>
      </c>
    </row>
    <row r="125" customFormat="false" ht="41.75" hidden="false" customHeight="false" outlineLevel="0" collapsed="false">
      <c r="A125" s="9" t="s">
        <v>135</v>
      </c>
      <c r="B125" s="9" t="s">
        <v>158</v>
      </c>
      <c r="C125" s="9" t="s">
        <v>159</v>
      </c>
      <c r="D125" s="9" t="s">
        <v>194</v>
      </c>
      <c r="E125" s="9" t="s">
        <v>195</v>
      </c>
      <c r="F125" s="9" t="s">
        <v>196</v>
      </c>
      <c r="G125" s="9" t="s">
        <v>197</v>
      </c>
      <c r="H125" s="9" t="s">
        <v>198</v>
      </c>
      <c r="I125" s="9" t="s">
        <v>199</v>
      </c>
      <c r="J125" s="9" t="s">
        <v>200</v>
      </c>
      <c r="K125" s="9" t="s">
        <v>201</v>
      </c>
      <c r="L125" s="9" t="s">
        <v>202</v>
      </c>
      <c r="M125" s="9" t="s">
        <v>203</v>
      </c>
      <c r="N125" s="9" t="s">
        <v>204</v>
      </c>
      <c r="O125" s="9" t="s">
        <v>205</v>
      </c>
      <c r="P125" s="9" t="s">
        <v>206</v>
      </c>
      <c r="Q125" s="9" t="s">
        <v>207</v>
      </c>
      <c r="R125" s="9" t="s">
        <v>208</v>
      </c>
      <c r="S125" s="9" t="s">
        <v>209</v>
      </c>
      <c r="T125" s="9" t="s">
        <v>210</v>
      </c>
      <c r="U125" s="9" t="s">
        <v>211</v>
      </c>
      <c r="V125" s="9" t="s">
        <v>212</v>
      </c>
      <c r="W125" s="9" t="s">
        <v>213</v>
      </c>
      <c r="X125" s="9" t="s">
        <v>214</v>
      </c>
      <c r="Y125" s="9" t="s">
        <v>215</v>
      </c>
      <c r="Z125" s="9" t="s">
        <v>216</v>
      </c>
      <c r="AA125" s="9" t="s">
        <v>217</v>
      </c>
      <c r="AB125" s="9" t="s">
        <v>218</v>
      </c>
      <c r="AC125" s="9" t="s">
        <v>219</v>
      </c>
      <c r="AD125" s="9" t="s">
        <v>220</v>
      </c>
      <c r="AE125" s="9" t="s">
        <v>221</v>
      </c>
      <c r="AF125" s="9" t="s">
        <v>222</v>
      </c>
      <c r="AG125" s="9" t="s">
        <v>223</v>
      </c>
      <c r="AH125" s="9" t="s">
        <v>224</v>
      </c>
      <c r="AI125" s="9" t="s">
        <v>225</v>
      </c>
      <c r="AJ125" s="9" t="s">
        <v>226</v>
      </c>
      <c r="AK125" s="9" t="s">
        <v>227</v>
      </c>
      <c r="AL125" s="9" t="s">
        <v>228</v>
      </c>
      <c r="AM125" s="9" t="s">
        <v>229</v>
      </c>
      <c r="AN125" s="9" t="s">
        <v>230</v>
      </c>
      <c r="AO125" s="9" t="s">
        <v>231</v>
      </c>
      <c r="AP125" s="9" t="s">
        <v>232</v>
      </c>
      <c r="AQ125" s="9" t="s">
        <v>27</v>
      </c>
      <c r="AR125" s="9" t="s">
        <v>233</v>
      </c>
    </row>
    <row r="126" customFormat="false" ht="15" hidden="false" customHeight="false" outlineLevel="0" collapsed="false">
      <c r="A126" s="10" t="s">
        <v>148</v>
      </c>
      <c r="B126" s="22" t="n">
        <f aca="false">B96</f>
        <v>2026</v>
      </c>
      <c r="C126" s="10" t="n">
        <f aca="false">B126-base_year</f>
        <v>0</v>
      </c>
      <c r="D126" s="25" t="n">
        <f aca="false">INDEX($B$84:$B$85,MATCH($A126,$A$84:$A$85,0))</f>
        <v>0.000765</v>
      </c>
      <c r="E126" s="26" t="n">
        <f aca="false">fms</f>
        <v>0.398107170553497</v>
      </c>
      <c r="F126" s="18" t="n">
        <f aca="false">MIN(INDEX($D$84:$D$85,MATCH($A126,$A$84:$A$85,0)),IF(F96&lt;&gt;"",F96,INDEX($C$84:$C$85,MATCH($A126,$A$84:$A$85,0))*E96))</f>
        <v>40</v>
      </c>
      <c r="G126" s="18" t="n">
        <f aca="false">MIN(INDEX($D$84:$D$85,MATCH($A126,$A$84:$A$85,0)),IF(O96&lt;&gt;"",O96,INDEX($C$84:$C$85,MATCH($A126,$A$84:$A$85,0))*N96))</f>
        <v>40</v>
      </c>
      <c r="H126" s="25" t="n">
        <f aca="false">D126*F126*E126</f>
        <v>0.012182079418937</v>
      </c>
      <c r="I126" s="25" t="n">
        <f aca="false">D126*G126*E126</f>
        <v>0.012182079418937</v>
      </c>
      <c r="J126" s="27" t="n">
        <f aca="false">INDEX($G$84:$G$85,MATCH($A126,$A$84:$A$85,0))*f_rep+INDEX($H$84:$H$85,MATCH($A126,$A$84:$A$85,0))*price_base*f_price</f>
        <v>2900000</v>
      </c>
      <c r="K126" s="27" t="n">
        <f aca="false">INDEX($I$84:$I$85,MATCH($A126,$A$84:$A$85,0))</f>
        <v>2000000</v>
      </c>
      <c r="L126" s="27" t="n">
        <f aca="false">INDEX($F$84:$F$85,MATCH($A126,$A$84:$A$85,0))*f_down*U126</f>
        <v>4800000</v>
      </c>
      <c r="M126" s="27" t="n">
        <f aca="false">INDEX($J$84:$J$85,MATCH($A126,$A$84:$A$85,0))</f>
        <v>500000</v>
      </c>
      <c r="N126" s="27" t="n">
        <f aca="false">INDEX($K$84:$K$85,MATCH($A126,$A$84:$A$85,0))</f>
        <v>800000</v>
      </c>
      <c r="O126" s="27" t="n">
        <f aca="false">SUM(J126:N126)</f>
        <v>11000000</v>
      </c>
      <c r="P126" s="27" t="n">
        <f aca="false">H126*O126</f>
        <v>134002.873608307</v>
      </c>
      <c r="Q126" s="27" t="n">
        <f aca="false">I126*O126</f>
        <v>134002.873608307</v>
      </c>
      <c r="R126" s="27" t="n">
        <f aca="false">P126-Q126</f>
        <v>0</v>
      </c>
      <c r="S126" s="27" t="n">
        <f aca="false">R126*(O126-M126)/O126</f>
        <v>0</v>
      </c>
      <c r="T126" s="27" t="n">
        <f aca="false">R126-S126</f>
        <v>0</v>
      </c>
      <c r="U126" s="27" t="n">
        <f aca="false">INDEX($E$84:$E$85,MATCH($A126,$A$84:$A$85,0))*margin_base*f_margin</f>
        <v>320000</v>
      </c>
      <c r="V126" s="27" t="n">
        <f aca="false">H96/24*U126*f_down</f>
        <v>0</v>
      </c>
      <c r="W126" s="27" t="n">
        <f aca="false">Q96/24*U126*f_down</f>
        <v>0</v>
      </c>
      <c r="X126" s="27" t="n">
        <f aca="false">G96*f_insp</f>
        <v>25000</v>
      </c>
      <c r="Y126" s="27" t="n">
        <f aca="false">P96*f_insp</f>
        <v>60000</v>
      </c>
      <c r="Z126" s="27" t="n">
        <f aca="false">I96*f_rep</f>
        <v>0</v>
      </c>
      <c r="AA126" s="27" t="n">
        <f aca="false">R96*f_rep</f>
        <v>0</v>
      </c>
      <c r="AB126" s="27" t="n">
        <f aca="false">J96*f_rep</f>
        <v>0</v>
      </c>
      <c r="AC126" s="27" t="n">
        <f aca="false">S96*f_rep</f>
        <v>0</v>
      </c>
      <c r="AD126" s="27" t="n">
        <f aca="false">K96</f>
        <v>0</v>
      </c>
      <c r="AE126" s="27" t="n">
        <f aca="false">T96</f>
        <v>15000</v>
      </c>
      <c r="AF126" s="27" t="n">
        <f aca="false">V126+X126+Z126+AB126+AD126</f>
        <v>25000</v>
      </c>
      <c r="AG126" s="27" t="n">
        <f aca="false">W126+Y126+AA126+AC126+AE126</f>
        <v>75000</v>
      </c>
      <c r="AH126" s="10" t="n">
        <f aca="false">1+(F126&gt;th_p1)+(F126&gt;th_p2)+(F126&gt;th_p3)+(F126&gt;th_p4)</f>
        <v>4</v>
      </c>
      <c r="AI126" s="10" t="n">
        <f aca="false">1+(G126&gt;th_p1)+(G126&gt;th_p2)+(G126&gt;th_p3)+(G126&gt;th_p4)</f>
        <v>4</v>
      </c>
      <c r="AJ126" s="10" t="str">
        <f aca="false">CHOOSE(1+(O126&gt;th_a)+(O126&gt;th_b)+(O126&gt;th_c)+(O126&gt;th_d),"A","B","C","D","E")</f>
        <v>E</v>
      </c>
      <c r="AK126" s="10" t="str">
        <f aca="false">INDEX($B$155:$F$159,MATCH(AH126,$A$155:$A$159,0),MATCH($AJ126,$B$154:$F$154,0))</f>
        <v>A</v>
      </c>
      <c r="AL126" s="10" t="str">
        <f aca="false">INDEX($B$155:$F$159,MATCH(AI126,$A$155:$A$159,0),MATCH($AJ126,$B$154:$F$154,0))</f>
        <v>A</v>
      </c>
      <c r="AM126" s="10" t="str">
        <f aca="false">IF(MATCH(AK126,$I$155:$I$158,0)&lt;=MATCH(risk_target,$I$155:$I$158,0),"Cumple","EXCEDE")</f>
        <v>EXCEDE</v>
      </c>
      <c r="AN126" s="10" t="str">
        <f aca="false">IF(MATCH(AL126,$I$155:$I$158,0)&lt;=MATCH(risk_target,$I$155:$I$158,0),"Cumple","EXCEDE")</f>
        <v>EXCEDE</v>
      </c>
      <c r="AO126" s="10" t="s">
        <v>234</v>
      </c>
      <c r="AP126" s="10" t="str">
        <f aca="false">IF(R126&gt;=0,"riesgo evitado esperado (no caja) ","riesgo ADICIONAL aceptado (no caja) ")&amp;TEXT(R126,"#,##0")&amp;" $/a; flujo caja C0−C1: "&amp;TEXT(AF126-AG126,"#,##0")&amp;" $"</f>
        <v>riesgo evitado esperado (no caja) 0 $/a; flujo caja C0−C1: -50,000 $</v>
      </c>
      <c r="AQ126" s="10" t="s">
        <v>180</v>
      </c>
      <c r="AR126" s="10" t="str">
        <f aca="false">A126&amp;"|"&amp;B126</f>
        <v>U-200|2026</v>
      </c>
    </row>
    <row r="127" customFormat="false" ht="15" hidden="false" customHeight="false" outlineLevel="0" collapsed="false">
      <c r="A127" s="10" t="s">
        <v>148</v>
      </c>
      <c r="B127" s="22" t="n">
        <f aca="false">B97</f>
        <v>2027</v>
      </c>
      <c r="C127" s="10" t="n">
        <f aca="false">B127-base_year</f>
        <v>1</v>
      </c>
      <c r="D127" s="25" t="n">
        <f aca="false">INDEX($B$84:$B$85,MATCH($A127,$A$84:$A$85,0))</f>
        <v>0.000765</v>
      </c>
      <c r="E127" s="26" t="n">
        <f aca="false">fms</f>
        <v>0.398107170553497</v>
      </c>
      <c r="F127" s="18" t="n">
        <f aca="false">MIN(INDEX($D$84:$D$85,MATCH($A127,$A$84:$A$85,0)),IF(F97&lt;&gt;"",F97,F126*(1+D97)*E97))</f>
        <v>46</v>
      </c>
      <c r="G127" s="18" t="n">
        <f aca="false">MIN(INDEX($D$84:$D$85,MATCH($A127,$A$84:$A$85,0)),IF(O97&lt;&gt;"",O97,G126*(1+M97)*N97))</f>
        <v>23</v>
      </c>
      <c r="H127" s="25" t="n">
        <f aca="false">D127*F127*E127</f>
        <v>0.0140093913317776</v>
      </c>
      <c r="I127" s="25" t="n">
        <f aca="false">D127*G127*E127</f>
        <v>0.00700469566588878</v>
      </c>
      <c r="J127" s="27" t="n">
        <f aca="false">INDEX($G$84:$G$85,MATCH($A127,$A$84:$A$85,0))*f_rep+INDEX($H$84:$H$85,MATCH($A127,$A$84:$A$85,0))*price_base*f_price</f>
        <v>2900000</v>
      </c>
      <c r="K127" s="27" t="n">
        <f aca="false">INDEX($I$84:$I$85,MATCH($A127,$A$84:$A$85,0))</f>
        <v>2000000</v>
      </c>
      <c r="L127" s="27" t="n">
        <f aca="false">INDEX($F$84:$F$85,MATCH($A127,$A$84:$A$85,0))*f_down*U127</f>
        <v>4800000</v>
      </c>
      <c r="M127" s="27" t="n">
        <f aca="false">INDEX($J$84:$J$85,MATCH($A127,$A$84:$A$85,0))</f>
        <v>500000</v>
      </c>
      <c r="N127" s="27" t="n">
        <f aca="false">INDEX($K$84:$K$85,MATCH($A127,$A$84:$A$85,0))</f>
        <v>800000</v>
      </c>
      <c r="O127" s="27" t="n">
        <f aca="false">SUM(J127:N127)</f>
        <v>11000000</v>
      </c>
      <c r="P127" s="27" t="n">
        <f aca="false">H127*O127</f>
        <v>154103.304649553</v>
      </c>
      <c r="Q127" s="27" t="n">
        <f aca="false">I127*O127</f>
        <v>77051.6523247766</v>
      </c>
      <c r="R127" s="27" t="n">
        <f aca="false">P127-Q127</f>
        <v>77051.6523247766</v>
      </c>
      <c r="S127" s="27" t="n">
        <f aca="false">R127*(O127-M127)/O127</f>
        <v>73549.3044918322</v>
      </c>
      <c r="T127" s="27" t="n">
        <f aca="false">R127-S127</f>
        <v>3502.34783294439</v>
      </c>
      <c r="U127" s="27" t="n">
        <f aca="false">INDEX($E$84:$E$85,MATCH($A127,$A$84:$A$85,0))*margin_base*f_margin</f>
        <v>320000</v>
      </c>
      <c r="V127" s="27" t="n">
        <f aca="false">H97/24*U127*f_down</f>
        <v>0</v>
      </c>
      <c r="W127" s="27" t="n">
        <f aca="false">Q97/24*U127*f_down</f>
        <v>0</v>
      </c>
      <c r="X127" s="27" t="n">
        <f aca="false">G97*f_insp</f>
        <v>0</v>
      </c>
      <c r="Y127" s="27" t="n">
        <f aca="false">P97*f_insp</f>
        <v>90000</v>
      </c>
      <c r="Z127" s="27" t="n">
        <f aca="false">I97*f_rep</f>
        <v>0</v>
      </c>
      <c r="AA127" s="27" t="n">
        <f aca="false">R97*f_rep</f>
        <v>0</v>
      </c>
      <c r="AB127" s="27" t="n">
        <f aca="false">J97*f_rep</f>
        <v>0</v>
      </c>
      <c r="AC127" s="27" t="n">
        <f aca="false">S97*f_rep</f>
        <v>0</v>
      </c>
      <c r="AD127" s="27" t="n">
        <f aca="false">K97</f>
        <v>0</v>
      </c>
      <c r="AE127" s="27" t="n">
        <f aca="false">T97</f>
        <v>15000</v>
      </c>
      <c r="AF127" s="27" t="n">
        <f aca="false">V127+X127+Z127+AB127+AD127</f>
        <v>0</v>
      </c>
      <c r="AG127" s="27" t="n">
        <f aca="false">W127+Y127+AA127+AC127+AE127</f>
        <v>105000</v>
      </c>
      <c r="AH127" s="10" t="n">
        <f aca="false">1+(F127&gt;th_p1)+(F127&gt;th_p2)+(F127&gt;th_p3)+(F127&gt;th_p4)</f>
        <v>4</v>
      </c>
      <c r="AI127" s="10" t="n">
        <f aca="false">1+(G127&gt;th_p1)+(G127&gt;th_p2)+(G127&gt;th_p3)+(G127&gt;th_p4)</f>
        <v>3</v>
      </c>
      <c r="AJ127" s="10" t="str">
        <f aca="false">CHOOSE(1+(O127&gt;th_a)+(O127&gt;th_b)+(O127&gt;th_c)+(O127&gt;th_d),"A","B","C","D","E")</f>
        <v>E</v>
      </c>
      <c r="AK127" s="10" t="str">
        <f aca="false">INDEX($B$155:$F$159,MATCH(AH127,$A$155:$A$159,0),MATCH($AJ127,$B$154:$F$154,0))</f>
        <v>A</v>
      </c>
      <c r="AL127" s="10" t="str">
        <f aca="false">INDEX($B$155:$F$159,MATCH(AI127,$A$155:$A$159,0),MATCH($AJ127,$B$154:$F$154,0))</f>
        <v>A</v>
      </c>
      <c r="AM127" s="10" t="str">
        <f aca="false">IF(MATCH(AK127,$I$155:$I$158,0)&lt;=MATCH(risk_target,$I$155:$I$158,0),"Cumple","EXCEDE")</f>
        <v>EXCEDE</v>
      </c>
      <c r="AN127" s="10" t="str">
        <f aca="false">IF(MATCH(AL127,$I$155:$I$158,0)&lt;=MATCH(risk_target,$I$155:$I$158,0),"Cumple","EXCEDE")</f>
        <v>EXCEDE</v>
      </c>
      <c r="AO127" s="10" t="s">
        <v>234</v>
      </c>
      <c r="AP127" s="10" t="str">
        <f aca="false">IF(R127&gt;=0,"riesgo evitado esperado (no caja) ","riesgo ADICIONAL aceptado (no caja) ")&amp;TEXT(R127,"#,##0")&amp;" $/a; flujo caja C0−C1: "&amp;TEXT(AF127-AG127,"#,##0")&amp;" $"</f>
        <v>riesgo evitado esperado (no caja) 77,052 $/a; flujo caja C0−C1: -105,000 $</v>
      </c>
      <c r="AQ127" s="10" t="s">
        <v>180</v>
      </c>
      <c r="AR127" s="10" t="str">
        <f aca="false">A127&amp;"|"&amp;B127</f>
        <v>U-200|2027</v>
      </c>
    </row>
    <row r="128" customFormat="false" ht="15" hidden="false" customHeight="false" outlineLevel="0" collapsed="false">
      <c r="A128" s="10" t="s">
        <v>148</v>
      </c>
      <c r="B128" s="22" t="n">
        <f aca="false">B98</f>
        <v>2028</v>
      </c>
      <c r="C128" s="10" t="n">
        <f aca="false">B128-base_year</f>
        <v>2</v>
      </c>
      <c r="D128" s="25" t="n">
        <f aca="false">INDEX($B$84:$B$85,MATCH($A128,$A$84:$A$85,0))</f>
        <v>0.000765</v>
      </c>
      <c r="E128" s="26" t="n">
        <f aca="false">fms</f>
        <v>0.398107170553497</v>
      </c>
      <c r="F128" s="18" t="n">
        <f aca="false">MIN(INDEX($D$84:$D$85,MATCH($A128,$A$84:$A$85,0)),IF(F98&lt;&gt;"",F98,F127*(1+D98)*E98))</f>
        <v>52.9</v>
      </c>
      <c r="G128" s="18" t="n">
        <f aca="false">MIN(INDEX($D$84:$D$85,MATCH($A128,$A$84:$A$85,0)),IF(O98&lt;&gt;"",O98,G127*(1+M98)*N98))</f>
        <v>26.45</v>
      </c>
      <c r="H128" s="25" t="n">
        <f aca="false">D128*F128*E128</f>
        <v>0.0161108000315442</v>
      </c>
      <c r="I128" s="25" t="n">
        <f aca="false">D128*G128*E128</f>
        <v>0.0080554000157721</v>
      </c>
      <c r="J128" s="27" t="n">
        <f aca="false">INDEX($G$84:$G$85,MATCH($A128,$A$84:$A$85,0))*f_rep+INDEX($H$84:$H$85,MATCH($A128,$A$84:$A$85,0))*price_base*f_price</f>
        <v>2900000</v>
      </c>
      <c r="K128" s="27" t="n">
        <f aca="false">INDEX($I$84:$I$85,MATCH($A128,$A$84:$A$85,0))</f>
        <v>2000000</v>
      </c>
      <c r="L128" s="27" t="n">
        <f aca="false">INDEX($F$84:$F$85,MATCH($A128,$A$84:$A$85,0))*f_down*U128</f>
        <v>4800000</v>
      </c>
      <c r="M128" s="27" t="n">
        <f aca="false">INDEX($J$84:$J$85,MATCH($A128,$A$84:$A$85,0))</f>
        <v>500000</v>
      </c>
      <c r="N128" s="27" t="n">
        <f aca="false">INDEX($K$84:$K$85,MATCH($A128,$A$84:$A$85,0))</f>
        <v>800000</v>
      </c>
      <c r="O128" s="27" t="n">
        <f aca="false">SUM(J128:N128)</f>
        <v>11000000</v>
      </c>
      <c r="P128" s="27" t="n">
        <f aca="false">H128*O128</f>
        <v>177218.800346986</v>
      </c>
      <c r="Q128" s="27" t="n">
        <f aca="false">I128*O128</f>
        <v>88609.4001734931</v>
      </c>
      <c r="R128" s="27" t="n">
        <f aca="false">P128-Q128</f>
        <v>88609.4001734931</v>
      </c>
      <c r="S128" s="27" t="n">
        <f aca="false">R128*(O128-M128)/O128</f>
        <v>84581.7001656071</v>
      </c>
      <c r="T128" s="27" t="n">
        <f aca="false">R128-S128</f>
        <v>4027.70000788604</v>
      </c>
      <c r="U128" s="27" t="n">
        <f aca="false">INDEX($E$84:$E$85,MATCH($A128,$A$84:$A$85,0))*margin_base*f_margin</f>
        <v>320000</v>
      </c>
      <c r="V128" s="27" t="n">
        <f aca="false">H98/24*U128*f_down</f>
        <v>0</v>
      </c>
      <c r="W128" s="27" t="n">
        <f aca="false">Q98/24*U128*f_down</f>
        <v>0</v>
      </c>
      <c r="X128" s="27" t="n">
        <f aca="false">G98*f_insp</f>
        <v>0</v>
      </c>
      <c r="Y128" s="27" t="n">
        <f aca="false">P98*f_insp</f>
        <v>0</v>
      </c>
      <c r="Z128" s="27" t="n">
        <f aca="false">I98*f_rep</f>
        <v>0</v>
      </c>
      <c r="AA128" s="27" t="n">
        <f aca="false">R98*f_rep</f>
        <v>0</v>
      </c>
      <c r="AB128" s="27" t="n">
        <f aca="false">J98*f_rep</f>
        <v>0</v>
      </c>
      <c r="AC128" s="27" t="n">
        <f aca="false">S98*f_rep</f>
        <v>0</v>
      </c>
      <c r="AD128" s="27" t="n">
        <f aca="false">K98</f>
        <v>0</v>
      </c>
      <c r="AE128" s="27" t="n">
        <f aca="false">T98</f>
        <v>15000</v>
      </c>
      <c r="AF128" s="27" t="n">
        <f aca="false">V128+X128+Z128+AB128+AD128</f>
        <v>0</v>
      </c>
      <c r="AG128" s="27" t="n">
        <f aca="false">W128+Y128+AA128+AC128+AE128</f>
        <v>15000</v>
      </c>
      <c r="AH128" s="10" t="n">
        <f aca="false">1+(F128&gt;th_p1)+(F128&gt;th_p2)+(F128&gt;th_p3)+(F128&gt;th_p4)</f>
        <v>4</v>
      </c>
      <c r="AI128" s="10" t="n">
        <f aca="false">1+(G128&gt;th_p1)+(G128&gt;th_p2)+(G128&gt;th_p3)+(G128&gt;th_p4)</f>
        <v>3</v>
      </c>
      <c r="AJ128" s="10" t="str">
        <f aca="false">CHOOSE(1+(O128&gt;th_a)+(O128&gt;th_b)+(O128&gt;th_c)+(O128&gt;th_d),"A","B","C","D","E")</f>
        <v>E</v>
      </c>
      <c r="AK128" s="10" t="str">
        <f aca="false">INDEX($B$155:$F$159,MATCH(AH128,$A$155:$A$159,0),MATCH($AJ128,$B$154:$F$154,0))</f>
        <v>A</v>
      </c>
      <c r="AL128" s="10" t="str">
        <f aca="false">INDEX($B$155:$F$159,MATCH(AI128,$A$155:$A$159,0),MATCH($AJ128,$B$154:$F$154,0))</f>
        <v>A</v>
      </c>
      <c r="AM128" s="10" t="str">
        <f aca="false">IF(MATCH(AK128,$I$155:$I$158,0)&lt;=MATCH(risk_target,$I$155:$I$158,0),"Cumple","EXCEDE")</f>
        <v>EXCEDE</v>
      </c>
      <c r="AN128" s="10" t="str">
        <f aca="false">IF(MATCH(AL128,$I$155:$I$158,0)&lt;=MATCH(risk_target,$I$155:$I$158,0),"Cumple","EXCEDE")</f>
        <v>EXCEDE</v>
      </c>
      <c r="AO128" s="10" t="s">
        <v>234</v>
      </c>
      <c r="AP128" s="10" t="str">
        <f aca="false">IF(R128&gt;=0,"riesgo evitado esperado (no caja) ","riesgo ADICIONAL aceptado (no caja) ")&amp;TEXT(R128,"#,##0")&amp;" $/a; flujo caja C0−C1: "&amp;TEXT(AF128-AG128,"#,##0")&amp;" $"</f>
        <v>riesgo evitado esperado (no caja) 88,609 $/a; flujo caja C0−C1: -15,000 $</v>
      </c>
      <c r="AQ128" s="10" t="s">
        <v>180</v>
      </c>
      <c r="AR128" s="10" t="str">
        <f aca="false">A128&amp;"|"&amp;B128</f>
        <v>U-200|2028</v>
      </c>
    </row>
    <row r="129" customFormat="false" ht="15" hidden="false" customHeight="false" outlineLevel="0" collapsed="false">
      <c r="A129" s="10" t="s">
        <v>148</v>
      </c>
      <c r="B129" s="22" t="n">
        <f aca="false">B99</f>
        <v>2029</v>
      </c>
      <c r="C129" s="10" t="n">
        <f aca="false">B129-base_year</f>
        <v>3</v>
      </c>
      <c r="D129" s="25" t="n">
        <f aca="false">INDEX($B$84:$B$85,MATCH($A129,$A$84:$A$85,0))</f>
        <v>0.000765</v>
      </c>
      <c r="E129" s="26" t="n">
        <f aca="false">fms</f>
        <v>0.398107170553497</v>
      </c>
      <c r="F129" s="18" t="n">
        <f aca="false">MIN(INDEX($D$84:$D$85,MATCH($A129,$A$84:$A$85,0)),IF(F99&lt;&gt;"",F99,F128*(1+D99)*E99))</f>
        <v>36.501</v>
      </c>
      <c r="G129" s="18" t="n">
        <f aca="false">MIN(INDEX($D$84:$D$85,MATCH($A129,$A$84:$A$85,0)),IF(O99&lt;&gt;"",O99,G128*(1+M99)*N99))</f>
        <v>30.4175</v>
      </c>
      <c r="H129" s="25" t="n">
        <f aca="false">D129*F129*E129</f>
        <v>0.0111164520217655</v>
      </c>
      <c r="I129" s="25" t="n">
        <f aca="false">D129*G129*E129</f>
        <v>0.00926371001813791</v>
      </c>
      <c r="J129" s="27" t="n">
        <f aca="false">INDEX($G$84:$G$85,MATCH($A129,$A$84:$A$85,0))*f_rep+INDEX($H$84:$H$85,MATCH($A129,$A$84:$A$85,0))*price_base*f_price</f>
        <v>2900000</v>
      </c>
      <c r="K129" s="27" t="n">
        <f aca="false">INDEX($I$84:$I$85,MATCH($A129,$A$84:$A$85,0))</f>
        <v>2000000</v>
      </c>
      <c r="L129" s="27" t="n">
        <f aca="false">INDEX($F$84:$F$85,MATCH($A129,$A$84:$A$85,0))*f_down*U129</f>
        <v>4800000</v>
      </c>
      <c r="M129" s="27" t="n">
        <f aca="false">INDEX($J$84:$J$85,MATCH($A129,$A$84:$A$85,0))</f>
        <v>500000</v>
      </c>
      <c r="N129" s="27" t="n">
        <f aca="false">INDEX($K$84:$K$85,MATCH($A129,$A$84:$A$85,0))</f>
        <v>800000</v>
      </c>
      <c r="O129" s="27" t="n">
        <f aca="false">SUM(J129:N129)</f>
        <v>11000000</v>
      </c>
      <c r="P129" s="27" t="n">
        <f aca="false">H129*O129</f>
        <v>122280.97223942</v>
      </c>
      <c r="Q129" s="27" t="n">
        <f aca="false">I129*O129</f>
        <v>101900.810199517</v>
      </c>
      <c r="R129" s="27" t="n">
        <f aca="false">P129-Q129</f>
        <v>20380.1620399034</v>
      </c>
      <c r="S129" s="27" t="n">
        <f aca="false">R129*(O129-M129)/O129</f>
        <v>19453.7910380896</v>
      </c>
      <c r="T129" s="27" t="n">
        <f aca="false">R129-S129</f>
        <v>926.371001813794</v>
      </c>
      <c r="U129" s="27" t="n">
        <f aca="false">INDEX($E$84:$E$85,MATCH($A129,$A$84:$A$85,0))*margin_base*f_margin</f>
        <v>320000</v>
      </c>
      <c r="V129" s="27" t="n">
        <f aca="false">H99/24*U129*f_down</f>
        <v>1600000</v>
      </c>
      <c r="W129" s="27" t="n">
        <f aca="false">Q99/24*U129*f_down</f>
        <v>0</v>
      </c>
      <c r="X129" s="27" t="n">
        <f aca="false">G99*f_insp</f>
        <v>175000</v>
      </c>
      <c r="Y129" s="27" t="n">
        <f aca="false">P99*f_insp</f>
        <v>0</v>
      </c>
      <c r="Z129" s="27" t="n">
        <f aca="false">I99*f_rep</f>
        <v>0</v>
      </c>
      <c r="AA129" s="27" t="n">
        <f aca="false">R99*f_rep</f>
        <v>0</v>
      </c>
      <c r="AB129" s="27" t="n">
        <f aca="false">J99*f_rep</f>
        <v>0</v>
      </c>
      <c r="AC129" s="27" t="n">
        <f aca="false">S99*f_rep</f>
        <v>0</v>
      </c>
      <c r="AD129" s="27" t="n">
        <f aca="false">K99</f>
        <v>0</v>
      </c>
      <c r="AE129" s="27" t="n">
        <f aca="false">T99</f>
        <v>15000</v>
      </c>
      <c r="AF129" s="27" t="n">
        <f aca="false">V129+X129+Z129+AB129+AD129</f>
        <v>1775000</v>
      </c>
      <c r="AG129" s="27" t="n">
        <f aca="false">W129+Y129+AA129+AC129+AE129</f>
        <v>15000</v>
      </c>
      <c r="AH129" s="10" t="n">
        <f aca="false">1+(F129&gt;th_p1)+(F129&gt;th_p2)+(F129&gt;th_p3)+(F129&gt;th_p4)</f>
        <v>4</v>
      </c>
      <c r="AI129" s="10" t="n">
        <f aca="false">1+(G129&gt;th_p1)+(G129&gt;th_p2)+(G129&gt;th_p3)+(G129&gt;th_p4)</f>
        <v>4</v>
      </c>
      <c r="AJ129" s="10" t="str">
        <f aca="false">CHOOSE(1+(O129&gt;th_a)+(O129&gt;th_b)+(O129&gt;th_c)+(O129&gt;th_d),"A","B","C","D","E")</f>
        <v>E</v>
      </c>
      <c r="AK129" s="10" t="str">
        <f aca="false">INDEX($B$155:$F$159,MATCH(AH129,$A$155:$A$159,0),MATCH($AJ129,$B$154:$F$154,0))</f>
        <v>A</v>
      </c>
      <c r="AL129" s="10" t="str">
        <f aca="false">INDEX($B$155:$F$159,MATCH(AI129,$A$155:$A$159,0),MATCH($AJ129,$B$154:$F$154,0))</f>
        <v>A</v>
      </c>
      <c r="AM129" s="10" t="str">
        <f aca="false">IF(MATCH(AK129,$I$155:$I$158,0)&lt;=MATCH(risk_target,$I$155:$I$158,0),"Cumple","EXCEDE")</f>
        <v>EXCEDE</v>
      </c>
      <c r="AN129" s="10" t="str">
        <f aca="false">IF(MATCH(AL129,$I$155:$I$158,0)&lt;=MATCH(risk_target,$I$155:$I$158,0),"Cumple","EXCEDE")</f>
        <v>EXCEDE</v>
      </c>
      <c r="AO129" s="10" t="s">
        <v>234</v>
      </c>
      <c r="AP129" s="10" t="str">
        <f aca="false">IF(R129&gt;=0,"riesgo evitado esperado (no caja) ","riesgo ADICIONAL aceptado (no caja) ")&amp;TEXT(R129,"#,##0")&amp;" $/a; flujo caja C0−C1: "&amp;TEXT(AF129-AG129,"#,##0")&amp;" $"</f>
        <v>riesgo evitado esperado (no caja) 20,380 $/a; flujo caja C0−C1: 1,760,000 $</v>
      </c>
      <c r="AQ129" s="10" t="s">
        <v>180</v>
      </c>
      <c r="AR129" s="10" t="str">
        <f aca="false">A129&amp;"|"&amp;B129</f>
        <v>U-200|2029</v>
      </c>
    </row>
    <row r="130" customFormat="false" ht="15" hidden="false" customHeight="false" outlineLevel="0" collapsed="false">
      <c r="A130" s="10" t="s">
        <v>148</v>
      </c>
      <c r="B130" s="22" t="n">
        <f aca="false">B100</f>
        <v>2030</v>
      </c>
      <c r="C130" s="10" t="n">
        <f aca="false">B130-base_year</f>
        <v>4</v>
      </c>
      <c r="D130" s="25" t="n">
        <f aca="false">INDEX($B$84:$B$85,MATCH($A130,$A$84:$A$85,0))</f>
        <v>0.000765</v>
      </c>
      <c r="E130" s="26" t="n">
        <f aca="false">fms</f>
        <v>0.398107170553497</v>
      </c>
      <c r="F130" s="18" t="n">
        <f aca="false">MIN(INDEX($D$84:$D$85,MATCH($A130,$A$84:$A$85,0)),IF(F100&lt;&gt;"",F100,F129*(1+D100)*E100))</f>
        <v>41.97615</v>
      </c>
      <c r="G130" s="18" t="n">
        <f aca="false">MIN(INDEX($D$84:$D$85,MATCH($A130,$A$84:$A$85,0)),IF(O100&lt;&gt;"",O100,G129*(1+M100)*N100))</f>
        <v>25</v>
      </c>
      <c r="H130" s="25" t="n">
        <f aca="false">D130*F130*E130</f>
        <v>0.0127839198250303</v>
      </c>
      <c r="I130" s="25" t="n">
        <f aca="false">D130*G130*E130</f>
        <v>0.00761379963683563</v>
      </c>
      <c r="J130" s="27" t="n">
        <f aca="false">INDEX($G$84:$G$85,MATCH($A130,$A$84:$A$85,0))*f_rep+INDEX($H$84:$H$85,MATCH($A130,$A$84:$A$85,0))*price_base*f_price</f>
        <v>2900000</v>
      </c>
      <c r="K130" s="27" t="n">
        <f aca="false">INDEX($I$84:$I$85,MATCH($A130,$A$84:$A$85,0))</f>
        <v>2000000</v>
      </c>
      <c r="L130" s="27" t="n">
        <f aca="false">INDEX($F$84:$F$85,MATCH($A130,$A$84:$A$85,0))*f_down*U130</f>
        <v>4800000</v>
      </c>
      <c r="M130" s="27" t="n">
        <f aca="false">INDEX($J$84:$J$85,MATCH($A130,$A$84:$A$85,0))</f>
        <v>500000</v>
      </c>
      <c r="N130" s="27" t="n">
        <f aca="false">INDEX($K$84:$K$85,MATCH($A130,$A$84:$A$85,0))</f>
        <v>800000</v>
      </c>
      <c r="O130" s="27" t="n">
        <f aca="false">SUM(J130:N130)</f>
        <v>11000000</v>
      </c>
      <c r="P130" s="27" t="n">
        <f aca="false">H130*O130</f>
        <v>140623.118075334</v>
      </c>
      <c r="Q130" s="27" t="n">
        <f aca="false">I130*O130</f>
        <v>83751.796005192</v>
      </c>
      <c r="R130" s="27" t="n">
        <f aca="false">P130-Q130</f>
        <v>56871.3220701415</v>
      </c>
      <c r="S130" s="27" t="n">
        <f aca="false">R130*(O130-M130)/O130</f>
        <v>54286.2619760442</v>
      </c>
      <c r="T130" s="27" t="n">
        <f aca="false">R130-S130</f>
        <v>2585.06009409734</v>
      </c>
      <c r="U130" s="27" t="n">
        <f aca="false">INDEX($E$84:$E$85,MATCH($A130,$A$84:$A$85,0))*margin_base*f_margin</f>
        <v>320000</v>
      </c>
      <c r="V130" s="27" t="n">
        <f aca="false">H100/24*U130*f_down</f>
        <v>0</v>
      </c>
      <c r="W130" s="27" t="n">
        <f aca="false">Q100/24*U130*f_down</f>
        <v>640000</v>
      </c>
      <c r="X130" s="27" t="n">
        <f aca="false">G100*f_insp</f>
        <v>0</v>
      </c>
      <c r="Y130" s="27" t="n">
        <f aca="false">P100*f_insp</f>
        <v>0</v>
      </c>
      <c r="Z130" s="27" t="n">
        <f aca="false">I100*f_rep</f>
        <v>0</v>
      </c>
      <c r="AA130" s="27" t="n">
        <f aca="false">R100*f_rep</f>
        <v>0</v>
      </c>
      <c r="AB130" s="27" t="n">
        <f aca="false">J100*f_rep</f>
        <v>0</v>
      </c>
      <c r="AC130" s="27" t="n">
        <f aca="false">S100*f_rep</f>
        <v>250000</v>
      </c>
      <c r="AD130" s="27" t="n">
        <f aca="false">K100</f>
        <v>0</v>
      </c>
      <c r="AE130" s="27" t="n">
        <f aca="false">T100</f>
        <v>15000</v>
      </c>
      <c r="AF130" s="27" t="n">
        <f aca="false">V130+X130+Z130+AB130+AD130</f>
        <v>0</v>
      </c>
      <c r="AG130" s="27" t="n">
        <f aca="false">W130+Y130+AA130+AC130+AE130</f>
        <v>905000</v>
      </c>
      <c r="AH130" s="10" t="n">
        <f aca="false">1+(F130&gt;th_p1)+(F130&gt;th_p2)+(F130&gt;th_p3)+(F130&gt;th_p4)</f>
        <v>4</v>
      </c>
      <c r="AI130" s="10" t="n">
        <f aca="false">1+(G130&gt;th_p1)+(G130&gt;th_p2)+(G130&gt;th_p3)+(G130&gt;th_p4)</f>
        <v>3</v>
      </c>
      <c r="AJ130" s="10" t="str">
        <f aca="false">CHOOSE(1+(O130&gt;th_a)+(O130&gt;th_b)+(O130&gt;th_c)+(O130&gt;th_d),"A","B","C","D","E")</f>
        <v>E</v>
      </c>
      <c r="AK130" s="10" t="str">
        <f aca="false">INDEX($B$155:$F$159,MATCH(AH130,$A$155:$A$159,0),MATCH($AJ130,$B$154:$F$154,0))</f>
        <v>A</v>
      </c>
      <c r="AL130" s="10" t="str">
        <f aca="false">INDEX($B$155:$F$159,MATCH(AI130,$A$155:$A$159,0),MATCH($AJ130,$B$154:$F$154,0))</f>
        <v>A</v>
      </c>
      <c r="AM130" s="10" t="str">
        <f aca="false">IF(MATCH(AK130,$I$155:$I$158,0)&lt;=MATCH(risk_target,$I$155:$I$158,0),"Cumple","EXCEDE")</f>
        <v>EXCEDE</v>
      </c>
      <c r="AN130" s="10" t="str">
        <f aca="false">IF(MATCH(AL130,$I$155:$I$158,0)&lt;=MATCH(risk_target,$I$155:$I$158,0),"Cumple","EXCEDE")</f>
        <v>EXCEDE</v>
      </c>
      <c r="AO130" s="10" t="s">
        <v>234</v>
      </c>
      <c r="AP130" s="10" t="str">
        <f aca="false">IF(R130&gt;=0,"riesgo evitado esperado (no caja) ","riesgo ADICIONAL aceptado (no caja) ")&amp;TEXT(R130,"#,##0")&amp;" $/a; flujo caja C0−C1: "&amp;TEXT(AF130-AG130,"#,##0")&amp;" $"</f>
        <v>riesgo evitado esperado (no caja) 56,871 $/a; flujo caja C0−C1: -905,000 $</v>
      </c>
      <c r="AQ130" s="10" t="s">
        <v>180</v>
      </c>
      <c r="AR130" s="10" t="str">
        <f aca="false">A130&amp;"|"&amp;B130</f>
        <v>U-200|2030</v>
      </c>
    </row>
    <row r="131" customFormat="false" ht="15" hidden="false" customHeight="false" outlineLevel="0" collapsed="false">
      <c r="A131" s="10" t="s">
        <v>148</v>
      </c>
      <c r="B131" s="22" t="n">
        <f aca="false">B101</f>
        <v>2031</v>
      </c>
      <c r="C131" s="10" t="n">
        <f aca="false">B131-base_year</f>
        <v>5</v>
      </c>
      <c r="D131" s="25" t="n">
        <f aca="false">INDEX($B$84:$B$85,MATCH($A131,$A$84:$A$85,0))</f>
        <v>0.000765</v>
      </c>
      <c r="E131" s="26" t="n">
        <f aca="false">fms</f>
        <v>0.398107170553497</v>
      </c>
      <c r="F131" s="18" t="n">
        <f aca="false">MIN(INDEX($D$84:$D$85,MATCH($A131,$A$84:$A$85,0)),IF(F101&lt;&gt;"",F101,F130*(1+D101)*E101))</f>
        <v>48.2725725</v>
      </c>
      <c r="G131" s="18" t="n">
        <f aca="false">MIN(INDEX($D$84:$D$85,MATCH($A131,$A$84:$A$85,0)),IF(O101&lt;&gt;"",O101,G130*(1+M101)*N101))</f>
        <v>16.2</v>
      </c>
      <c r="H131" s="25" t="n">
        <f aca="false">D131*F131*E131</f>
        <v>0.0147015077987849</v>
      </c>
      <c r="I131" s="25" t="n">
        <f aca="false">D131*G131*E131</f>
        <v>0.00493374216466949</v>
      </c>
      <c r="J131" s="27" t="n">
        <f aca="false">INDEX($G$84:$G$85,MATCH($A131,$A$84:$A$85,0))*f_rep+INDEX($H$84:$H$85,MATCH($A131,$A$84:$A$85,0))*price_base*f_price</f>
        <v>2900000</v>
      </c>
      <c r="K131" s="27" t="n">
        <f aca="false">INDEX($I$84:$I$85,MATCH($A131,$A$84:$A$85,0))</f>
        <v>2000000</v>
      </c>
      <c r="L131" s="27" t="n">
        <f aca="false">INDEX($F$84:$F$85,MATCH($A131,$A$84:$A$85,0))*f_down*U131</f>
        <v>4800000</v>
      </c>
      <c r="M131" s="27" t="n">
        <f aca="false">INDEX($J$84:$J$85,MATCH($A131,$A$84:$A$85,0))</f>
        <v>500000</v>
      </c>
      <c r="N131" s="27" t="n">
        <f aca="false">INDEX($K$84:$K$85,MATCH($A131,$A$84:$A$85,0))</f>
        <v>800000</v>
      </c>
      <c r="O131" s="27" t="n">
        <f aca="false">SUM(J131:N131)</f>
        <v>11000000</v>
      </c>
      <c r="P131" s="27" t="n">
        <f aca="false">H131*O131</f>
        <v>161716.585786634</v>
      </c>
      <c r="Q131" s="27" t="n">
        <f aca="false">I131*O131</f>
        <v>54271.1638113644</v>
      </c>
      <c r="R131" s="27" t="n">
        <f aca="false">P131-Q131</f>
        <v>107445.421975269</v>
      </c>
      <c r="S131" s="27" t="n">
        <f aca="false">R131*(O131-M131)/O131</f>
        <v>102561.539158212</v>
      </c>
      <c r="T131" s="27" t="n">
        <f aca="false">R131-S131</f>
        <v>4883.88281705769</v>
      </c>
      <c r="U131" s="27" t="n">
        <f aca="false">INDEX($E$84:$E$85,MATCH($A131,$A$84:$A$85,0))*margin_base*f_margin</f>
        <v>320000</v>
      </c>
      <c r="V131" s="27" t="n">
        <f aca="false">H101/24*U131*f_down</f>
        <v>0</v>
      </c>
      <c r="W131" s="27" t="n">
        <f aca="false">Q101/24*U131*f_down</f>
        <v>0</v>
      </c>
      <c r="X131" s="27" t="n">
        <f aca="false">G101*f_insp</f>
        <v>0</v>
      </c>
      <c r="Y131" s="27" t="n">
        <f aca="false">P101*f_insp</f>
        <v>90000</v>
      </c>
      <c r="Z131" s="27" t="n">
        <f aca="false">I101*f_rep</f>
        <v>0</v>
      </c>
      <c r="AA131" s="27" t="n">
        <f aca="false">R101*f_rep</f>
        <v>0</v>
      </c>
      <c r="AB131" s="27" t="n">
        <f aca="false">J101*f_rep</f>
        <v>0</v>
      </c>
      <c r="AC131" s="27" t="n">
        <f aca="false">S101*f_rep</f>
        <v>0</v>
      </c>
      <c r="AD131" s="27" t="n">
        <f aca="false">K101</f>
        <v>0</v>
      </c>
      <c r="AE131" s="27" t="n">
        <f aca="false">T101</f>
        <v>15000</v>
      </c>
      <c r="AF131" s="27" t="n">
        <f aca="false">V131+X131+Z131+AB131+AD131</f>
        <v>0</v>
      </c>
      <c r="AG131" s="27" t="n">
        <f aca="false">W131+Y131+AA131+AC131+AE131</f>
        <v>105000</v>
      </c>
      <c r="AH131" s="10" t="n">
        <f aca="false">1+(F131&gt;th_p1)+(F131&gt;th_p2)+(F131&gt;th_p3)+(F131&gt;th_p4)</f>
        <v>4</v>
      </c>
      <c r="AI131" s="10" t="n">
        <f aca="false">1+(G131&gt;th_p1)+(G131&gt;th_p2)+(G131&gt;th_p3)+(G131&gt;th_p4)</f>
        <v>3</v>
      </c>
      <c r="AJ131" s="10" t="str">
        <f aca="false">CHOOSE(1+(O131&gt;th_a)+(O131&gt;th_b)+(O131&gt;th_c)+(O131&gt;th_d),"A","B","C","D","E")</f>
        <v>E</v>
      </c>
      <c r="AK131" s="10" t="str">
        <f aca="false">INDEX($B$155:$F$159,MATCH(AH131,$A$155:$A$159,0),MATCH($AJ131,$B$154:$F$154,0))</f>
        <v>A</v>
      </c>
      <c r="AL131" s="10" t="str">
        <f aca="false">INDEX($B$155:$F$159,MATCH(AI131,$A$155:$A$159,0),MATCH($AJ131,$B$154:$F$154,0))</f>
        <v>A</v>
      </c>
      <c r="AM131" s="10" t="str">
        <f aca="false">IF(MATCH(AK131,$I$155:$I$158,0)&lt;=MATCH(risk_target,$I$155:$I$158,0),"Cumple","EXCEDE")</f>
        <v>EXCEDE</v>
      </c>
      <c r="AN131" s="10" t="str">
        <f aca="false">IF(MATCH(AL131,$I$155:$I$158,0)&lt;=MATCH(risk_target,$I$155:$I$158,0),"Cumple","EXCEDE")</f>
        <v>EXCEDE</v>
      </c>
      <c r="AO131" s="10" t="s">
        <v>234</v>
      </c>
      <c r="AP131" s="10" t="str">
        <f aca="false">IF(R131&gt;=0,"riesgo evitado esperado (no caja) ","riesgo ADICIONAL aceptado (no caja) ")&amp;TEXT(R131,"#,##0")&amp;" $/a; flujo caja C0−C1: "&amp;TEXT(AF131-AG131,"#,##0")&amp;" $"</f>
        <v>riesgo evitado esperado (no caja) 107,445 $/a; flujo caja C0−C1: -105,000 $</v>
      </c>
      <c r="AQ131" s="10" t="s">
        <v>180</v>
      </c>
      <c r="AR131" s="10" t="str">
        <f aca="false">A131&amp;"|"&amp;B131</f>
        <v>U-200|2031</v>
      </c>
    </row>
    <row r="132" customFormat="false" ht="15" hidden="false" customHeight="false" outlineLevel="0" collapsed="false">
      <c r="A132" s="10" t="s">
        <v>148</v>
      </c>
      <c r="B132" s="22" t="n">
        <f aca="false">B102</f>
        <v>2032</v>
      </c>
      <c r="C132" s="10" t="n">
        <f aca="false">B132-base_year</f>
        <v>6</v>
      </c>
      <c r="D132" s="25" t="n">
        <f aca="false">INDEX($B$84:$B$85,MATCH($A132,$A$84:$A$85,0))</f>
        <v>0.000765</v>
      </c>
      <c r="E132" s="26" t="n">
        <f aca="false">fms</f>
        <v>0.398107170553497</v>
      </c>
      <c r="F132" s="18" t="n">
        <f aca="false">MIN(INDEX($D$84:$D$85,MATCH($A132,$A$84:$A$85,0)),IF(F102&lt;&gt;"",F102,F131*(1+D102)*E102))</f>
        <v>55.513458375</v>
      </c>
      <c r="G132" s="18" t="n">
        <f aca="false">MIN(INDEX($D$84:$D$85,MATCH($A132,$A$84:$A$85,0)),IF(O102&lt;&gt;"",O102,G131*(1+M102)*N102))</f>
        <v>17.496</v>
      </c>
      <c r="H132" s="25" t="n">
        <f aca="false">D132*F132*E132</f>
        <v>0.0169067339686026</v>
      </c>
      <c r="I132" s="25" t="n">
        <f aca="false">D132*G132*E132</f>
        <v>0.00532844153784305</v>
      </c>
      <c r="J132" s="27" t="n">
        <f aca="false">INDEX($G$84:$G$85,MATCH($A132,$A$84:$A$85,0))*f_rep+INDEX($H$84:$H$85,MATCH($A132,$A$84:$A$85,0))*price_base*f_price</f>
        <v>2900000</v>
      </c>
      <c r="K132" s="27" t="n">
        <f aca="false">INDEX($I$84:$I$85,MATCH($A132,$A$84:$A$85,0))</f>
        <v>2000000</v>
      </c>
      <c r="L132" s="27" t="n">
        <f aca="false">INDEX($F$84:$F$85,MATCH($A132,$A$84:$A$85,0))*f_down*U132</f>
        <v>4800000</v>
      </c>
      <c r="M132" s="27" t="n">
        <f aca="false">INDEX($J$84:$J$85,MATCH($A132,$A$84:$A$85,0))</f>
        <v>500000</v>
      </c>
      <c r="N132" s="27" t="n">
        <f aca="false">INDEX($K$84:$K$85,MATCH($A132,$A$84:$A$85,0))</f>
        <v>800000</v>
      </c>
      <c r="O132" s="27" t="n">
        <f aca="false">SUM(J132:N132)</f>
        <v>11000000</v>
      </c>
      <c r="P132" s="27" t="n">
        <f aca="false">H132*O132</f>
        <v>185974.073654629</v>
      </c>
      <c r="Q132" s="27" t="n">
        <f aca="false">I132*O132</f>
        <v>58612.8569162735</v>
      </c>
      <c r="R132" s="27" t="n">
        <f aca="false">P132-Q132</f>
        <v>127361.216738355</v>
      </c>
      <c r="S132" s="27" t="n">
        <f aca="false">R132*(O132-M132)/O132</f>
        <v>121572.070522975</v>
      </c>
      <c r="T132" s="27" t="n">
        <f aca="false">R132-S132</f>
        <v>5789.14621537978</v>
      </c>
      <c r="U132" s="27" t="n">
        <f aca="false">INDEX($E$84:$E$85,MATCH($A132,$A$84:$A$85,0))*margin_base*f_margin</f>
        <v>320000</v>
      </c>
      <c r="V132" s="27" t="n">
        <f aca="false">H102/24*U132*f_down</f>
        <v>0</v>
      </c>
      <c r="W132" s="27" t="n">
        <f aca="false">Q102/24*U132*f_down</f>
        <v>0</v>
      </c>
      <c r="X132" s="27" t="n">
        <f aca="false">G102*f_insp</f>
        <v>25000</v>
      </c>
      <c r="Y132" s="27" t="n">
        <f aca="false">P102*f_insp</f>
        <v>0</v>
      </c>
      <c r="Z132" s="27" t="n">
        <f aca="false">I102*f_rep</f>
        <v>0</v>
      </c>
      <c r="AA132" s="27" t="n">
        <f aca="false">R102*f_rep</f>
        <v>0</v>
      </c>
      <c r="AB132" s="27" t="n">
        <f aca="false">J102*f_rep</f>
        <v>0</v>
      </c>
      <c r="AC132" s="27" t="n">
        <f aca="false">S102*f_rep</f>
        <v>0</v>
      </c>
      <c r="AD132" s="27" t="n">
        <f aca="false">K102</f>
        <v>0</v>
      </c>
      <c r="AE132" s="27" t="n">
        <f aca="false">T102</f>
        <v>15000</v>
      </c>
      <c r="AF132" s="27" t="n">
        <f aca="false">V132+X132+Z132+AB132+AD132</f>
        <v>25000</v>
      </c>
      <c r="AG132" s="27" t="n">
        <f aca="false">W132+Y132+AA132+AC132+AE132</f>
        <v>15000</v>
      </c>
      <c r="AH132" s="10" t="n">
        <f aca="false">1+(F132&gt;th_p1)+(F132&gt;th_p2)+(F132&gt;th_p3)+(F132&gt;th_p4)</f>
        <v>4</v>
      </c>
      <c r="AI132" s="10" t="n">
        <f aca="false">1+(G132&gt;th_p1)+(G132&gt;th_p2)+(G132&gt;th_p3)+(G132&gt;th_p4)</f>
        <v>3</v>
      </c>
      <c r="AJ132" s="10" t="str">
        <f aca="false">CHOOSE(1+(O132&gt;th_a)+(O132&gt;th_b)+(O132&gt;th_c)+(O132&gt;th_d),"A","B","C","D","E")</f>
        <v>E</v>
      </c>
      <c r="AK132" s="10" t="str">
        <f aca="false">INDEX($B$155:$F$159,MATCH(AH132,$A$155:$A$159,0),MATCH($AJ132,$B$154:$F$154,0))</f>
        <v>A</v>
      </c>
      <c r="AL132" s="10" t="str">
        <f aca="false">INDEX($B$155:$F$159,MATCH(AI132,$A$155:$A$159,0),MATCH($AJ132,$B$154:$F$154,0))</f>
        <v>A</v>
      </c>
      <c r="AM132" s="10" t="str">
        <f aca="false">IF(MATCH(AK132,$I$155:$I$158,0)&lt;=MATCH(risk_target,$I$155:$I$158,0),"Cumple","EXCEDE")</f>
        <v>EXCEDE</v>
      </c>
      <c r="AN132" s="10" t="str">
        <f aca="false">IF(MATCH(AL132,$I$155:$I$158,0)&lt;=MATCH(risk_target,$I$155:$I$158,0),"Cumple","EXCEDE")</f>
        <v>EXCEDE</v>
      </c>
      <c r="AO132" s="10" t="s">
        <v>234</v>
      </c>
      <c r="AP132" s="10" t="str">
        <f aca="false">IF(R132&gt;=0,"riesgo evitado esperado (no caja) ","riesgo ADICIONAL aceptado (no caja) ")&amp;TEXT(R132,"#,##0")&amp;" $/a; flujo caja C0−C1: "&amp;TEXT(AF132-AG132,"#,##0")&amp;" $"</f>
        <v>riesgo evitado esperado (no caja) 127,361 $/a; flujo caja C0−C1: 10,000 $</v>
      </c>
      <c r="AQ132" s="10" t="s">
        <v>180</v>
      </c>
      <c r="AR132" s="10" t="str">
        <f aca="false">A132&amp;"|"&amp;B132</f>
        <v>U-200|2032</v>
      </c>
    </row>
    <row r="133" customFormat="false" ht="15" hidden="false" customHeight="false" outlineLevel="0" collapsed="false">
      <c r="A133" s="10" t="s">
        <v>148</v>
      </c>
      <c r="B133" s="22" t="n">
        <f aca="false">B103</f>
        <v>2033</v>
      </c>
      <c r="C133" s="10" t="n">
        <f aca="false">B133-base_year</f>
        <v>7</v>
      </c>
      <c r="D133" s="25" t="n">
        <f aca="false">INDEX($B$84:$B$85,MATCH($A133,$A$84:$A$85,0))</f>
        <v>0.000765</v>
      </c>
      <c r="E133" s="26" t="n">
        <f aca="false">fms</f>
        <v>0.398107170553497</v>
      </c>
      <c r="F133" s="18" t="n">
        <f aca="false">MIN(INDEX($D$84:$D$85,MATCH($A133,$A$84:$A$85,0)),IF(F103&lt;&gt;"",F103,F132*(1+D103)*E103))</f>
        <v>63.84047713125</v>
      </c>
      <c r="G133" s="18" t="n">
        <f aca="false">MIN(INDEX($D$84:$D$85,MATCH($A133,$A$84:$A$85,0)),IF(O103&lt;&gt;"",O103,G132*(1+M103)*N103))</f>
        <v>18.89568</v>
      </c>
      <c r="H133" s="25" t="n">
        <f aca="false">D133*F133*E133</f>
        <v>0.019442744063893</v>
      </c>
      <c r="I133" s="25" t="n">
        <f aca="false">D133*G133*E133</f>
        <v>0.00575471686087049</v>
      </c>
      <c r="J133" s="27" t="n">
        <f aca="false">INDEX($G$84:$G$85,MATCH($A133,$A$84:$A$85,0))*f_rep+INDEX($H$84:$H$85,MATCH($A133,$A$84:$A$85,0))*price_base*f_price</f>
        <v>2900000</v>
      </c>
      <c r="K133" s="27" t="n">
        <f aca="false">INDEX($I$84:$I$85,MATCH($A133,$A$84:$A$85,0))</f>
        <v>2000000</v>
      </c>
      <c r="L133" s="27" t="n">
        <f aca="false">INDEX($F$84:$F$85,MATCH($A133,$A$84:$A$85,0))*f_down*U133</f>
        <v>4800000</v>
      </c>
      <c r="M133" s="27" t="n">
        <f aca="false">INDEX($J$84:$J$85,MATCH($A133,$A$84:$A$85,0))</f>
        <v>500000</v>
      </c>
      <c r="N133" s="27" t="n">
        <f aca="false">INDEX($K$84:$K$85,MATCH($A133,$A$84:$A$85,0))</f>
        <v>800000</v>
      </c>
      <c r="O133" s="27" t="n">
        <f aca="false">SUM(J133:N133)</f>
        <v>11000000</v>
      </c>
      <c r="P133" s="27" t="n">
        <f aca="false">H133*O133</f>
        <v>213870.184702823</v>
      </c>
      <c r="Q133" s="27" t="n">
        <f aca="false">I133*O133</f>
        <v>63301.8854695754</v>
      </c>
      <c r="R133" s="27" t="n">
        <f aca="false">P133-Q133</f>
        <v>150568.299233247</v>
      </c>
      <c r="S133" s="27" t="n">
        <f aca="false">R133*(O133-M133)/O133</f>
        <v>143724.285631736</v>
      </c>
      <c r="T133" s="27" t="n">
        <f aca="false">R133-S133</f>
        <v>6844.01360151125</v>
      </c>
      <c r="U133" s="27" t="n">
        <f aca="false">INDEX($E$84:$E$85,MATCH($A133,$A$84:$A$85,0))*margin_base*f_margin</f>
        <v>320000</v>
      </c>
      <c r="V133" s="27" t="n">
        <f aca="false">H103/24*U133*f_down</f>
        <v>0</v>
      </c>
      <c r="W133" s="27" t="n">
        <f aca="false">Q103/24*U133*f_down</f>
        <v>0</v>
      </c>
      <c r="X133" s="27" t="n">
        <f aca="false">G103*f_insp</f>
        <v>0</v>
      </c>
      <c r="Y133" s="27" t="n">
        <f aca="false">P103*f_insp</f>
        <v>0</v>
      </c>
      <c r="Z133" s="27" t="n">
        <f aca="false">I103*f_rep</f>
        <v>0</v>
      </c>
      <c r="AA133" s="27" t="n">
        <f aca="false">R103*f_rep</f>
        <v>0</v>
      </c>
      <c r="AB133" s="27" t="n">
        <f aca="false">J103*f_rep</f>
        <v>0</v>
      </c>
      <c r="AC133" s="27" t="n">
        <f aca="false">S103*f_rep</f>
        <v>0</v>
      </c>
      <c r="AD133" s="27" t="n">
        <f aca="false">K103</f>
        <v>0</v>
      </c>
      <c r="AE133" s="27" t="n">
        <f aca="false">T103</f>
        <v>15000</v>
      </c>
      <c r="AF133" s="27" t="n">
        <f aca="false">V133+X133+Z133+AB133+AD133</f>
        <v>0</v>
      </c>
      <c r="AG133" s="27" t="n">
        <f aca="false">W133+Y133+AA133+AC133+AE133</f>
        <v>15000</v>
      </c>
      <c r="AH133" s="10" t="n">
        <f aca="false">1+(F133&gt;th_p1)+(F133&gt;th_p2)+(F133&gt;th_p3)+(F133&gt;th_p4)</f>
        <v>4</v>
      </c>
      <c r="AI133" s="10" t="n">
        <f aca="false">1+(G133&gt;th_p1)+(G133&gt;th_p2)+(G133&gt;th_p3)+(G133&gt;th_p4)</f>
        <v>3</v>
      </c>
      <c r="AJ133" s="10" t="str">
        <f aca="false">CHOOSE(1+(O133&gt;th_a)+(O133&gt;th_b)+(O133&gt;th_c)+(O133&gt;th_d),"A","B","C","D","E")</f>
        <v>E</v>
      </c>
      <c r="AK133" s="10" t="str">
        <f aca="false">INDEX($B$155:$F$159,MATCH(AH133,$A$155:$A$159,0),MATCH($AJ133,$B$154:$F$154,0))</f>
        <v>A</v>
      </c>
      <c r="AL133" s="10" t="str">
        <f aca="false">INDEX($B$155:$F$159,MATCH(AI133,$A$155:$A$159,0),MATCH($AJ133,$B$154:$F$154,0))</f>
        <v>A</v>
      </c>
      <c r="AM133" s="10" t="str">
        <f aca="false">IF(MATCH(AK133,$I$155:$I$158,0)&lt;=MATCH(risk_target,$I$155:$I$158,0),"Cumple","EXCEDE")</f>
        <v>EXCEDE</v>
      </c>
      <c r="AN133" s="10" t="str">
        <f aca="false">IF(MATCH(AL133,$I$155:$I$158,0)&lt;=MATCH(risk_target,$I$155:$I$158,0),"Cumple","EXCEDE")</f>
        <v>EXCEDE</v>
      </c>
      <c r="AO133" s="10" t="s">
        <v>234</v>
      </c>
      <c r="AP133" s="10" t="str">
        <f aca="false">IF(R133&gt;=0,"riesgo evitado esperado (no caja) ","riesgo ADICIONAL aceptado (no caja) ")&amp;TEXT(R133,"#,##0")&amp;" $/a; flujo caja C0−C1: "&amp;TEXT(AF133-AG133,"#,##0")&amp;" $"</f>
        <v>riesgo evitado esperado (no caja) 150,568 $/a; flujo caja C0−C1: -15,000 $</v>
      </c>
      <c r="AQ133" s="10" t="s">
        <v>180</v>
      </c>
      <c r="AR133" s="10" t="str">
        <f aca="false">A133&amp;"|"&amp;B133</f>
        <v>U-200|2033</v>
      </c>
    </row>
    <row r="134" customFormat="false" ht="15" hidden="false" customHeight="false" outlineLevel="0" collapsed="false">
      <c r="A134" s="10" t="s">
        <v>148</v>
      </c>
      <c r="B134" s="22" t="n">
        <f aca="false">B104</f>
        <v>2034</v>
      </c>
      <c r="C134" s="10" t="n">
        <f aca="false">B134-base_year</f>
        <v>8</v>
      </c>
      <c r="D134" s="25" t="n">
        <f aca="false">INDEX($B$84:$B$85,MATCH($A134,$A$84:$A$85,0))</f>
        <v>0.000765</v>
      </c>
      <c r="E134" s="26" t="n">
        <f aca="false">fms</f>
        <v>0.398107170553497</v>
      </c>
      <c r="F134" s="18" t="n">
        <f aca="false">MIN(INDEX($D$84:$D$85,MATCH($A134,$A$84:$A$85,0)),IF(F104&lt;&gt;"",F104,F133*(1+D104)*E104))</f>
        <v>73.4165487009375</v>
      </c>
      <c r="G134" s="18" t="n">
        <f aca="false">MIN(INDEX($D$84:$D$85,MATCH($A134,$A$84:$A$85,0)),IF(O104&lt;&gt;"",O104,G133*(1+M104)*N104))</f>
        <v>20.4073344</v>
      </c>
      <c r="H134" s="25" t="n">
        <f aca="false">D134*F134*E134</f>
        <v>0.0223591556734769</v>
      </c>
      <c r="I134" s="25" t="n">
        <f aca="false">D134*G134*E134</f>
        <v>0.00621509420974013</v>
      </c>
      <c r="J134" s="27" t="n">
        <f aca="false">INDEX($G$84:$G$85,MATCH($A134,$A$84:$A$85,0))*f_rep+INDEX($H$84:$H$85,MATCH($A134,$A$84:$A$85,0))*price_base*f_price</f>
        <v>2900000</v>
      </c>
      <c r="K134" s="27" t="n">
        <f aca="false">INDEX($I$84:$I$85,MATCH($A134,$A$84:$A$85,0))</f>
        <v>2000000</v>
      </c>
      <c r="L134" s="27" t="n">
        <f aca="false">INDEX($F$84:$F$85,MATCH($A134,$A$84:$A$85,0))*f_down*U134</f>
        <v>4800000</v>
      </c>
      <c r="M134" s="27" t="n">
        <f aca="false">INDEX($J$84:$J$85,MATCH($A134,$A$84:$A$85,0))</f>
        <v>500000</v>
      </c>
      <c r="N134" s="27" t="n">
        <f aca="false">INDEX($K$84:$K$85,MATCH($A134,$A$84:$A$85,0))</f>
        <v>800000</v>
      </c>
      <c r="O134" s="27" t="n">
        <f aca="false">SUM(J134:N134)</f>
        <v>11000000</v>
      </c>
      <c r="P134" s="27" t="n">
        <f aca="false">H134*O134</f>
        <v>245950.712408246</v>
      </c>
      <c r="Q134" s="27" t="n">
        <f aca="false">I134*O134</f>
        <v>68366.0363071415</v>
      </c>
      <c r="R134" s="27" t="n">
        <f aca="false">P134-Q134</f>
        <v>177584.676101105</v>
      </c>
      <c r="S134" s="27" t="n">
        <f aca="false">R134*(O134-M134)/O134</f>
        <v>169512.645369236</v>
      </c>
      <c r="T134" s="27" t="n">
        <f aca="false">R134-S134</f>
        <v>8072.03073186838</v>
      </c>
      <c r="U134" s="27" t="n">
        <f aca="false">INDEX($E$84:$E$85,MATCH($A134,$A$84:$A$85,0))*margin_base*f_margin</f>
        <v>320000</v>
      </c>
      <c r="V134" s="27" t="n">
        <f aca="false">H104/24*U134*f_down</f>
        <v>0</v>
      </c>
      <c r="W134" s="27" t="n">
        <f aca="false">Q104/24*U134*f_down</f>
        <v>0</v>
      </c>
      <c r="X134" s="27" t="n">
        <f aca="false">G104*f_insp</f>
        <v>0</v>
      </c>
      <c r="Y134" s="27" t="n">
        <f aca="false">P104*f_insp</f>
        <v>0</v>
      </c>
      <c r="Z134" s="27" t="n">
        <f aca="false">I104*f_rep</f>
        <v>0</v>
      </c>
      <c r="AA134" s="27" t="n">
        <f aca="false">R104*f_rep</f>
        <v>0</v>
      </c>
      <c r="AB134" s="27" t="n">
        <f aca="false">J104*f_rep</f>
        <v>0</v>
      </c>
      <c r="AC134" s="27" t="n">
        <f aca="false">S104*f_rep</f>
        <v>0</v>
      </c>
      <c r="AD134" s="27" t="n">
        <f aca="false">K104</f>
        <v>0</v>
      </c>
      <c r="AE134" s="27" t="n">
        <f aca="false">T104</f>
        <v>15000</v>
      </c>
      <c r="AF134" s="27" t="n">
        <f aca="false">V134+X134+Z134+AB134+AD134</f>
        <v>0</v>
      </c>
      <c r="AG134" s="27" t="n">
        <f aca="false">W134+Y134+AA134+AC134+AE134</f>
        <v>15000</v>
      </c>
      <c r="AH134" s="10" t="n">
        <f aca="false">1+(F134&gt;th_p1)+(F134&gt;th_p2)+(F134&gt;th_p3)+(F134&gt;th_p4)</f>
        <v>4</v>
      </c>
      <c r="AI134" s="10" t="n">
        <f aca="false">1+(G134&gt;th_p1)+(G134&gt;th_p2)+(G134&gt;th_p3)+(G134&gt;th_p4)</f>
        <v>3</v>
      </c>
      <c r="AJ134" s="10" t="str">
        <f aca="false">CHOOSE(1+(O134&gt;th_a)+(O134&gt;th_b)+(O134&gt;th_c)+(O134&gt;th_d),"A","B","C","D","E")</f>
        <v>E</v>
      </c>
      <c r="AK134" s="10" t="str">
        <f aca="false">INDEX($B$155:$F$159,MATCH(AH134,$A$155:$A$159,0),MATCH($AJ134,$B$154:$F$154,0))</f>
        <v>A</v>
      </c>
      <c r="AL134" s="10" t="str">
        <f aca="false">INDEX($B$155:$F$159,MATCH(AI134,$A$155:$A$159,0),MATCH($AJ134,$B$154:$F$154,0))</f>
        <v>A</v>
      </c>
      <c r="AM134" s="10" t="str">
        <f aca="false">IF(MATCH(AK134,$I$155:$I$158,0)&lt;=MATCH(risk_target,$I$155:$I$158,0),"Cumple","EXCEDE")</f>
        <v>EXCEDE</v>
      </c>
      <c r="AN134" s="10" t="str">
        <f aca="false">IF(MATCH(AL134,$I$155:$I$158,0)&lt;=MATCH(risk_target,$I$155:$I$158,0),"Cumple","EXCEDE")</f>
        <v>EXCEDE</v>
      </c>
      <c r="AO134" s="10" t="s">
        <v>234</v>
      </c>
      <c r="AP134" s="10" t="str">
        <f aca="false">IF(R134&gt;=0,"riesgo evitado esperado (no caja) ","riesgo ADICIONAL aceptado (no caja) ")&amp;TEXT(R134,"#,##0")&amp;" $/a; flujo caja C0−C1: "&amp;TEXT(AF134-AG134,"#,##0")&amp;" $"</f>
        <v>riesgo evitado esperado (no caja) 177,585 $/a; flujo caja C0−C1: -15,000 $</v>
      </c>
      <c r="AQ134" s="10" t="s">
        <v>180</v>
      </c>
      <c r="AR134" s="10" t="str">
        <f aca="false">A134&amp;"|"&amp;B134</f>
        <v>U-200|2034</v>
      </c>
    </row>
    <row r="135" customFormat="false" ht="15" hidden="false" customHeight="false" outlineLevel="0" collapsed="false">
      <c r="A135" s="10" t="s">
        <v>148</v>
      </c>
      <c r="B135" s="22" t="n">
        <f aca="false">B105</f>
        <v>2035</v>
      </c>
      <c r="C135" s="10" t="n">
        <f aca="false">B135-base_year</f>
        <v>9</v>
      </c>
      <c r="D135" s="25" t="n">
        <f aca="false">INDEX($B$84:$B$85,MATCH($A135,$A$84:$A$85,0))</f>
        <v>0.000765</v>
      </c>
      <c r="E135" s="26" t="n">
        <f aca="false">fms</f>
        <v>0.398107170553497</v>
      </c>
      <c r="F135" s="18" t="n">
        <f aca="false">MIN(INDEX($D$84:$D$85,MATCH($A135,$A$84:$A$85,0)),IF(F105&lt;&gt;"",F105,F134*(1+D105)*E105))</f>
        <v>84.4290310060781</v>
      </c>
      <c r="G135" s="18" t="n">
        <f aca="false">MIN(INDEX($D$84:$D$85,MATCH($A135,$A$84:$A$85,0)),IF(O105&lt;&gt;"",O105,G134*(1+M105)*N105))</f>
        <v>22.039921152</v>
      </c>
      <c r="H135" s="25" t="n">
        <f aca="false">D135*F135*E135</f>
        <v>0.0257130290244985</v>
      </c>
      <c r="I135" s="25" t="n">
        <f aca="false">D135*G135*E135</f>
        <v>0.00671230174651934</v>
      </c>
      <c r="J135" s="27" t="n">
        <f aca="false">INDEX($G$84:$G$85,MATCH($A135,$A$84:$A$85,0))*f_rep+INDEX($H$84:$H$85,MATCH($A135,$A$84:$A$85,0))*price_base*f_price</f>
        <v>2900000</v>
      </c>
      <c r="K135" s="27" t="n">
        <f aca="false">INDEX($I$84:$I$85,MATCH($A135,$A$84:$A$85,0))</f>
        <v>2000000</v>
      </c>
      <c r="L135" s="27" t="n">
        <f aca="false">INDEX($F$84:$F$85,MATCH($A135,$A$84:$A$85,0))*f_down*U135</f>
        <v>4800000</v>
      </c>
      <c r="M135" s="27" t="n">
        <f aca="false">INDEX($J$84:$J$85,MATCH($A135,$A$84:$A$85,0))</f>
        <v>500000</v>
      </c>
      <c r="N135" s="27" t="n">
        <f aca="false">INDEX($K$84:$K$85,MATCH($A135,$A$84:$A$85,0))</f>
        <v>800000</v>
      </c>
      <c r="O135" s="27" t="n">
        <f aca="false">SUM(J135:N135)</f>
        <v>11000000</v>
      </c>
      <c r="P135" s="27" t="n">
        <f aca="false">H135*O135</f>
        <v>282843.319269483</v>
      </c>
      <c r="Q135" s="27" t="n">
        <f aca="false">I135*O135</f>
        <v>73835.3192117128</v>
      </c>
      <c r="R135" s="27" t="n">
        <f aca="false">P135-Q135</f>
        <v>209008.00005777</v>
      </c>
      <c r="S135" s="27" t="n">
        <f aca="false">R135*(O135-M135)/O135</f>
        <v>199507.636418781</v>
      </c>
      <c r="T135" s="27" t="n">
        <f aca="false">R135-S135</f>
        <v>9500.36363898957</v>
      </c>
      <c r="U135" s="27" t="n">
        <f aca="false">INDEX($E$84:$E$85,MATCH($A135,$A$84:$A$85,0))*margin_base*f_margin</f>
        <v>320000</v>
      </c>
      <c r="V135" s="27" t="n">
        <f aca="false">H105/24*U135*f_down</f>
        <v>0</v>
      </c>
      <c r="W135" s="27" t="n">
        <f aca="false">Q105/24*U135*f_down</f>
        <v>0</v>
      </c>
      <c r="X135" s="27" t="n">
        <f aca="false">G105*f_insp</f>
        <v>25000</v>
      </c>
      <c r="Y135" s="27" t="n">
        <f aca="false">P105*f_insp</f>
        <v>0</v>
      </c>
      <c r="Z135" s="27" t="n">
        <f aca="false">I105*f_rep</f>
        <v>0</v>
      </c>
      <c r="AA135" s="27" t="n">
        <f aca="false">R105*f_rep</f>
        <v>0</v>
      </c>
      <c r="AB135" s="27" t="n">
        <f aca="false">J105*f_rep</f>
        <v>0</v>
      </c>
      <c r="AC135" s="27" t="n">
        <f aca="false">S105*f_rep</f>
        <v>0</v>
      </c>
      <c r="AD135" s="27" t="n">
        <f aca="false">K105</f>
        <v>0</v>
      </c>
      <c r="AE135" s="27" t="n">
        <f aca="false">T105</f>
        <v>15000</v>
      </c>
      <c r="AF135" s="27" t="n">
        <f aca="false">V135+X135+Z135+AB135+AD135</f>
        <v>25000</v>
      </c>
      <c r="AG135" s="27" t="n">
        <f aca="false">W135+Y135+AA135+AC135+AE135</f>
        <v>15000</v>
      </c>
      <c r="AH135" s="10" t="n">
        <f aca="false">1+(F135&gt;th_p1)+(F135&gt;th_p2)+(F135&gt;th_p3)+(F135&gt;th_p4)</f>
        <v>4</v>
      </c>
      <c r="AI135" s="10" t="n">
        <f aca="false">1+(G135&gt;th_p1)+(G135&gt;th_p2)+(G135&gt;th_p3)+(G135&gt;th_p4)</f>
        <v>3</v>
      </c>
      <c r="AJ135" s="10" t="str">
        <f aca="false">CHOOSE(1+(O135&gt;th_a)+(O135&gt;th_b)+(O135&gt;th_c)+(O135&gt;th_d),"A","B","C","D","E")</f>
        <v>E</v>
      </c>
      <c r="AK135" s="10" t="str">
        <f aca="false">INDEX($B$155:$F$159,MATCH(AH135,$A$155:$A$159,0),MATCH($AJ135,$B$154:$F$154,0))</f>
        <v>A</v>
      </c>
      <c r="AL135" s="10" t="str">
        <f aca="false">INDEX($B$155:$F$159,MATCH(AI135,$A$155:$A$159,0),MATCH($AJ135,$B$154:$F$154,0))</f>
        <v>A</v>
      </c>
      <c r="AM135" s="10" t="str">
        <f aca="false">IF(MATCH(AK135,$I$155:$I$158,0)&lt;=MATCH(risk_target,$I$155:$I$158,0),"Cumple","EXCEDE")</f>
        <v>EXCEDE</v>
      </c>
      <c r="AN135" s="10" t="str">
        <f aca="false">IF(MATCH(AL135,$I$155:$I$158,0)&lt;=MATCH(risk_target,$I$155:$I$158,0),"Cumple","EXCEDE")</f>
        <v>EXCEDE</v>
      </c>
      <c r="AO135" s="10" t="s">
        <v>234</v>
      </c>
      <c r="AP135" s="10" t="str">
        <f aca="false">IF(R135&gt;=0,"riesgo evitado esperado (no caja) ","riesgo ADICIONAL aceptado (no caja) ")&amp;TEXT(R135,"#,##0")&amp;" $/a; flujo caja C0−C1: "&amp;TEXT(AF135-AG135,"#,##0")&amp;" $"</f>
        <v>riesgo evitado esperado (no caja) 209,008 $/a; flujo caja C0−C1: 10,000 $</v>
      </c>
      <c r="AQ135" s="10" t="s">
        <v>180</v>
      </c>
      <c r="AR135" s="10" t="str">
        <f aca="false">A135&amp;"|"&amp;B135</f>
        <v>U-200|2035</v>
      </c>
    </row>
    <row r="136" customFormat="false" ht="15" hidden="false" customHeight="false" outlineLevel="0" collapsed="false">
      <c r="A136" s="10" t="s">
        <v>148</v>
      </c>
      <c r="B136" s="22" t="n">
        <f aca="false">B106</f>
        <v>2036</v>
      </c>
      <c r="C136" s="10" t="n">
        <f aca="false">B136-base_year</f>
        <v>10</v>
      </c>
      <c r="D136" s="25" t="n">
        <f aca="false">INDEX($B$84:$B$85,MATCH($A136,$A$84:$A$85,0))</f>
        <v>0.000765</v>
      </c>
      <c r="E136" s="26" t="n">
        <f aca="false">fms</f>
        <v>0.398107170553497</v>
      </c>
      <c r="F136" s="18" t="n">
        <f aca="false">MIN(INDEX($D$84:$D$85,MATCH($A136,$A$84:$A$85,0)),IF(F106&lt;&gt;"",F106,F135*(1+D106)*E106))</f>
        <v>97.0933856569898</v>
      </c>
      <c r="G136" s="18" t="n">
        <f aca="false">MIN(INDEX($D$84:$D$85,MATCH($A136,$A$84:$A$85,0)),IF(O106&lt;&gt;"",O106,G135*(1+M106)*N106))</f>
        <v>23.80311484416</v>
      </c>
      <c r="H136" s="25" t="n">
        <f aca="false">D136*F136*E136</f>
        <v>0.0295699833781732</v>
      </c>
      <c r="I136" s="25" t="n">
        <f aca="false">D136*G136*E136</f>
        <v>0.00724928588624089</v>
      </c>
      <c r="J136" s="27" t="n">
        <f aca="false">INDEX($G$84:$G$85,MATCH($A136,$A$84:$A$85,0))*f_rep+INDEX($H$84:$H$85,MATCH($A136,$A$84:$A$85,0))*price_base*f_price</f>
        <v>2900000</v>
      </c>
      <c r="K136" s="27" t="n">
        <f aca="false">INDEX($I$84:$I$85,MATCH($A136,$A$84:$A$85,0))</f>
        <v>2000000</v>
      </c>
      <c r="L136" s="27" t="n">
        <f aca="false">INDEX($F$84:$F$85,MATCH($A136,$A$84:$A$85,0))*f_down*U136</f>
        <v>4800000</v>
      </c>
      <c r="M136" s="27" t="n">
        <f aca="false">INDEX($J$84:$J$85,MATCH($A136,$A$84:$A$85,0))</f>
        <v>500000</v>
      </c>
      <c r="N136" s="27" t="n">
        <f aca="false">INDEX($K$84:$K$85,MATCH($A136,$A$84:$A$85,0))</f>
        <v>800000</v>
      </c>
      <c r="O136" s="27" t="n">
        <f aca="false">SUM(J136:N136)</f>
        <v>11000000</v>
      </c>
      <c r="P136" s="27" t="n">
        <f aca="false">H136*O136</f>
        <v>325269.817159906</v>
      </c>
      <c r="Q136" s="27" t="n">
        <f aca="false">I136*O136</f>
        <v>79742.1447486498</v>
      </c>
      <c r="R136" s="27" t="n">
        <f aca="false">P136-Q136</f>
        <v>245527.672411256</v>
      </c>
      <c r="S136" s="27" t="n">
        <f aca="false">R136*(O136-M136)/O136</f>
        <v>234367.32366529</v>
      </c>
      <c r="T136" s="27" t="n">
        <f aca="false">R136-S136</f>
        <v>11160.3487459662</v>
      </c>
      <c r="U136" s="27" t="n">
        <f aca="false">INDEX($E$84:$E$85,MATCH($A136,$A$84:$A$85,0))*margin_base*f_margin</f>
        <v>320000</v>
      </c>
      <c r="V136" s="27" t="n">
        <f aca="false">H106/24*U136*f_down</f>
        <v>0</v>
      </c>
      <c r="W136" s="27" t="n">
        <f aca="false">Q106/24*U136*f_down</f>
        <v>0</v>
      </c>
      <c r="X136" s="27" t="n">
        <f aca="false">G106*f_insp</f>
        <v>0</v>
      </c>
      <c r="Y136" s="27" t="n">
        <f aca="false">P106*f_insp</f>
        <v>0</v>
      </c>
      <c r="Z136" s="27" t="n">
        <f aca="false">I106*f_rep</f>
        <v>0</v>
      </c>
      <c r="AA136" s="27" t="n">
        <f aca="false">R106*f_rep</f>
        <v>0</v>
      </c>
      <c r="AB136" s="27" t="n">
        <f aca="false">J106*f_rep</f>
        <v>0</v>
      </c>
      <c r="AC136" s="27" t="n">
        <f aca="false">S106*f_rep</f>
        <v>0</v>
      </c>
      <c r="AD136" s="27" t="n">
        <f aca="false">K106</f>
        <v>0</v>
      </c>
      <c r="AE136" s="27" t="n">
        <f aca="false">T106</f>
        <v>15000</v>
      </c>
      <c r="AF136" s="27" t="n">
        <f aca="false">V136+X136+Z136+AB136+AD136</f>
        <v>0</v>
      </c>
      <c r="AG136" s="27" t="n">
        <f aca="false">W136+Y136+AA136+AC136+AE136</f>
        <v>15000</v>
      </c>
      <c r="AH136" s="10" t="n">
        <f aca="false">1+(F136&gt;th_p1)+(F136&gt;th_p2)+(F136&gt;th_p3)+(F136&gt;th_p4)</f>
        <v>4</v>
      </c>
      <c r="AI136" s="10" t="n">
        <f aca="false">1+(G136&gt;th_p1)+(G136&gt;th_p2)+(G136&gt;th_p3)+(G136&gt;th_p4)</f>
        <v>3</v>
      </c>
      <c r="AJ136" s="10" t="str">
        <f aca="false">CHOOSE(1+(O136&gt;th_a)+(O136&gt;th_b)+(O136&gt;th_c)+(O136&gt;th_d),"A","B","C","D","E")</f>
        <v>E</v>
      </c>
      <c r="AK136" s="10" t="str">
        <f aca="false">INDEX($B$155:$F$159,MATCH(AH136,$A$155:$A$159,0),MATCH($AJ136,$B$154:$F$154,0))</f>
        <v>A</v>
      </c>
      <c r="AL136" s="10" t="str">
        <f aca="false">INDEX($B$155:$F$159,MATCH(AI136,$A$155:$A$159,0),MATCH($AJ136,$B$154:$F$154,0))</f>
        <v>A</v>
      </c>
      <c r="AM136" s="10" t="str">
        <f aca="false">IF(MATCH(AK136,$I$155:$I$158,0)&lt;=MATCH(risk_target,$I$155:$I$158,0),"Cumple","EXCEDE")</f>
        <v>EXCEDE</v>
      </c>
      <c r="AN136" s="10" t="str">
        <f aca="false">IF(MATCH(AL136,$I$155:$I$158,0)&lt;=MATCH(risk_target,$I$155:$I$158,0),"Cumple","EXCEDE")</f>
        <v>EXCEDE</v>
      </c>
      <c r="AO136" s="10" t="s">
        <v>234</v>
      </c>
      <c r="AP136" s="10" t="str">
        <f aca="false">IF(R136&gt;=0,"riesgo evitado esperado (no caja) ","riesgo ADICIONAL aceptado (no caja) ")&amp;TEXT(R136,"#,##0")&amp;" $/a; flujo caja C0−C1: "&amp;TEXT(AF136-AG136,"#,##0")&amp;" $"</f>
        <v>riesgo evitado esperado (no caja) 245,528 $/a; flujo caja C0−C1: -15,000 $</v>
      </c>
      <c r="AQ136" s="10" t="s">
        <v>180</v>
      </c>
      <c r="AR136" s="10" t="str">
        <f aca="false">A136&amp;"|"&amp;B136</f>
        <v>U-200|2036</v>
      </c>
    </row>
    <row r="137" customFormat="false" ht="15" hidden="false" customHeight="false" outlineLevel="0" collapsed="false">
      <c r="A137" s="10" t="s">
        <v>151</v>
      </c>
      <c r="B137" s="22" t="n">
        <f aca="false">B107</f>
        <v>2026</v>
      </c>
      <c r="C137" s="10" t="n">
        <f aca="false">B137-base_year</f>
        <v>0</v>
      </c>
      <c r="D137" s="25" t="n">
        <f aca="false">INDEX($B$84:$B$85,MATCH($A137,$A$84:$A$85,0))</f>
        <v>3.06E-005</v>
      </c>
      <c r="E137" s="26" t="n">
        <f aca="false">fms</f>
        <v>0.398107170553497</v>
      </c>
      <c r="F137" s="18" t="n">
        <f aca="false">MIN(INDEX($D$84:$D$85,MATCH($A137,$A$84:$A$85,0)),IF(F107&lt;&gt;"",F107,INDEX($C$84:$C$85,MATCH($A137,$A$84:$A$85,0))*E107))</f>
        <v>120</v>
      </c>
      <c r="G137" s="18" t="n">
        <f aca="false">MIN(INDEX($D$84:$D$85,MATCH($A137,$A$84:$A$85,0)),IF(O107&lt;&gt;"",O107,INDEX($C$84:$C$85,MATCH($A137,$A$84:$A$85,0))*N107))</f>
        <v>96</v>
      </c>
      <c r="H137" s="25" t="n">
        <f aca="false">D137*F137*E137</f>
        <v>0.00146184953027244</v>
      </c>
      <c r="I137" s="25" t="n">
        <f aca="false">D137*G137*E137</f>
        <v>0.00116947962421795</v>
      </c>
      <c r="J137" s="27" t="n">
        <f aca="false">INDEX($G$84:$G$85,MATCH($A137,$A$84:$A$85,0))*f_rep+INDEX($H$84:$H$85,MATCH($A137,$A$84:$A$85,0))*price_base*f_price</f>
        <v>950000</v>
      </c>
      <c r="K137" s="27" t="n">
        <f aca="false">INDEX($I$84:$I$85,MATCH($A137,$A$84:$A$85,0))</f>
        <v>400000</v>
      </c>
      <c r="L137" s="27" t="n">
        <f aca="false">INDEX($F$84:$F$85,MATCH($A137,$A$84:$A$85,0))*f_down*U137</f>
        <v>1200000</v>
      </c>
      <c r="M137" s="27" t="n">
        <f aca="false">INDEX($J$84:$J$85,MATCH($A137,$A$84:$A$85,0))</f>
        <v>300000</v>
      </c>
      <c r="N137" s="27" t="n">
        <f aca="false">INDEX($K$84:$K$85,MATCH($A137,$A$84:$A$85,0))</f>
        <v>200000</v>
      </c>
      <c r="O137" s="27" t="n">
        <f aca="false">SUM(J137:N137)</f>
        <v>3050000</v>
      </c>
      <c r="P137" s="27" t="n">
        <f aca="false">H137*O137</f>
        <v>4458.64106733095</v>
      </c>
      <c r="Q137" s="27" t="n">
        <f aca="false">I137*O137</f>
        <v>3566.91285386476</v>
      </c>
      <c r="R137" s="27" t="n">
        <f aca="false">P137-Q137</f>
        <v>891.72821346619</v>
      </c>
      <c r="S137" s="27" t="n">
        <f aca="false">R137*(O137-M137)/O137</f>
        <v>804.017241649843</v>
      </c>
      <c r="T137" s="27" t="n">
        <f aca="false">R137-S137</f>
        <v>87.7109718163465</v>
      </c>
      <c r="U137" s="27" t="n">
        <f aca="false">INDEX($E$84:$E$85,MATCH($A137,$A$84:$A$85,0))*margin_base*f_margin</f>
        <v>120000</v>
      </c>
      <c r="V137" s="27" t="n">
        <f aca="false">H107/24*U137*f_down</f>
        <v>0</v>
      </c>
      <c r="W137" s="27" t="n">
        <f aca="false">Q107/24*U137*f_down</f>
        <v>0</v>
      </c>
      <c r="X137" s="27" t="n">
        <f aca="false">G107*f_insp</f>
        <v>8000</v>
      </c>
      <c r="Y137" s="27" t="n">
        <f aca="false">P107*f_insp</f>
        <v>65000</v>
      </c>
      <c r="Z137" s="27" t="n">
        <f aca="false">I107*f_rep</f>
        <v>0</v>
      </c>
      <c r="AA137" s="27" t="n">
        <f aca="false">R107*f_rep</f>
        <v>0</v>
      </c>
      <c r="AB137" s="27" t="n">
        <f aca="false">J107*f_rep</f>
        <v>0</v>
      </c>
      <c r="AC137" s="27" t="n">
        <f aca="false">S107*f_rep</f>
        <v>0</v>
      </c>
      <c r="AD137" s="27" t="n">
        <f aca="false">K107</f>
        <v>0</v>
      </c>
      <c r="AE137" s="27" t="n">
        <f aca="false">T107</f>
        <v>10000</v>
      </c>
      <c r="AF137" s="27" t="n">
        <f aca="false">V137+X137+Z137+AB137+AD137</f>
        <v>8000</v>
      </c>
      <c r="AG137" s="27" t="n">
        <f aca="false">W137+Y137+AA137+AC137+AE137</f>
        <v>75000</v>
      </c>
      <c r="AH137" s="10" t="n">
        <f aca="false">1+(F137&gt;th_p1)+(F137&gt;th_p2)+(F137&gt;th_p3)+(F137&gt;th_p4)</f>
        <v>5</v>
      </c>
      <c r="AI137" s="10" t="n">
        <f aca="false">1+(G137&gt;th_p1)+(G137&gt;th_p2)+(G137&gt;th_p3)+(G137&gt;th_p4)</f>
        <v>4</v>
      </c>
      <c r="AJ137" s="10" t="str">
        <f aca="false">CHOOSE(1+(O137&gt;th_a)+(O137&gt;th_b)+(O137&gt;th_c)+(O137&gt;th_d),"A","B","C","D","E")</f>
        <v>D</v>
      </c>
      <c r="AK137" s="10" t="str">
        <f aca="false">INDEX($B$155:$F$159,MATCH(AH137,$A$155:$A$159,0),MATCH($AJ137,$B$154:$F$154,0))</f>
        <v>A</v>
      </c>
      <c r="AL137" s="10" t="str">
        <f aca="false">INDEX($B$155:$F$159,MATCH(AI137,$A$155:$A$159,0),MATCH($AJ137,$B$154:$F$154,0))</f>
        <v>A</v>
      </c>
      <c r="AM137" s="10" t="str">
        <f aca="false">IF(MATCH(AK137,$I$155:$I$158,0)&lt;=MATCH(risk_target,$I$155:$I$158,0),"Cumple","EXCEDE")</f>
        <v>EXCEDE</v>
      </c>
      <c r="AN137" s="10" t="str">
        <f aca="false">IF(MATCH(AL137,$I$155:$I$158,0)&lt;=MATCH(risk_target,$I$155:$I$158,0),"Cumple","EXCEDE")</f>
        <v>EXCEDE</v>
      </c>
      <c r="AO137" s="10" t="s">
        <v>234</v>
      </c>
      <c r="AP137" s="10" t="str">
        <f aca="false">IF(R137&gt;=0,"riesgo evitado esperado (no caja) ","riesgo ADICIONAL aceptado (no caja) ")&amp;TEXT(R137,"#,##0")&amp;" $/a; flujo caja C0−C1: "&amp;TEXT(AF137-AG137,"#,##0")&amp;" $"</f>
        <v>riesgo evitado esperado (no caja) 892 $/a; flujo caja C0−C1: -67,000 $</v>
      </c>
      <c r="AQ137" s="10" t="s">
        <v>180</v>
      </c>
      <c r="AR137" s="10" t="str">
        <f aca="false">A137&amp;"|"&amp;B137</f>
        <v>V-220|2026</v>
      </c>
    </row>
    <row r="138" customFormat="false" ht="15" hidden="false" customHeight="false" outlineLevel="0" collapsed="false">
      <c r="A138" s="10" t="s">
        <v>151</v>
      </c>
      <c r="B138" s="22" t="n">
        <f aca="false">B108</f>
        <v>2027</v>
      </c>
      <c r="C138" s="10" t="n">
        <f aca="false">B138-base_year</f>
        <v>1</v>
      </c>
      <c r="D138" s="25" t="n">
        <f aca="false">INDEX($B$84:$B$85,MATCH($A138,$A$84:$A$85,0))</f>
        <v>3.06E-005</v>
      </c>
      <c r="E138" s="26" t="n">
        <f aca="false">fms</f>
        <v>0.398107170553497</v>
      </c>
      <c r="F138" s="18" t="n">
        <f aca="false">MIN(INDEX($D$84:$D$85,MATCH($A138,$A$84:$A$85,0)),IF(F108&lt;&gt;"",F108,F137*(1+D108)*E108))</f>
        <v>144</v>
      </c>
      <c r="G138" s="18" t="n">
        <f aca="false">MIN(INDEX($D$84:$D$85,MATCH($A138,$A$84:$A$85,0)),IF(O108&lt;&gt;"",O108,G137*(1+M108)*N108))</f>
        <v>57.6</v>
      </c>
      <c r="H138" s="25" t="n">
        <f aca="false">D138*F138*E138</f>
        <v>0.00175421943632693</v>
      </c>
      <c r="I138" s="25" t="n">
        <f aca="false">D138*G138*E138</f>
        <v>0.000701687774530772</v>
      </c>
      <c r="J138" s="27" t="n">
        <f aca="false">INDEX($G$84:$G$85,MATCH($A138,$A$84:$A$85,0))*f_rep+INDEX($H$84:$H$85,MATCH($A138,$A$84:$A$85,0))*price_base*f_price</f>
        <v>950000</v>
      </c>
      <c r="K138" s="27" t="n">
        <f aca="false">INDEX($I$84:$I$85,MATCH($A138,$A$84:$A$85,0))</f>
        <v>400000</v>
      </c>
      <c r="L138" s="27" t="n">
        <f aca="false">INDEX($F$84:$F$85,MATCH($A138,$A$84:$A$85,0))*f_down*U138</f>
        <v>1200000</v>
      </c>
      <c r="M138" s="27" t="n">
        <f aca="false">INDEX($J$84:$J$85,MATCH($A138,$A$84:$A$85,0))</f>
        <v>300000</v>
      </c>
      <c r="N138" s="27" t="n">
        <f aca="false">INDEX($K$84:$K$85,MATCH($A138,$A$84:$A$85,0))</f>
        <v>200000</v>
      </c>
      <c r="O138" s="27" t="n">
        <f aca="false">SUM(J138:N138)</f>
        <v>3050000</v>
      </c>
      <c r="P138" s="27" t="n">
        <f aca="false">H138*O138</f>
        <v>5350.36928079714</v>
      </c>
      <c r="Q138" s="27" t="n">
        <f aca="false">I138*O138</f>
        <v>2140.14771231885</v>
      </c>
      <c r="R138" s="27" t="n">
        <f aca="false">P138-Q138</f>
        <v>3210.22156847828</v>
      </c>
      <c r="S138" s="27" t="n">
        <f aca="false">R138*(O138-M138)/O138</f>
        <v>2894.46206993943</v>
      </c>
      <c r="T138" s="27" t="n">
        <f aca="false">R138-S138</f>
        <v>315.759498538847</v>
      </c>
      <c r="U138" s="27" t="n">
        <f aca="false">INDEX($E$84:$E$85,MATCH($A138,$A$84:$A$85,0))*margin_base*f_margin</f>
        <v>120000</v>
      </c>
      <c r="V138" s="27" t="n">
        <f aca="false">H108/24*U138*f_down</f>
        <v>0</v>
      </c>
      <c r="W138" s="27" t="n">
        <f aca="false">Q108/24*U138*f_down</f>
        <v>0</v>
      </c>
      <c r="X138" s="27" t="n">
        <f aca="false">G108*f_insp</f>
        <v>0</v>
      </c>
      <c r="Y138" s="27" t="n">
        <f aca="false">P108*f_insp</f>
        <v>0</v>
      </c>
      <c r="Z138" s="27" t="n">
        <f aca="false">I108*f_rep</f>
        <v>0</v>
      </c>
      <c r="AA138" s="27" t="n">
        <f aca="false">R108*f_rep</f>
        <v>180000</v>
      </c>
      <c r="AB138" s="27" t="n">
        <f aca="false">J108*f_rep</f>
        <v>0</v>
      </c>
      <c r="AC138" s="27" t="n">
        <f aca="false">S108*f_rep</f>
        <v>0</v>
      </c>
      <c r="AD138" s="27" t="n">
        <f aca="false">K108</f>
        <v>0</v>
      </c>
      <c r="AE138" s="27" t="n">
        <f aca="false">T108</f>
        <v>10000</v>
      </c>
      <c r="AF138" s="27" t="n">
        <f aca="false">V138+X138+Z138+AB138+AD138</f>
        <v>0</v>
      </c>
      <c r="AG138" s="27" t="n">
        <f aca="false">W138+Y138+AA138+AC138+AE138</f>
        <v>190000</v>
      </c>
      <c r="AH138" s="10" t="n">
        <f aca="false">1+(F138&gt;th_p1)+(F138&gt;th_p2)+(F138&gt;th_p3)+(F138&gt;th_p4)</f>
        <v>5</v>
      </c>
      <c r="AI138" s="10" t="n">
        <f aca="false">1+(G138&gt;th_p1)+(G138&gt;th_p2)+(G138&gt;th_p3)+(G138&gt;th_p4)</f>
        <v>4</v>
      </c>
      <c r="AJ138" s="10" t="str">
        <f aca="false">CHOOSE(1+(O138&gt;th_a)+(O138&gt;th_b)+(O138&gt;th_c)+(O138&gt;th_d),"A","B","C","D","E")</f>
        <v>D</v>
      </c>
      <c r="AK138" s="10" t="str">
        <f aca="false">INDEX($B$155:$F$159,MATCH(AH138,$A$155:$A$159,0),MATCH($AJ138,$B$154:$F$154,0))</f>
        <v>A</v>
      </c>
      <c r="AL138" s="10" t="str">
        <f aca="false">INDEX($B$155:$F$159,MATCH(AI138,$A$155:$A$159,0),MATCH($AJ138,$B$154:$F$154,0))</f>
        <v>A</v>
      </c>
      <c r="AM138" s="10" t="str">
        <f aca="false">IF(MATCH(AK138,$I$155:$I$158,0)&lt;=MATCH(risk_target,$I$155:$I$158,0),"Cumple","EXCEDE")</f>
        <v>EXCEDE</v>
      </c>
      <c r="AN138" s="10" t="str">
        <f aca="false">IF(MATCH(AL138,$I$155:$I$158,0)&lt;=MATCH(risk_target,$I$155:$I$158,0),"Cumple","EXCEDE")</f>
        <v>EXCEDE</v>
      </c>
      <c r="AO138" s="10" t="s">
        <v>234</v>
      </c>
      <c r="AP138" s="10" t="str">
        <f aca="false">IF(R138&gt;=0,"riesgo evitado esperado (no caja) ","riesgo ADICIONAL aceptado (no caja) ")&amp;TEXT(R138,"#,##0")&amp;" $/a; flujo caja C0−C1: "&amp;TEXT(AF138-AG138,"#,##0")&amp;" $"</f>
        <v>riesgo evitado esperado (no caja) 3,210 $/a; flujo caja C0−C1: -190,000 $</v>
      </c>
      <c r="AQ138" s="10" t="s">
        <v>180</v>
      </c>
      <c r="AR138" s="10" t="str">
        <f aca="false">A138&amp;"|"&amp;B138</f>
        <v>V-220|2027</v>
      </c>
    </row>
    <row r="139" customFormat="false" ht="15" hidden="false" customHeight="false" outlineLevel="0" collapsed="false">
      <c r="A139" s="10" t="s">
        <v>151</v>
      </c>
      <c r="B139" s="22" t="n">
        <f aca="false">B109</f>
        <v>2028</v>
      </c>
      <c r="C139" s="10" t="n">
        <f aca="false">B139-base_year</f>
        <v>2</v>
      </c>
      <c r="D139" s="25" t="n">
        <f aca="false">INDEX($B$84:$B$85,MATCH($A139,$A$84:$A$85,0))</f>
        <v>3.06E-005</v>
      </c>
      <c r="E139" s="26" t="n">
        <f aca="false">fms</f>
        <v>0.398107170553497</v>
      </c>
      <c r="F139" s="18" t="n">
        <f aca="false">MIN(INDEX($D$84:$D$85,MATCH($A139,$A$84:$A$85,0)),IF(F109&lt;&gt;"",F109,F138*(1+D109)*E109))</f>
        <v>172.8</v>
      </c>
      <c r="G139" s="18" t="n">
        <f aca="false">MIN(INDEX($D$84:$D$85,MATCH($A139,$A$84:$A$85,0)),IF(O109&lt;&gt;"",O109,G138*(1+M109)*N109))</f>
        <v>8</v>
      </c>
      <c r="H139" s="25" t="n">
        <f aca="false">D139*F139*E139</f>
        <v>0.00210506332359232</v>
      </c>
      <c r="I139" s="25" t="n">
        <f aca="false">D139*G139*E139</f>
        <v>9.74566353514961E-005</v>
      </c>
      <c r="J139" s="27" t="n">
        <f aca="false">INDEX($G$84:$G$85,MATCH($A139,$A$84:$A$85,0))*f_rep+INDEX($H$84:$H$85,MATCH($A139,$A$84:$A$85,0))*price_base*f_price</f>
        <v>950000</v>
      </c>
      <c r="K139" s="27" t="n">
        <f aca="false">INDEX($I$84:$I$85,MATCH($A139,$A$84:$A$85,0))</f>
        <v>400000</v>
      </c>
      <c r="L139" s="27" t="n">
        <f aca="false">INDEX($F$84:$F$85,MATCH($A139,$A$84:$A$85,0))*f_down*U139</f>
        <v>1200000</v>
      </c>
      <c r="M139" s="27" t="n">
        <f aca="false">INDEX($J$84:$J$85,MATCH($A139,$A$84:$A$85,0))</f>
        <v>300000</v>
      </c>
      <c r="N139" s="27" t="n">
        <f aca="false">INDEX($K$84:$K$85,MATCH($A139,$A$84:$A$85,0))</f>
        <v>200000</v>
      </c>
      <c r="O139" s="27" t="n">
        <f aca="false">SUM(J139:N139)</f>
        <v>3050000</v>
      </c>
      <c r="P139" s="27" t="n">
        <f aca="false">H139*O139</f>
        <v>6420.44313695656</v>
      </c>
      <c r="Q139" s="27" t="n">
        <f aca="false">I139*O139</f>
        <v>297.242737822063</v>
      </c>
      <c r="R139" s="27" t="n">
        <f aca="false">P139-Q139</f>
        <v>6123.2003991345</v>
      </c>
      <c r="S139" s="27" t="n">
        <f aca="false">R139*(O139-M139)/O139</f>
        <v>5520.91839266225</v>
      </c>
      <c r="T139" s="27" t="n">
        <f aca="false">R139-S139</f>
        <v>602.282006472246</v>
      </c>
      <c r="U139" s="27" t="n">
        <f aca="false">INDEX($E$84:$E$85,MATCH($A139,$A$84:$A$85,0))*margin_base*f_margin</f>
        <v>120000</v>
      </c>
      <c r="V139" s="27" t="n">
        <f aca="false">H109/24*U139*f_down</f>
        <v>0</v>
      </c>
      <c r="W139" s="27" t="n">
        <f aca="false">Q109/24*U139*f_down</f>
        <v>480000</v>
      </c>
      <c r="X139" s="27" t="n">
        <f aca="false">G109*f_insp</f>
        <v>0</v>
      </c>
      <c r="Y139" s="27" t="n">
        <f aca="false">P109*f_insp</f>
        <v>0</v>
      </c>
      <c r="Z139" s="27" t="n">
        <f aca="false">I109*f_rep</f>
        <v>0</v>
      </c>
      <c r="AA139" s="27" t="n">
        <f aca="false">R109*f_rep</f>
        <v>0</v>
      </c>
      <c r="AB139" s="27" t="n">
        <f aca="false">J109*f_rep</f>
        <v>0</v>
      </c>
      <c r="AC139" s="27" t="n">
        <f aca="false">S109*f_rep</f>
        <v>450000</v>
      </c>
      <c r="AD139" s="27" t="n">
        <f aca="false">K109</f>
        <v>0</v>
      </c>
      <c r="AE139" s="27" t="n">
        <f aca="false">T109</f>
        <v>10000</v>
      </c>
      <c r="AF139" s="27" t="n">
        <f aca="false">V139+X139+Z139+AB139+AD139</f>
        <v>0</v>
      </c>
      <c r="AG139" s="27" t="n">
        <f aca="false">W139+Y139+AA139+AC139+AE139</f>
        <v>940000</v>
      </c>
      <c r="AH139" s="10" t="n">
        <f aca="false">1+(F139&gt;th_p1)+(F139&gt;th_p2)+(F139&gt;th_p3)+(F139&gt;th_p4)</f>
        <v>5</v>
      </c>
      <c r="AI139" s="10" t="n">
        <f aca="false">1+(G139&gt;th_p1)+(G139&gt;th_p2)+(G139&gt;th_p3)+(G139&gt;th_p4)</f>
        <v>2</v>
      </c>
      <c r="AJ139" s="10" t="str">
        <f aca="false">CHOOSE(1+(O139&gt;th_a)+(O139&gt;th_b)+(O139&gt;th_c)+(O139&gt;th_d),"A","B","C","D","E")</f>
        <v>D</v>
      </c>
      <c r="AK139" s="10" t="str">
        <f aca="false">INDEX($B$155:$F$159,MATCH(AH139,$A$155:$A$159,0),MATCH($AJ139,$B$154:$F$154,0))</f>
        <v>A</v>
      </c>
      <c r="AL139" s="10" t="str">
        <f aca="false">INDEX($B$155:$F$159,MATCH(AI139,$A$155:$A$159,0),MATCH($AJ139,$B$154:$F$154,0))</f>
        <v>M</v>
      </c>
      <c r="AM139" s="10" t="str">
        <f aca="false">IF(MATCH(AK139,$I$155:$I$158,0)&lt;=MATCH(risk_target,$I$155:$I$158,0),"Cumple","EXCEDE")</f>
        <v>EXCEDE</v>
      </c>
      <c r="AN139" s="10" t="str">
        <f aca="false">IF(MATCH(AL139,$I$155:$I$158,0)&lt;=MATCH(risk_target,$I$155:$I$158,0),"Cumple","EXCEDE")</f>
        <v>Cumple</v>
      </c>
      <c r="AO139" s="10" t="s">
        <v>234</v>
      </c>
      <c r="AP139" s="10" t="str">
        <f aca="false">IF(R139&gt;=0,"riesgo evitado esperado (no caja) ","riesgo ADICIONAL aceptado (no caja) ")&amp;TEXT(R139,"#,##0")&amp;" $/a; flujo caja C0−C1: "&amp;TEXT(AF139-AG139,"#,##0")&amp;" $"</f>
        <v>riesgo evitado esperado (no caja) 6,123 $/a; flujo caja C0−C1: -940,000 $</v>
      </c>
      <c r="AQ139" s="10" t="s">
        <v>180</v>
      </c>
      <c r="AR139" s="10" t="str">
        <f aca="false">A139&amp;"|"&amp;B139</f>
        <v>V-220|2028</v>
      </c>
    </row>
    <row r="140" customFormat="false" ht="15" hidden="false" customHeight="false" outlineLevel="0" collapsed="false">
      <c r="A140" s="10" t="s">
        <v>151</v>
      </c>
      <c r="B140" s="22" t="n">
        <f aca="false">B110</f>
        <v>2029</v>
      </c>
      <c r="C140" s="10" t="n">
        <f aca="false">B140-base_year</f>
        <v>3</v>
      </c>
      <c r="D140" s="25" t="n">
        <f aca="false">INDEX($B$84:$B$85,MATCH($A140,$A$84:$A$85,0))</f>
        <v>3.06E-005</v>
      </c>
      <c r="E140" s="26" t="n">
        <f aca="false">fms</f>
        <v>0.398107170553497</v>
      </c>
      <c r="F140" s="18" t="n">
        <f aca="false">MIN(INDEX($D$84:$D$85,MATCH($A140,$A$84:$A$85,0)),IF(F110&lt;&gt;"",F110,F139*(1+D110)*E110))</f>
        <v>1</v>
      </c>
      <c r="G140" s="18" t="n">
        <f aca="false">MIN(INDEX($D$84:$D$85,MATCH($A140,$A$84:$A$85,0)),IF(O110&lt;&gt;"",O110,G139*(1+M110)*N110))</f>
        <v>8.48</v>
      </c>
      <c r="H140" s="25" t="n">
        <f aca="false">D140*F140*E140</f>
        <v>1.2182079418937E-005</v>
      </c>
      <c r="I140" s="25" t="n">
        <f aca="false">D140*G140*E140</f>
        <v>0.000103304033472586</v>
      </c>
      <c r="J140" s="27" t="n">
        <f aca="false">INDEX($G$84:$G$85,MATCH($A140,$A$84:$A$85,0))*f_rep+INDEX($H$84:$H$85,MATCH($A140,$A$84:$A$85,0))*price_base*f_price</f>
        <v>950000</v>
      </c>
      <c r="K140" s="27" t="n">
        <f aca="false">INDEX($I$84:$I$85,MATCH($A140,$A$84:$A$85,0))</f>
        <v>400000</v>
      </c>
      <c r="L140" s="27" t="n">
        <f aca="false">INDEX($F$84:$F$85,MATCH($A140,$A$84:$A$85,0))*f_down*U140</f>
        <v>1200000</v>
      </c>
      <c r="M140" s="27" t="n">
        <f aca="false">INDEX($J$84:$J$85,MATCH($A140,$A$84:$A$85,0))</f>
        <v>300000</v>
      </c>
      <c r="N140" s="27" t="n">
        <f aca="false">INDEX($K$84:$K$85,MATCH($A140,$A$84:$A$85,0))</f>
        <v>200000</v>
      </c>
      <c r="O140" s="27" t="n">
        <f aca="false">SUM(J140:N140)</f>
        <v>3050000</v>
      </c>
      <c r="P140" s="27" t="n">
        <f aca="false">H140*O140</f>
        <v>37.1553422277579</v>
      </c>
      <c r="Q140" s="27" t="n">
        <f aca="false">I140*O140</f>
        <v>315.077302091387</v>
      </c>
      <c r="R140" s="27" t="n">
        <f aca="false">P140-Q140</f>
        <v>-277.921959863629</v>
      </c>
      <c r="S140" s="27" t="n">
        <f aca="false">R140*(O140-M140)/O140</f>
        <v>-250.585373647534</v>
      </c>
      <c r="T140" s="27" t="n">
        <f aca="false">R140-S140</f>
        <v>-27.3365862160947</v>
      </c>
      <c r="U140" s="27" t="n">
        <f aca="false">INDEX($E$84:$E$85,MATCH($A140,$A$84:$A$85,0))*margin_base*f_margin</f>
        <v>120000</v>
      </c>
      <c r="V140" s="27" t="n">
        <f aca="false">H110/24*U140*f_down</f>
        <v>3600000</v>
      </c>
      <c r="W140" s="27" t="n">
        <f aca="false">Q110/24*U140*f_down</f>
        <v>0</v>
      </c>
      <c r="X140" s="27" t="n">
        <f aca="false">G110*f_insp</f>
        <v>0</v>
      </c>
      <c r="Y140" s="27" t="n">
        <f aca="false">P110*f_insp</f>
        <v>0</v>
      </c>
      <c r="Z140" s="27" t="n">
        <f aca="false">I110*f_rep</f>
        <v>0</v>
      </c>
      <c r="AA140" s="27" t="n">
        <f aca="false">R110*f_rep</f>
        <v>0</v>
      </c>
      <c r="AB140" s="27" t="n">
        <f aca="false">J110*f_rep</f>
        <v>1800000</v>
      </c>
      <c r="AC140" s="27" t="n">
        <f aca="false">S110*f_rep</f>
        <v>0</v>
      </c>
      <c r="AD140" s="27" t="n">
        <f aca="false">K110</f>
        <v>0</v>
      </c>
      <c r="AE140" s="27" t="n">
        <f aca="false">T110</f>
        <v>10000</v>
      </c>
      <c r="AF140" s="27" t="n">
        <f aca="false">V140+X140+Z140+AB140+AD140</f>
        <v>5400000</v>
      </c>
      <c r="AG140" s="27" t="n">
        <f aca="false">W140+Y140+AA140+AC140+AE140</f>
        <v>10000</v>
      </c>
      <c r="AH140" s="10" t="n">
        <f aca="false">1+(F140&gt;th_p1)+(F140&gt;th_p2)+(F140&gt;th_p3)+(F140&gt;th_p4)</f>
        <v>1</v>
      </c>
      <c r="AI140" s="10" t="n">
        <f aca="false">1+(G140&gt;th_p1)+(G140&gt;th_p2)+(G140&gt;th_p3)+(G140&gt;th_p4)</f>
        <v>2</v>
      </c>
      <c r="AJ140" s="10" t="str">
        <f aca="false">CHOOSE(1+(O140&gt;th_a)+(O140&gt;th_b)+(O140&gt;th_c)+(O140&gt;th_d),"A","B","C","D","E")</f>
        <v>D</v>
      </c>
      <c r="AK140" s="10" t="str">
        <f aca="false">INDEX($B$155:$F$159,MATCH(AH140,$A$155:$A$159,0),MATCH($AJ140,$B$154:$F$154,0))</f>
        <v>B</v>
      </c>
      <c r="AL140" s="10" t="str">
        <f aca="false">INDEX($B$155:$F$159,MATCH(AI140,$A$155:$A$159,0),MATCH($AJ140,$B$154:$F$154,0))</f>
        <v>M</v>
      </c>
      <c r="AM140" s="10" t="str">
        <f aca="false">IF(MATCH(AK140,$I$155:$I$158,0)&lt;=MATCH(risk_target,$I$155:$I$158,0),"Cumple","EXCEDE")</f>
        <v>Cumple</v>
      </c>
      <c r="AN140" s="10" t="str">
        <f aca="false">IF(MATCH(AL140,$I$155:$I$158,0)&lt;=MATCH(risk_target,$I$155:$I$158,0),"Cumple","EXCEDE")</f>
        <v>Cumple</v>
      </c>
      <c r="AO140" s="10" t="s">
        <v>234</v>
      </c>
      <c r="AP140" s="10" t="str">
        <f aca="false">IF(R140&gt;=0,"riesgo evitado esperado (no caja) ","riesgo ADICIONAL aceptado (no caja) ")&amp;TEXT(R140,"#,##0")&amp;" $/a; flujo caja C0−C1: "&amp;TEXT(AF140-AG140,"#,##0")&amp;" $"</f>
        <v>riesgo ADICIONAL aceptado (no caja) -278 $/a; flujo caja C0−C1: 5,390,000 $</v>
      </c>
      <c r="AQ140" s="10" t="s">
        <v>180</v>
      </c>
      <c r="AR140" s="10" t="str">
        <f aca="false">A140&amp;"|"&amp;B140</f>
        <v>V-220|2029</v>
      </c>
    </row>
    <row r="141" customFormat="false" ht="15" hidden="false" customHeight="false" outlineLevel="0" collapsed="false">
      <c r="A141" s="10" t="s">
        <v>151</v>
      </c>
      <c r="B141" s="22" t="n">
        <f aca="false">B111</f>
        <v>2030</v>
      </c>
      <c r="C141" s="10" t="n">
        <f aca="false">B141-base_year</f>
        <v>4</v>
      </c>
      <c r="D141" s="25" t="n">
        <f aca="false">INDEX($B$84:$B$85,MATCH($A141,$A$84:$A$85,0))</f>
        <v>3.06E-005</v>
      </c>
      <c r="E141" s="26" t="n">
        <f aca="false">fms</f>
        <v>0.398107170553497</v>
      </c>
      <c r="F141" s="18" t="n">
        <f aca="false">MIN(INDEX($D$84:$D$85,MATCH($A141,$A$84:$A$85,0)),IF(F111&lt;&gt;"",F111,F140*(1+D111)*E111))</f>
        <v>1.06</v>
      </c>
      <c r="G141" s="18" t="n">
        <f aca="false">MIN(INDEX($D$84:$D$85,MATCH($A141,$A$84:$A$85,0)),IF(O111&lt;&gt;"",O111,G140*(1+M111)*N111))</f>
        <v>8.9888</v>
      </c>
      <c r="H141" s="25" t="n">
        <f aca="false">D141*F141*E141</f>
        <v>1.29130041840732E-005</v>
      </c>
      <c r="I141" s="25" t="n">
        <f aca="false">D141*G141*E141</f>
        <v>0.000109502275480941</v>
      </c>
      <c r="J141" s="27" t="n">
        <f aca="false">INDEX($G$84:$G$85,MATCH($A141,$A$84:$A$85,0))*f_rep+INDEX($H$84:$H$85,MATCH($A141,$A$84:$A$85,0))*price_base*f_price</f>
        <v>950000</v>
      </c>
      <c r="K141" s="27" t="n">
        <f aca="false">INDEX($I$84:$I$85,MATCH($A141,$A$84:$A$85,0))</f>
        <v>400000</v>
      </c>
      <c r="L141" s="27" t="n">
        <f aca="false">INDEX($F$84:$F$85,MATCH($A141,$A$84:$A$85,0))*f_down*U141</f>
        <v>1200000</v>
      </c>
      <c r="M141" s="27" t="n">
        <f aca="false">INDEX($J$84:$J$85,MATCH($A141,$A$84:$A$85,0))</f>
        <v>300000</v>
      </c>
      <c r="N141" s="27" t="n">
        <f aca="false">INDEX($K$84:$K$85,MATCH($A141,$A$84:$A$85,0))</f>
        <v>200000</v>
      </c>
      <c r="O141" s="27" t="n">
        <f aca="false">SUM(J141:N141)</f>
        <v>3050000</v>
      </c>
      <c r="P141" s="27" t="n">
        <f aca="false">H141*O141</f>
        <v>39.3846627614234</v>
      </c>
      <c r="Q141" s="27" t="n">
        <f aca="false">I141*O141</f>
        <v>333.98194021687</v>
      </c>
      <c r="R141" s="27" t="n">
        <f aca="false">P141-Q141</f>
        <v>-294.597277455447</v>
      </c>
      <c r="S141" s="27" t="n">
        <f aca="false">R141*(O141-M141)/O141</f>
        <v>-265.620496066386</v>
      </c>
      <c r="T141" s="27" t="n">
        <f aca="false">R141-S141</f>
        <v>-28.9767813890603</v>
      </c>
      <c r="U141" s="27" t="n">
        <f aca="false">INDEX($E$84:$E$85,MATCH($A141,$A$84:$A$85,0))*margin_base*f_margin</f>
        <v>120000</v>
      </c>
      <c r="V141" s="27" t="n">
        <f aca="false">H111/24*U141*f_down</f>
        <v>0</v>
      </c>
      <c r="W141" s="27" t="n">
        <f aca="false">Q111/24*U141*f_down</f>
        <v>0</v>
      </c>
      <c r="X141" s="27" t="n">
        <f aca="false">G111*f_insp</f>
        <v>0</v>
      </c>
      <c r="Y141" s="27" t="n">
        <f aca="false">P111*f_insp</f>
        <v>0</v>
      </c>
      <c r="Z141" s="27" t="n">
        <f aca="false">I111*f_rep</f>
        <v>0</v>
      </c>
      <c r="AA141" s="27" t="n">
        <f aca="false">R111*f_rep</f>
        <v>0</v>
      </c>
      <c r="AB141" s="27" t="n">
        <f aca="false">J111*f_rep</f>
        <v>0</v>
      </c>
      <c r="AC141" s="27" t="n">
        <f aca="false">S111*f_rep</f>
        <v>0</v>
      </c>
      <c r="AD141" s="27" t="n">
        <f aca="false">K111</f>
        <v>0</v>
      </c>
      <c r="AE141" s="27" t="n">
        <f aca="false">T111</f>
        <v>10000</v>
      </c>
      <c r="AF141" s="27" t="n">
        <f aca="false">V141+X141+Z141+AB141+AD141</f>
        <v>0</v>
      </c>
      <c r="AG141" s="27" t="n">
        <f aca="false">W141+Y141+AA141+AC141+AE141</f>
        <v>10000</v>
      </c>
      <c r="AH141" s="10" t="n">
        <f aca="false">1+(F141&gt;th_p1)+(F141&gt;th_p2)+(F141&gt;th_p3)+(F141&gt;th_p4)</f>
        <v>1</v>
      </c>
      <c r="AI141" s="10" t="n">
        <f aca="false">1+(G141&gt;th_p1)+(G141&gt;th_p2)+(G141&gt;th_p3)+(G141&gt;th_p4)</f>
        <v>2</v>
      </c>
      <c r="AJ141" s="10" t="str">
        <f aca="false">CHOOSE(1+(O141&gt;th_a)+(O141&gt;th_b)+(O141&gt;th_c)+(O141&gt;th_d),"A","B","C","D","E")</f>
        <v>D</v>
      </c>
      <c r="AK141" s="10" t="str">
        <f aca="false">INDEX($B$155:$F$159,MATCH(AH141,$A$155:$A$159,0),MATCH($AJ141,$B$154:$F$154,0))</f>
        <v>B</v>
      </c>
      <c r="AL141" s="10" t="str">
        <f aca="false">INDEX($B$155:$F$159,MATCH(AI141,$A$155:$A$159,0),MATCH($AJ141,$B$154:$F$154,0))</f>
        <v>M</v>
      </c>
      <c r="AM141" s="10" t="str">
        <f aca="false">IF(MATCH(AK141,$I$155:$I$158,0)&lt;=MATCH(risk_target,$I$155:$I$158,0),"Cumple","EXCEDE")</f>
        <v>Cumple</v>
      </c>
      <c r="AN141" s="10" t="str">
        <f aca="false">IF(MATCH(AL141,$I$155:$I$158,0)&lt;=MATCH(risk_target,$I$155:$I$158,0),"Cumple","EXCEDE")</f>
        <v>Cumple</v>
      </c>
      <c r="AO141" s="10" t="s">
        <v>234</v>
      </c>
      <c r="AP141" s="10" t="str">
        <f aca="false">IF(R141&gt;=0,"riesgo evitado esperado (no caja) ","riesgo ADICIONAL aceptado (no caja) ")&amp;TEXT(R141,"#,##0")&amp;" $/a; flujo caja C0−C1: "&amp;TEXT(AF141-AG141,"#,##0")&amp;" $"</f>
        <v>riesgo ADICIONAL aceptado (no caja) -295 $/a; flujo caja C0−C1: -10,000 $</v>
      </c>
      <c r="AQ141" s="10" t="s">
        <v>180</v>
      </c>
      <c r="AR141" s="10" t="str">
        <f aca="false">A141&amp;"|"&amp;B141</f>
        <v>V-220|2030</v>
      </c>
    </row>
    <row r="142" customFormat="false" ht="15" hidden="false" customHeight="false" outlineLevel="0" collapsed="false">
      <c r="A142" s="10" t="s">
        <v>151</v>
      </c>
      <c r="B142" s="22" t="n">
        <f aca="false">B112</f>
        <v>2031</v>
      </c>
      <c r="C142" s="10" t="n">
        <f aca="false">B142-base_year</f>
        <v>5</v>
      </c>
      <c r="D142" s="25" t="n">
        <f aca="false">INDEX($B$84:$B$85,MATCH($A142,$A$84:$A$85,0))</f>
        <v>3.06E-005</v>
      </c>
      <c r="E142" s="26" t="n">
        <f aca="false">fms</f>
        <v>0.398107170553497</v>
      </c>
      <c r="F142" s="18" t="n">
        <f aca="false">MIN(INDEX($D$84:$D$85,MATCH($A142,$A$84:$A$85,0)),IF(F112&lt;&gt;"",F112,F141*(1+D112)*E112))</f>
        <v>1.1236</v>
      </c>
      <c r="G142" s="18" t="n">
        <f aca="false">MIN(INDEX($D$84:$D$85,MATCH($A142,$A$84:$A$85,0)),IF(O112&lt;&gt;"",O112,G141*(1+M112)*N112))</f>
        <v>9.528128</v>
      </c>
      <c r="H142" s="25" t="n">
        <f aca="false">D142*F142*E142</f>
        <v>1.36877844351176E-005</v>
      </c>
      <c r="I142" s="25" t="n">
        <f aca="false">D142*G142*E142</f>
        <v>0.000116072412009798</v>
      </c>
      <c r="J142" s="27" t="n">
        <f aca="false">INDEX($G$84:$G$85,MATCH($A142,$A$84:$A$85,0))*f_rep+INDEX($H$84:$H$85,MATCH($A142,$A$84:$A$85,0))*price_base*f_price</f>
        <v>950000</v>
      </c>
      <c r="K142" s="27" t="n">
        <f aca="false">INDEX($I$84:$I$85,MATCH($A142,$A$84:$A$85,0))</f>
        <v>400000</v>
      </c>
      <c r="L142" s="27" t="n">
        <f aca="false">INDEX($F$84:$F$85,MATCH($A142,$A$84:$A$85,0))*f_down*U142</f>
        <v>1200000</v>
      </c>
      <c r="M142" s="27" t="n">
        <f aca="false">INDEX($J$84:$J$85,MATCH($A142,$A$84:$A$85,0))</f>
        <v>300000</v>
      </c>
      <c r="N142" s="27" t="n">
        <f aca="false">INDEX($K$84:$K$85,MATCH($A142,$A$84:$A$85,0))</f>
        <v>200000</v>
      </c>
      <c r="O142" s="27" t="n">
        <f aca="false">SUM(J142:N142)</f>
        <v>3050000</v>
      </c>
      <c r="P142" s="27" t="n">
        <f aca="false">H142*O142</f>
        <v>41.7477425271088</v>
      </c>
      <c r="Q142" s="27" t="n">
        <f aca="false">I142*O142</f>
        <v>354.020856629882</v>
      </c>
      <c r="R142" s="27" t="n">
        <f aca="false">P142-Q142</f>
        <v>-312.273114102774</v>
      </c>
      <c r="S142" s="27" t="n">
        <f aca="false">R142*(O142-M142)/O142</f>
        <v>-281.55772583037</v>
      </c>
      <c r="T142" s="27" t="n">
        <f aca="false">R142-S142</f>
        <v>-30.715388272404</v>
      </c>
      <c r="U142" s="27" t="n">
        <f aca="false">INDEX($E$84:$E$85,MATCH($A142,$A$84:$A$85,0))*margin_base*f_margin</f>
        <v>120000</v>
      </c>
      <c r="V142" s="27" t="n">
        <f aca="false">H112/24*U142*f_down</f>
        <v>0</v>
      </c>
      <c r="W142" s="27" t="n">
        <f aca="false">Q112/24*U142*f_down</f>
        <v>0</v>
      </c>
      <c r="X142" s="27" t="n">
        <f aca="false">G112*f_insp</f>
        <v>0</v>
      </c>
      <c r="Y142" s="27" t="n">
        <f aca="false">P112*f_insp</f>
        <v>0</v>
      </c>
      <c r="Z142" s="27" t="n">
        <f aca="false">I112*f_rep</f>
        <v>0</v>
      </c>
      <c r="AA142" s="27" t="n">
        <f aca="false">R112*f_rep</f>
        <v>0</v>
      </c>
      <c r="AB142" s="27" t="n">
        <f aca="false">J112*f_rep</f>
        <v>0</v>
      </c>
      <c r="AC142" s="27" t="n">
        <f aca="false">S112*f_rep</f>
        <v>0</v>
      </c>
      <c r="AD142" s="27" t="n">
        <f aca="false">K112</f>
        <v>0</v>
      </c>
      <c r="AE142" s="27" t="n">
        <f aca="false">T112</f>
        <v>10000</v>
      </c>
      <c r="AF142" s="27" t="n">
        <f aca="false">V142+X142+Z142+AB142+AD142</f>
        <v>0</v>
      </c>
      <c r="AG142" s="27" t="n">
        <f aca="false">W142+Y142+AA142+AC142+AE142</f>
        <v>10000</v>
      </c>
      <c r="AH142" s="10" t="n">
        <f aca="false">1+(F142&gt;th_p1)+(F142&gt;th_p2)+(F142&gt;th_p3)+(F142&gt;th_p4)</f>
        <v>1</v>
      </c>
      <c r="AI142" s="10" t="n">
        <f aca="false">1+(G142&gt;th_p1)+(G142&gt;th_p2)+(G142&gt;th_p3)+(G142&gt;th_p4)</f>
        <v>2</v>
      </c>
      <c r="AJ142" s="10" t="str">
        <f aca="false">CHOOSE(1+(O142&gt;th_a)+(O142&gt;th_b)+(O142&gt;th_c)+(O142&gt;th_d),"A","B","C","D","E")</f>
        <v>D</v>
      </c>
      <c r="AK142" s="10" t="str">
        <f aca="false">INDEX($B$155:$F$159,MATCH(AH142,$A$155:$A$159,0),MATCH($AJ142,$B$154:$F$154,0))</f>
        <v>B</v>
      </c>
      <c r="AL142" s="10" t="str">
        <f aca="false">INDEX($B$155:$F$159,MATCH(AI142,$A$155:$A$159,0),MATCH($AJ142,$B$154:$F$154,0))</f>
        <v>M</v>
      </c>
      <c r="AM142" s="10" t="str">
        <f aca="false">IF(MATCH(AK142,$I$155:$I$158,0)&lt;=MATCH(risk_target,$I$155:$I$158,0),"Cumple","EXCEDE")</f>
        <v>Cumple</v>
      </c>
      <c r="AN142" s="10" t="str">
        <f aca="false">IF(MATCH(AL142,$I$155:$I$158,0)&lt;=MATCH(risk_target,$I$155:$I$158,0),"Cumple","EXCEDE")</f>
        <v>Cumple</v>
      </c>
      <c r="AO142" s="10" t="s">
        <v>234</v>
      </c>
      <c r="AP142" s="10" t="str">
        <f aca="false">IF(R142&gt;=0,"riesgo evitado esperado (no caja) ","riesgo ADICIONAL aceptado (no caja) ")&amp;TEXT(R142,"#,##0")&amp;" $/a; flujo caja C0−C1: "&amp;TEXT(AF142-AG142,"#,##0")&amp;" $"</f>
        <v>riesgo ADICIONAL aceptado (no caja) -312 $/a; flujo caja C0−C1: -10,000 $</v>
      </c>
      <c r="AQ142" s="10" t="s">
        <v>180</v>
      </c>
      <c r="AR142" s="10" t="str">
        <f aca="false">A142&amp;"|"&amp;B142</f>
        <v>V-220|2031</v>
      </c>
    </row>
    <row r="143" customFormat="false" ht="15" hidden="false" customHeight="false" outlineLevel="0" collapsed="false">
      <c r="A143" s="10" t="s">
        <v>151</v>
      </c>
      <c r="B143" s="22" t="n">
        <f aca="false">B113</f>
        <v>2032</v>
      </c>
      <c r="C143" s="10" t="n">
        <f aca="false">B143-base_year</f>
        <v>6</v>
      </c>
      <c r="D143" s="25" t="n">
        <f aca="false">INDEX($B$84:$B$85,MATCH($A143,$A$84:$A$85,0))</f>
        <v>3.06E-005</v>
      </c>
      <c r="E143" s="26" t="n">
        <f aca="false">fms</f>
        <v>0.398107170553497</v>
      </c>
      <c r="F143" s="18" t="n">
        <f aca="false">MIN(INDEX($D$84:$D$85,MATCH($A143,$A$84:$A$85,0)),IF(F113&lt;&gt;"",F113,F142*(1+D113)*E113))</f>
        <v>1.191016</v>
      </c>
      <c r="G143" s="18" t="n">
        <f aca="false">MIN(INDEX($D$84:$D$85,MATCH($A143,$A$84:$A$85,0)),IF(O113&lt;&gt;"",O113,G142*(1+M113)*N113))</f>
        <v>10.09981568</v>
      </c>
      <c r="H143" s="25" t="n">
        <f aca="false">D143*F143*E143</f>
        <v>1.45090515012247E-005</v>
      </c>
      <c r="I143" s="25" t="n">
        <f aca="false">D143*G143*E143</f>
        <v>0.000123036756730385</v>
      </c>
      <c r="J143" s="27" t="n">
        <f aca="false">INDEX($G$84:$G$85,MATCH($A143,$A$84:$A$85,0))*f_rep+INDEX($H$84:$H$85,MATCH($A143,$A$84:$A$85,0))*price_base*f_price</f>
        <v>950000</v>
      </c>
      <c r="K143" s="27" t="n">
        <f aca="false">INDEX($I$84:$I$85,MATCH($A143,$A$84:$A$85,0))</f>
        <v>400000</v>
      </c>
      <c r="L143" s="27" t="n">
        <f aca="false">INDEX($F$84:$F$85,MATCH($A143,$A$84:$A$85,0))*f_down*U143</f>
        <v>1200000</v>
      </c>
      <c r="M143" s="27" t="n">
        <f aca="false">INDEX($J$84:$J$85,MATCH($A143,$A$84:$A$85,0))</f>
        <v>300000</v>
      </c>
      <c r="N143" s="27" t="n">
        <f aca="false">INDEX($K$84:$K$85,MATCH($A143,$A$84:$A$85,0))</f>
        <v>200000</v>
      </c>
      <c r="O143" s="27" t="n">
        <f aca="false">SUM(J143:N143)</f>
        <v>3050000</v>
      </c>
      <c r="P143" s="27" t="n">
        <f aca="false">H143*O143</f>
        <v>44.2526070787353</v>
      </c>
      <c r="Q143" s="27" t="n">
        <f aca="false">I143*O143</f>
        <v>375.262108027675</v>
      </c>
      <c r="R143" s="27" t="n">
        <f aca="false">P143-Q143</f>
        <v>-331.00950094894</v>
      </c>
      <c r="S143" s="27" t="n">
        <f aca="false">R143*(O143-M143)/O143</f>
        <v>-298.451189380192</v>
      </c>
      <c r="T143" s="27" t="n">
        <f aca="false">R143-S143</f>
        <v>-32.5583115687482</v>
      </c>
      <c r="U143" s="27" t="n">
        <f aca="false">INDEX($E$84:$E$85,MATCH($A143,$A$84:$A$85,0))*margin_base*f_margin</f>
        <v>120000</v>
      </c>
      <c r="V143" s="27" t="n">
        <f aca="false">H113/24*U143*f_down</f>
        <v>0</v>
      </c>
      <c r="W143" s="27" t="n">
        <f aca="false">Q113/24*U143*f_down</f>
        <v>0</v>
      </c>
      <c r="X143" s="27" t="n">
        <f aca="false">G113*f_insp</f>
        <v>8000</v>
      </c>
      <c r="Y143" s="27" t="n">
        <f aca="false">P113*f_insp</f>
        <v>0</v>
      </c>
      <c r="Z143" s="27" t="n">
        <f aca="false">I113*f_rep</f>
        <v>0</v>
      </c>
      <c r="AA143" s="27" t="n">
        <f aca="false">R113*f_rep</f>
        <v>0</v>
      </c>
      <c r="AB143" s="27" t="n">
        <f aca="false">J113*f_rep</f>
        <v>0</v>
      </c>
      <c r="AC143" s="27" t="n">
        <f aca="false">S113*f_rep</f>
        <v>0</v>
      </c>
      <c r="AD143" s="27" t="n">
        <f aca="false">K113</f>
        <v>0</v>
      </c>
      <c r="AE143" s="27" t="n">
        <f aca="false">T113</f>
        <v>10000</v>
      </c>
      <c r="AF143" s="27" t="n">
        <f aca="false">V143+X143+Z143+AB143+AD143</f>
        <v>8000</v>
      </c>
      <c r="AG143" s="27" t="n">
        <f aca="false">W143+Y143+AA143+AC143+AE143</f>
        <v>10000</v>
      </c>
      <c r="AH143" s="10" t="n">
        <f aca="false">1+(F143&gt;th_p1)+(F143&gt;th_p2)+(F143&gt;th_p3)+(F143&gt;th_p4)</f>
        <v>1</v>
      </c>
      <c r="AI143" s="10" t="n">
        <f aca="false">1+(G143&gt;th_p1)+(G143&gt;th_p2)+(G143&gt;th_p3)+(G143&gt;th_p4)</f>
        <v>3</v>
      </c>
      <c r="AJ143" s="10" t="str">
        <f aca="false">CHOOSE(1+(O143&gt;th_a)+(O143&gt;th_b)+(O143&gt;th_c)+(O143&gt;th_d),"A","B","C","D","E")</f>
        <v>D</v>
      </c>
      <c r="AK143" s="10" t="str">
        <f aca="false">INDEX($B$155:$F$159,MATCH(AH143,$A$155:$A$159,0),MATCH($AJ143,$B$154:$F$154,0))</f>
        <v>B</v>
      </c>
      <c r="AL143" s="10" t="str">
        <f aca="false">INDEX($B$155:$F$159,MATCH(AI143,$A$155:$A$159,0),MATCH($AJ143,$B$154:$F$154,0))</f>
        <v>MA</v>
      </c>
      <c r="AM143" s="10" t="str">
        <f aca="false">IF(MATCH(AK143,$I$155:$I$158,0)&lt;=MATCH(risk_target,$I$155:$I$158,0),"Cumple","EXCEDE")</f>
        <v>Cumple</v>
      </c>
      <c r="AN143" s="10" t="str">
        <f aca="false">IF(MATCH(AL143,$I$155:$I$158,0)&lt;=MATCH(risk_target,$I$155:$I$158,0),"Cumple","EXCEDE")</f>
        <v>EXCEDE</v>
      </c>
      <c r="AO143" s="10" t="s">
        <v>234</v>
      </c>
      <c r="AP143" s="10" t="str">
        <f aca="false">IF(R143&gt;=0,"riesgo evitado esperado (no caja) ","riesgo ADICIONAL aceptado (no caja) ")&amp;TEXT(R143,"#,##0")&amp;" $/a; flujo caja C0−C1: "&amp;TEXT(AF143-AG143,"#,##0")&amp;" $"</f>
        <v>riesgo ADICIONAL aceptado (no caja) -331 $/a; flujo caja C0−C1: -2,000 $</v>
      </c>
      <c r="AQ143" s="10" t="s">
        <v>180</v>
      </c>
      <c r="AR143" s="10" t="str">
        <f aca="false">A143&amp;"|"&amp;B143</f>
        <v>V-220|2032</v>
      </c>
    </row>
    <row r="144" customFormat="false" ht="15" hidden="false" customHeight="false" outlineLevel="0" collapsed="false">
      <c r="A144" s="10" t="s">
        <v>151</v>
      </c>
      <c r="B144" s="22" t="n">
        <f aca="false">B114</f>
        <v>2033</v>
      </c>
      <c r="C144" s="10" t="n">
        <f aca="false">B144-base_year</f>
        <v>7</v>
      </c>
      <c r="D144" s="25" t="n">
        <f aca="false">INDEX($B$84:$B$85,MATCH($A144,$A$84:$A$85,0))</f>
        <v>3.06E-005</v>
      </c>
      <c r="E144" s="26" t="n">
        <f aca="false">fms</f>
        <v>0.398107170553497</v>
      </c>
      <c r="F144" s="18" t="n">
        <f aca="false">MIN(INDEX($D$84:$D$85,MATCH($A144,$A$84:$A$85,0)),IF(F114&lt;&gt;"",F114,F143*(1+D114)*E114))</f>
        <v>1.26247696</v>
      </c>
      <c r="G144" s="18" t="n">
        <f aca="false">MIN(INDEX($D$84:$D$85,MATCH($A144,$A$84:$A$85,0)),IF(O114&lt;&gt;"",O114,G143*(1+M114)*N114))</f>
        <v>6.42348277248</v>
      </c>
      <c r="H144" s="25" t="n">
        <f aca="false">D144*F144*E144</f>
        <v>1.53795945912982E-005</v>
      </c>
      <c r="I144" s="25" t="n">
        <f aca="false">D144*G144*E144</f>
        <v>7.82513772805251E-005</v>
      </c>
      <c r="J144" s="27" t="n">
        <f aca="false">INDEX($G$84:$G$85,MATCH($A144,$A$84:$A$85,0))*f_rep+INDEX($H$84:$H$85,MATCH($A144,$A$84:$A$85,0))*price_base*f_price</f>
        <v>950000</v>
      </c>
      <c r="K144" s="27" t="n">
        <f aca="false">INDEX($I$84:$I$85,MATCH($A144,$A$84:$A$85,0))</f>
        <v>400000</v>
      </c>
      <c r="L144" s="27" t="n">
        <f aca="false">INDEX($F$84:$F$85,MATCH($A144,$A$84:$A$85,0))*f_down*U144</f>
        <v>1200000</v>
      </c>
      <c r="M144" s="27" t="n">
        <f aca="false">INDEX($J$84:$J$85,MATCH($A144,$A$84:$A$85,0))</f>
        <v>300000</v>
      </c>
      <c r="N144" s="27" t="n">
        <f aca="false">INDEX($K$84:$K$85,MATCH($A144,$A$84:$A$85,0))</f>
        <v>200000</v>
      </c>
      <c r="O144" s="27" t="n">
        <f aca="false">SUM(J144:N144)</f>
        <v>3050000</v>
      </c>
      <c r="P144" s="27" t="n">
        <f aca="false">H144*O144</f>
        <v>46.9077635034594</v>
      </c>
      <c r="Q144" s="27" t="n">
        <f aca="false">I144*O144</f>
        <v>238.666700705602</v>
      </c>
      <c r="R144" s="27" t="n">
        <f aca="false">P144-Q144</f>
        <v>-191.758937202142</v>
      </c>
      <c r="S144" s="27" t="n">
        <f aca="false">R144*(O144-M144)/O144</f>
        <v>-172.897402395374</v>
      </c>
      <c r="T144" s="27" t="n">
        <f aca="false">R144-S144</f>
        <v>-18.8615348067681</v>
      </c>
      <c r="U144" s="27" t="n">
        <f aca="false">INDEX($E$84:$E$85,MATCH($A144,$A$84:$A$85,0))*margin_base*f_margin</f>
        <v>120000</v>
      </c>
      <c r="V144" s="27" t="n">
        <f aca="false">H114/24*U144*f_down</f>
        <v>0</v>
      </c>
      <c r="W144" s="27" t="n">
        <f aca="false">Q114/24*U144*f_down</f>
        <v>0</v>
      </c>
      <c r="X144" s="27" t="n">
        <f aca="false">G114*f_insp</f>
        <v>0</v>
      </c>
      <c r="Y144" s="27" t="n">
        <f aca="false">P114*f_insp</f>
        <v>40000</v>
      </c>
      <c r="Z144" s="27" t="n">
        <f aca="false">I114*f_rep</f>
        <v>0</v>
      </c>
      <c r="AA144" s="27" t="n">
        <f aca="false">R114*f_rep</f>
        <v>0</v>
      </c>
      <c r="AB144" s="27" t="n">
        <f aca="false">J114*f_rep</f>
        <v>0</v>
      </c>
      <c r="AC144" s="27" t="n">
        <f aca="false">S114*f_rep</f>
        <v>0</v>
      </c>
      <c r="AD144" s="27" t="n">
        <f aca="false">K114</f>
        <v>0</v>
      </c>
      <c r="AE144" s="27" t="n">
        <f aca="false">T114</f>
        <v>10000</v>
      </c>
      <c r="AF144" s="27" t="n">
        <f aca="false">V144+X144+Z144+AB144+AD144</f>
        <v>0</v>
      </c>
      <c r="AG144" s="27" t="n">
        <f aca="false">W144+Y144+AA144+AC144+AE144</f>
        <v>50000</v>
      </c>
      <c r="AH144" s="10" t="n">
        <f aca="false">1+(F144&gt;th_p1)+(F144&gt;th_p2)+(F144&gt;th_p3)+(F144&gt;th_p4)</f>
        <v>1</v>
      </c>
      <c r="AI144" s="10" t="n">
        <f aca="false">1+(G144&gt;th_p1)+(G144&gt;th_p2)+(G144&gt;th_p3)+(G144&gt;th_p4)</f>
        <v>2</v>
      </c>
      <c r="AJ144" s="10" t="str">
        <f aca="false">CHOOSE(1+(O144&gt;th_a)+(O144&gt;th_b)+(O144&gt;th_c)+(O144&gt;th_d),"A","B","C","D","E")</f>
        <v>D</v>
      </c>
      <c r="AK144" s="10" t="str">
        <f aca="false">INDEX($B$155:$F$159,MATCH(AH144,$A$155:$A$159,0),MATCH($AJ144,$B$154:$F$154,0))</f>
        <v>B</v>
      </c>
      <c r="AL144" s="10" t="str">
        <f aca="false">INDEX($B$155:$F$159,MATCH(AI144,$A$155:$A$159,0),MATCH($AJ144,$B$154:$F$154,0))</f>
        <v>M</v>
      </c>
      <c r="AM144" s="10" t="str">
        <f aca="false">IF(MATCH(AK144,$I$155:$I$158,0)&lt;=MATCH(risk_target,$I$155:$I$158,0),"Cumple","EXCEDE")</f>
        <v>Cumple</v>
      </c>
      <c r="AN144" s="10" t="str">
        <f aca="false">IF(MATCH(AL144,$I$155:$I$158,0)&lt;=MATCH(risk_target,$I$155:$I$158,0),"Cumple","EXCEDE")</f>
        <v>Cumple</v>
      </c>
      <c r="AO144" s="10" t="s">
        <v>234</v>
      </c>
      <c r="AP144" s="10" t="str">
        <f aca="false">IF(R144&gt;=0,"riesgo evitado esperado (no caja) ","riesgo ADICIONAL aceptado (no caja) ")&amp;TEXT(R144,"#,##0")&amp;" $/a; flujo caja C0−C1: "&amp;TEXT(AF144-AG144,"#,##0")&amp;" $"</f>
        <v>riesgo ADICIONAL aceptado (no caja) -192 $/a; flujo caja C0−C1: -50,000 $</v>
      </c>
      <c r="AQ144" s="10" t="s">
        <v>180</v>
      </c>
      <c r="AR144" s="10" t="str">
        <f aca="false">A144&amp;"|"&amp;B144</f>
        <v>V-220|2033</v>
      </c>
    </row>
    <row r="145" customFormat="false" ht="15" hidden="false" customHeight="false" outlineLevel="0" collapsed="false">
      <c r="A145" s="10" t="s">
        <v>151</v>
      </c>
      <c r="B145" s="22" t="n">
        <f aca="false">B115</f>
        <v>2034</v>
      </c>
      <c r="C145" s="10" t="n">
        <f aca="false">B145-base_year</f>
        <v>8</v>
      </c>
      <c r="D145" s="25" t="n">
        <f aca="false">INDEX($B$84:$B$85,MATCH($A145,$A$84:$A$85,0))</f>
        <v>3.06E-005</v>
      </c>
      <c r="E145" s="26" t="n">
        <f aca="false">fms</f>
        <v>0.398107170553497</v>
      </c>
      <c r="F145" s="18" t="n">
        <f aca="false">MIN(INDEX($D$84:$D$85,MATCH($A145,$A$84:$A$85,0)),IF(F115&lt;&gt;"",F115,F144*(1+D115)*E115))</f>
        <v>1.3382255776</v>
      </c>
      <c r="G145" s="18" t="n">
        <f aca="false">MIN(INDEX($D$84:$D$85,MATCH($A145,$A$84:$A$85,0)),IF(O115&lt;&gt;"",O115,G144*(1+M115)*N115))</f>
        <v>6.8088917388288</v>
      </c>
      <c r="H145" s="25" t="n">
        <f aca="false">D145*F145*E145</f>
        <v>1.63023702667761E-005</v>
      </c>
      <c r="I145" s="25" t="n">
        <f aca="false">D145*G145*E145</f>
        <v>8.29464599173566E-005</v>
      </c>
      <c r="J145" s="27" t="n">
        <f aca="false">INDEX($G$84:$G$85,MATCH($A145,$A$84:$A$85,0))*f_rep+INDEX($H$84:$H$85,MATCH($A145,$A$84:$A$85,0))*price_base*f_price</f>
        <v>950000</v>
      </c>
      <c r="K145" s="27" t="n">
        <f aca="false">INDEX($I$84:$I$85,MATCH($A145,$A$84:$A$85,0))</f>
        <v>400000</v>
      </c>
      <c r="L145" s="27" t="n">
        <f aca="false">INDEX($F$84:$F$85,MATCH($A145,$A$84:$A$85,0))*f_down*U145</f>
        <v>1200000</v>
      </c>
      <c r="M145" s="27" t="n">
        <f aca="false">INDEX($J$84:$J$85,MATCH($A145,$A$84:$A$85,0))</f>
        <v>300000</v>
      </c>
      <c r="N145" s="27" t="n">
        <f aca="false">INDEX($K$84:$K$85,MATCH($A145,$A$84:$A$85,0))</f>
        <v>200000</v>
      </c>
      <c r="O145" s="27" t="n">
        <f aca="false">SUM(J145:N145)</f>
        <v>3050000</v>
      </c>
      <c r="P145" s="27" t="n">
        <f aca="false">H145*O145</f>
        <v>49.722229313667</v>
      </c>
      <c r="Q145" s="27" t="n">
        <f aca="false">I145*O145</f>
        <v>252.986702747938</v>
      </c>
      <c r="R145" s="27" t="n">
        <f aca="false">P145-Q145</f>
        <v>-203.264473434271</v>
      </c>
      <c r="S145" s="27" t="n">
        <f aca="false">R145*(O145-M145)/O145</f>
        <v>-183.271246539096</v>
      </c>
      <c r="T145" s="27" t="n">
        <f aca="false">R145-S145</f>
        <v>-19.9932268951742</v>
      </c>
      <c r="U145" s="27" t="n">
        <f aca="false">INDEX($E$84:$E$85,MATCH($A145,$A$84:$A$85,0))*margin_base*f_margin</f>
        <v>120000</v>
      </c>
      <c r="V145" s="27" t="n">
        <f aca="false">H115/24*U145*f_down</f>
        <v>0</v>
      </c>
      <c r="W145" s="27" t="n">
        <f aca="false">Q115/24*U145*f_down</f>
        <v>0</v>
      </c>
      <c r="X145" s="27" t="n">
        <f aca="false">G115*f_insp</f>
        <v>0</v>
      </c>
      <c r="Y145" s="27" t="n">
        <f aca="false">P115*f_insp</f>
        <v>0</v>
      </c>
      <c r="Z145" s="27" t="n">
        <f aca="false">I115*f_rep</f>
        <v>0</v>
      </c>
      <c r="AA145" s="27" t="n">
        <f aca="false">R115*f_rep</f>
        <v>0</v>
      </c>
      <c r="AB145" s="27" t="n">
        <f aca="false">J115*f_rep</f>
        <v>0</v>
      </c>
      <c r="AC145" s="27" t="n">
        <f aca="false">S115*f_rep</f>
        <v>0</v>
      </c>
      <c r="AD145" s="27" t="n">
        <f aca="false">K115</f>
        <v>0</v>
      </c>
      <c r="AE145" s="27" t="n">
        <f aca="false">T115</f>
        <v>10000</v>
      </c>
      <c r="AF145" s="27" t="n">
        <f aca="false">V145+X145+Z145+AB145+AD145</f>
        <v>0</v>
      </c>
      <c r="AG145" s="27" t="n">
        <f aca="false">W145+Y145+AA145+AC145+AE145</f>
        <v>10000</v>
      </c>
      <c r="AH145" s="10" t="n">
        <f aca="false">1+(F145&gt;th_p1)+(F145&gt;th_p2)+(F145&gt;th_p3)+(F145&gt;th_p4)</f>
        <v>1</v>
      </c>
      <c r="AI145" s="10" t="n">
        <f aca="false">1+(G145&gt;th_p1)+(G145&gt;th_p2)+(G145&gt;th_p3)+(G145&gt;th_p4)</f>
        <v>2</v>
      </c>
      <c r="AJ145" s="10" t="str">
        <f aca="false">CHOOSE(1+(O145&gt;th_a)+(O145&gt;th_b)+(O145&gt;th_c)+(O145&gt;th_d),"A","B","C","D","E")</f>
        <v>D</v>
      </c>
      <c r="AK145" s="10" t="str">
        <f aca="false">INDEX($B$155:$F$159,MATCH(AH145,$A$155:$A$159,0),MATCH($AJ145,$B$154:$F$154,0))</f>
        <v>B</v>
      </c>
      <c r="AL145" s="10" t="str">
        <f aca="false">INDEX($B$155:$F$159,MATCH(AI145,$A$155:$A$159,0),MATCH($AJ145,$B$154:$F$154,0))</f>
        <v>M</v>
      </c>
      <c r="AM145" s="10" t="str">
        <f aca="false">IF(MATCH(AK145,$I$155:$I$158,0)&lt;=MATCH(risk_target,$I$155:$I$158,0),"Cumple","EXCEDE")</f>
        <v>Cumple</v>
      </c>
      <c r="AN145" s="10" t="str">
        <f aca="false">IF(MATCH(AL145,$I$155:$I$158,0)&lt;=MATCH(risk_target,$I$155:$I$158,0),"Cumple","EXCEDE")</f>
        <v>Cumple</v>
      </c>
      <c r="AO145" s="10" t="s">
        <v>234</v>
      </c>
      <c r="AP145" s="10" t="str">
        <f aca="false">IF(R145&gt;=0,"riesgo evitado esperado (no caja) ","riesgo ADICIONAL aceptado (no caja) ")&amp;TEXT(R145,"#,##0")&amp;" $/a; flujo caja C0−C1: "&amp;TEXT(AF145-AG145,"#,##0")&amp;" $"</f>
        <v>riesgo ADICIONAL aceptado (no caja) -203 $/a; flujo caja C0−C1: -10,000 $</v>
      </c>
      <c r="AQ145" s="10" t="s">
        <v>180</v>
      </c>
      <c r="AR145" s="10" t="str">
        <f aca="false">A145&amp;"|"&amp;B145</f>
        <v>V-220|2034</v>
      </c>
    </row>
    <row r="146" customFormat="false" ht="15" hidden="false" customHeight="false" outlineLevel="0" collapsed="false">
      <c r="A146" s="10" t="s">
        <v>151</v>
      </c>
      <c r="B146" s="22" t="n">
        <f aca="false">B116</f>
        <v>2035</v>
      </c>
      <c r="C146" s="10" t="n">
        <f aca="false">B146-base_year</f>
        <v>9</v>
      </c>
      <c r="D146" s="25" t="n">
        <f aca="false">INDEX($B$84:$B$85,MATCH($A146,$A$84:$A$85,0))</f>
        <v>3.06E-005</v>
      </c>
      <c r="E146" s="26" t="n">
        <f aca="false">fms</f>
        <v>0.398107170553497</v>
      </c>
      <c r="F146" s="18" t="n">
        <f aca="false">MIN(INDEX($D$84:$D$85,MATCH($A146,$A$84:$A$85,0)),IF(F116&lt;&gt;"",F116,F145*(1+D116)*E116))</f>
        <v>1.418519112256</v>
      </c>
      <c r="G146" s="18" t="n">
        <f aca="false">MIN(INDEX($D$84:$D$85,MATCH($A146,$A$84:$A$85,0)),IF(O116&lt;&gt;"",O116,G145*(1+M116)*N116))</f>
        <v>7.21742524315853</v>
      </c>
      <c r="H146" s="25" t="n">
        <f aca="false">D146*F146*E146</f>
        <v>1.72805124827826E-005</v>
      </c>
      <c r="I146" s="25" t="n">
        <f aca="false">D146*G146*E146</f>
        <v>8.7923247512398E-005</v>
      </c>
      <c r="J146" s="27" t="n">
        <f aca="false">INDEX($G$84:$G$85,MATCH($A146,$A$84:$A$85,0))*f_rep+INDEX($H$84:$H$85,MATCH($A146,$A$84:$A$85,0))*price_base*f_price</f>
        <v>950000</v>
      </c>
      <c r="K146" s="27" t="n">
        <f aca="false">INDEX($I$84:$I$85,MATCH($A146,$A$84:$A$85,0))</f>
        <v>400000</v>
      </c>
      <c r="L146" s="27" t="n">
        <f aca="false">INDEX($F$84:$F$85,MATCH($A146,$A$84:$A$85,0))*f_down*U146</f>
        <v>1200000</v>
      </c>
      <c r="M146" s="27" t="n">
        <f aca="false">INDEX($J$84:$J$85,MATCH($A146,$A$84:$A$85,0))</f>
        <v>300000</v>
      </c>
      <c r="N146" s="27" t="n">
        <f aca="false">INDEX($K$84:$K$85,MATCH($A146,$A$84:$A$85,0))</f>
        <v>200000</v>
      </c>
      <c r="O146" s="27" t="n">
        <f aca="false">SUM(J146:N146)</f>
        <v>3050000</v>
      </c>
      <c r="P146" s="27" t="n">
        <f aca="false">H146*O146</f>
        <v>52.705563072487</v>
      </c>
      <c r="Q146" s="27" t="n">
        <f aca="false">I146*O146</f>
        <v>268.165904912814</v>
      </c>
      <c r="R146" s="27" t="n">
        <f aca="false">P146-Q146</f>
        <v>-215.460341840327</v>
      </c>
      <c r="S146" s="27" t="n">
        <f aca="false">R146*(O146-M146)/O146</f>
        <v>-194.267521331442</v>
      </c>
      <c r="T146" s="27" t="n">
        <f aca="false">R146-S146</f>
        <v>-21.1928205088846</v>
      </c>
      <c r="U146" s="27" t="n">
        <f aca="false">INDEX($E$84:$E$85,MATCH($A146,$A$84:$A$85,0))*margin_base*f_margin</f>
        <v>120000</v>
      </c>
      <c r="V146" s="27" t="n">
        <f aca="false">H116/24*U146*f_down</f>
        <v>0</v>
      </c>
      <c r="W146" s="27" t="n">
        <f aca="false">Q116/24*U146*f_down</f>
        <v>0</v>
      </c>
      <c r="X146" s="27" t="n">
        <f aca="false">G116*f_insp</f>
        <v>0</v>
      </c>
      <c r="Y146" s="27" t="n">
        <f aca="false">P116*f_insp</f>
        <v>0</v>
      </c>
      <c r="Z146" s="27" t="n">
        <f aca="false">I116*f_rep</f>
        <v>0</v>
      </c>
      <c r="AA146" s="27" t="n">
        <f aca="false">R116*f_rep</f>
        <v>0</v>
      </c>
      <c r="AB146" s="27" t="n">
        <f aca="false">J116*f_rep</f>
        <v>0</v>
      </c>
      <c r="AC146" s="27" t="n">
        <f aca="false">S116*f_rep</f>
        <v>0</v>
      </c>
      <c r="AD146" s="27" t="n">
        <f aca="false">K116</f>
        <v>0</v>
      </c>
      <c r="AE146" s="27" t="n">
        <f aca="false">T116</f>
        <v>10000</v>
      </c>
      <c r="AF146" s="27" t="n">
        <f aca="false">V146+X146+Z146+AB146+AD146</f>
        <v>0</v>
      </c>
      <c r="AG146" s="27" t="n">
        <f aca="false">W146+Y146+AA146+AC146+AE146</f>
        <v>10000</v>
      </c>
      <c r="AH146" s="10" t="n">
        <f aca="false">1+(F146&gt;th_p1)+(F146&gt;th_p2)+(F146&gt;th_p3)+(F146&gt;th_p4)</f>
        <v>1</v>
      </c>
      <c r="AI146" s="10" t="n">
        <f aca="false">1+(G146&gt;th_p1)+(G146&gt;th_p2)+(G146&gt;th_p3)+(G146&gt;th_p4)</f>
        <v>2</v>
      </c>
      <c r="AJ146" s="10" t="str">
        <f aca="false">CHOOSE(1+(O146&gt;th_a)+(O146&gt;th_b)+(O146&gt;th_c)+(O146&gt;th_d),"A","B","C","D","E")</f>
        <v>D</v>
      </c>
      <c r="AK146" s="10" t="str">
        <f aca="false">INDEX($B$155:$F$159,MATCH(AH146,$A$155:$A$159,0),MATCH($AJ146,$B$154:$F$154,0))</f>
        <v>B</v>
      </c>
      <c r="AL146" s="10" t="str">
        <f aca="false">INDEX($B$155:$F$159,MATCH(AI146,$A$155:$A$159,0),MATCH($AJ146,$B$154:$F$154,0))</f>
        <v>M</v>
      </c>
      <c r="AM146" s="10" t="str">
        <f aca="false">IF(MATCH(AK146,$I$155:$I$158,0)&lt;=MATCH(risk_target,$I$155:$I$158,0),"Cumple","EXCEDE")</f>
        <v>Cumple</v>
      </c>
      <c r="AN146" s="10" t="str">
        <f aca="false">IF(MATCH(AL146,$I$155:$I$158,0)&lt;=MATCH(risk_target,$I$155:$I$158,0),"Cumple","EXCEDE")</f>
        <v>Cumple</v>
      </c>
      <c r="AO146" s="10" t="s">
        <v>234</v>
      </c>
      <c r="AP146" s="10" t="str">
        <f aca="false">IF(R146&gt;=0,"riesgo evitado esperado (no caja) ","riesgo ADICIONAL aceptado (no caja) ")&amp;TEXT(R146,"#,##0")&amp;" $/a; flujo caja C0−C1: "&amp;TEXT(AF146-AG146,"#,##0")&amp;" $"</f>
        <v>riesgo ADICIONAL aceptado (no caja) -215 $/a; flujo caja C0−C1: -10,000 $</v>
      </c>
      <c r="AQ146" s="10" t="s">
        <v>180</v>
      </c>
      <c r="AR146" s="10" t="str">
        <f aca="false">A146&amp;"|"&amp;B146</f>
        <v>V-220|2035</v>
      </c>
    </row>
    <row r="147" customFormat="false" ht="15" hidden="false" customHeight="false" outlineLevel="0" collapsed="false">
      <c r="A147" s="10" t="s">
        <v>151</v>
      </c>
      <c r="B147" s="22" t="n">
        <f aca="false">B117</f>
        <v>2036</v>
      </c>
      <c r="C147" s="10" t="n">
        <f aca="false">B147-base_year</f>
        <v>10</v>
      </c>
      <c r="D147" s="25" t="n">
        <f aca="false">INDEX($B$84:$B$85,MATCH($A147,$A$84:$A$85,0))</f>
        <v>3.06E-005</v>
      </c>
      <c r="E147" s="26" t="n">
        <f aca="false">fms</f>
        <v>0.398107170553497</v>
      </c>
      <c r="F147" s="18" t="n">
        <f aca="false">MIN(INDEX($D$84:$D$85,MATCH($A147,$A$84:$A$85,0)),IF(F117&lt;&gt;"",F117,F146*(1+D117)*E117))</f>
        <v>1.50363025899136</v>
      </c>
      <c r="G147" s="18" t="n">
        <f aca="false">MIN(INDEX($D$84:$D$85,MATCH($A147,$A$84:$A$85,0)),IF(O117&lt;&gt;"",O117,G146*(1+M117)*N117))</f>
        <v>7.65047075774804</v>
      </c>
      <c r="H147" s="25" t="n">
        <f aca="false">D147*F147*E147</f>
        <v>1.83173432317496E-005</v>
      </c>
      <c r="I147" s="25" t="n">
        <f aca="false">D147*G147*E147</f>
        <v>9.31986423631419E-005</v>
      </c>
      <c r="J147" s="27" t="n">
        <f aca="false">INDEX($G$84:$G$85,MATCH($A147,$A$84:$A$85,0))*f_rep+INDEX($H$84:$H$85,MATCH($A147,$A$84:$A$85,0))*price_base*f_price</f>
        <v>950000</v>
      </c>
      <c r="K147" s="27" t="n">
        <f aca="false">INDEX($I$84:$I$85,MATCH($A147,$A$84:$A$85,0))</f>
        <v>400000</v>
      </c>
      <c r="L147" s="27" t="n">
        <f aca="false">INDEX($F$84:$F$85,MATCH($A147,$A$84:$A$85,0))*f_down*U147</f>
        <v>1200000</v>
      </c>
      <c r="M147" s="27" t="n">
        <f aca="false">INDEX($J$84:$J$85,MATCH($A147,$A$84:$A$85,0))</f>
        <v>300000</v>
      </c>
      <c r="N147" s="27" t="n">
        <f aca="false">INDEX($K$84:$K$85,MATCH($A147,$A$84:$A$85,0))</f>
        <v>200000</v>
      </c>
      <c r="O147" s="27" t="n">
        <f aca="false">SUM(J147:N147)</f>
        <v>3050000</v>
      </c>
      <c r="P147" s="27" t="n">
        <f aca="false">H147*O147</f>
        <v>55.8678968568362</v>
      </c>
      <c r="Q147" s="27" t="n">
        <f aca="false">I147*O147</f>
        <v>284.255859207583</v>
      </c>
      <c r="R147" s="27" t="n">
        <f aca="false">P147-Q147</f>
        <v>-228.387962350746</v>
      </c>
      <c r="S147" s="27" t="n">
        <f aca="false">R147*(O147-M147)/O147</f>
        <v>-205.923572611329</v>
      </c>
      <c r="T147" s="27" t="n">
        <f aca="false">R147-S147</f>
        <v>-22.4643897394177</v>
      </c>
      <c r="U147" s="27" t="n">
        <f aca="false">INDEX($E$84:$E$85,MATCH($A147,$A$84:$A$85,0))*margin_base*f_margin</f>
        <v>120000</v>
      </c>
      <c r="V147" s="27" t="n">
        <f aca="false">H117/24*U147*f_down</f>
        <v>0</v>
      </c>
      <c r="W147" s="27" t="n">
        <f aca="false">Q117/24*U147*f_down</f>
        <v>0</v>
      </c>
      <c r="X147" s="27" t="n">
        <f aca="false">G117*f_insp</f>
        <v>0</v>
      </c>
      <c r="Y147" s="27" t="n">
        <f aca="false">P117*f_insp</f>
        <v>0</v>
      </c>
      <c r="Z147" s="27" t="n">
        <f aca="false">I117*f_rep</f>
        <v>0</v>
      </c>
      <c r="AA147" s="27" t="n">
        <f aca="false">R117*f_rep</f>
        <v>0</v>
      </c>
      <c r="AB147" s="27" t="n">
        <f aca="false">J117*f_rep</f>
        <v>0</v>
      </c>
      <c r="AC147" s="27" t="n">
        <f aca="false">S117*f_rep</f>
        <v>0</v>
      </c>
      <c r="AD147" s="27" t="n">
        <f aca="false">K117</f>
        <v>0</v>
      </c>
      <c r="AE147" s="27" t="n">
        <f aca="false">T117</f>
        <v>10000</v>
      </c>
      <c r="AF147" s="27" t="n">
        <f aca="false">V147+X147+Z147+AB147+AD147</f>
        <v>0</v>
      </c>
      <c r="AG147" s="27" t="n">
        <f aca="false">W147+Y147+AA147+AC147+AE147</f>
        <v>10000</v>
      </c>
      <c r="AH147" s="10" t="n">
        <f aca="false">1+(F147&gt;th_p1)+(F147&gt;th_p2)+(F147&gt;th_p3)+(F147&gt;th_p4)</f>
        <v>1</v>
      </c>
      <c r="AI147" s="10" t="n">
        <f aca="false">1+(G147&gt;th_p1)+(G147&gt;th_p2)+(G147&gt;th_p3)+(G147&gt;th_p4)</f>
        <v>2</v>
      </c>
      <c r="AJ147" s="10" t="str">
        <f aca="false">CHOOSE(1+(O147&gt;th_a)+(O147&gt;th_b)+(O147&gt;th_c)+(O147&gt;th_d),"A","B","C","D","E")</f>
        <v>D</v>
      </c>
      <c r="AK147" s="10" t="str">
        <f aca="false">INDEX($B$155:$F$159,MATCH(AH147,$A$155:$A$159,0),MATCH($AJ147,$B$154:$F$154,0))</f>
        <v>B</v>
      </c>
      <c r="AL147" s="10" t="str">
        <f aca="false">INDEX($B$155:$F$159,MATCH(AI147,$A$155:$A$159,0),MATCH($AJ147,$B$154:$F$154,0))</f>
        <v>M</v>
      </c>
      <c r="AM147" s="10" t="str">
        <f aca="false">IF(MATCH(AK147,$I$155:$I$158,0)&lt;=MATCH(risk_target,$I$155:$I$158,0),"Cumple","EXCEDE")</f>
        <v>Cumple</v>
      </c>
      <c r="AN147" s="10" t="str">
        <f aca="false">IF(MATCH(AL147,$I$155:$I$158,0)&lt;=MATCH(risk_target,$I$155:$I$158,0),"Cumple","EXCEDE")</f>
        <v>Cumple</v>
      </c>
      <c r="AO147" s="10" t="s">
        <v>234</v>
      </c>
      <c r="AP147" s="10" t="str">
        <f aca="false">IF(R147&gt;=0,"riesgo evitado esperado (no caja) ","riesgo ADICIONAL aceptado (no caja) ")&amp;TEXT(R147,"#,##0")&amp;" $/a; flujo caja C0−C1: "&amp;TEXT(AF147-AG147,"#,##0")&amp;" $"</f>
        <v>riesgo ADICIONAL aceptado (no caja) -228 $/a; flujo caja C0−C1: -10,000 $</v>
      </c>
      <c r="AQ147" s="10" t="s">
        <v>180</v>
      </c>
      <c r="AR147" s="10" t="str">
        <f aca="false">A147&amp;"|"&amp;B147</f>
        <v>V-220|2036</v>
      </c>
    </row>
    <row r="150" customFormat="false" ht="15" hidden="false" customHeight="false" outlineLevel="0" collapsed="false">
      <c r="A150" s="3" t="s">
        <v>235</v>
      </c>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customFormat="false" ht="17.35" hidden="false" customHeight="false" outlineLevel="0" collapsed="false">
      <c r="A151" s="7" t="s">
        <v>236</v>
      </c>
    </row>
    <row r="152" customFormat="false" ht="15" hidden="false" customHeight="false" outlineLevel="0" collapsed="false">
      <c r="A152" s="8" t="s">
        <v>237</v>
      </c>
    </row>
    <row r="153" customFormat="false" ht="15" hidden="false" customHeight="false" outlineLevel="0" collapsed="false">
      <c r="A153" s="2" t="s">
        <v>22</v>
      </c>
    </row>
    <row r="154" customFormat="false" ht="28.35" hidden="false" customHeight="false" outlineLevel="0" collapsed="false">
      <c r="A154" s="17" t="s">
        <v>238</v>
      </c>
      <c r="B154" s="17" t="s">
        <v>239</v>
      </c>
      <c r="C154" s="17" t="s">
        <v>240</v>
      </c>
      <c r="D154" s="17" t="s">
        <v>241</v>
      </c>
      <c r="E154" s="17" t="s">
        <v>242</v>
      </c>
      <c r="F154" s="17" t="s">
        <v>243</v>
      </c>
      <c r="H154" s="9" t="s">
        <v>244</v>
      </c>
      <c r="I154" s="9" t="s">
        <v>245</v>
      </c>
      <c r="J154" s="9" t="s">
        <v>246</v>
      </c>
      <c r="K154" s="9" t="s">
        <v>247</v>
      </c>
    </row>
    <row r="155" customFormat="false" ht="15" hidden="false" customHeight="false" outlineLevel="0" collapsed="false">
      <c r="A155" s="17" t="n">
        <v>5</v>
      </c>
      <c r="B155" s="28" t="str">
        <f aca="false">IF($A155+1&lt;=5,"B",IF($A155+1=6,"M",IF($A155+1=7,"MA","A")))</f>
        <v>M</v>
      </c>
      <c r="C155" s="28" t="str">
        <f aca="false">IF($A155+2&lt;=5,"B",IF($A155+2=6,"M",IF($A155+2=7,"MA","A")))</f>
        <v>MA</v>
      </c>
      <c r="D155" s="28" t="str">
        <f aca="false">IF($A155+3&lt;=5,"B",IF($A155+3=6,"M",IF($A155+3=7,"MA","A")))</f>
        <v>A</v>
      </c>
      <c r="E155" s="28" t="str">
        <f aca="false">IF($A155+4&lt;=5,"B",IF($A155+4=6,"M",IF($A155+4=7,"MA","A")))</f>
        <v>A</v>
      </c>
      <c r="F155" s="28" t="str">
        <f aca="false">IF($A155+5&lt;=5,"B",IF($A155+5=6,"M",IF($A155+5=7,"MA","A")))</f>
        <v>A</v>
      </c>
      <c r="H155" s="10" t="s">
        <v>240</v>
      </c>
      <c r="I155" s="10" t="s">
        <v>240</v>
      </c>
      <c r="J155" s="10" t="n">
        <v>1</v>
      </c>
      <c r="K155" s="10" t="s">
        <v>54</v>
      </c>
    </row>
    <row r="156" customFormat="false" ht="15" hidden="false" customHeight="false" outlineLevel="0" collapsed="false">
      <c r="A156" s="17" t="n">
        <v>4</v>
      </c>
      <c r="B156" s="28" t="str">
        <f aca="false">IF($A156+1&lt;=5,"B",IF($A156+1=6,"M",IF($A156+1=7,"MA","A")))</f>
        <v>B</v>
      </c>
      <c r="C156" s="28" t="str">
        <f aca="false">IF($A156+2&lt;=5,"B",IF($A156+2=6,"M",IF($A156+2=7,"MA","A")))</f>
        <v>M</v>
      </c>
      <c r="D156" s="28" t="str">
        <f aca="false">IF($A156+3&lt;=5,"B",IF($A156+3=6,"M",IF($A156+3=7,"MA","A")))</f>
        <v>MA</v>
      </c>
      <c r="E156" s="28" t="str">
        <f aca="false">IF($A156+4&lt;=5,"B",IF($A156+4=6,"M",IF($A156+4=7,"MA","A")))</f>
        <v>A</v>
      </c>
      <c r="F156" s="28" t="str">
        <f aca="false">IF($A156+5&lt;=5,"B",IF($A156+5=6,"M",IF($A156+5=7,"MA","A")))</f>
        <v>A</v>
      </c>
      <c r="H156" s="10" t="s">
        <v>49</v>
      </c>
      <c r="I156" s="10" t="s">
        <v>49</v>
      </c>
      <c r="J156" s="10" t="n">
        <v>2</v>
      </c>
      <c r="K156" s="10" t="s">
        <v>128</v>
      </c>
    </row>
    <row r="157" customFormat="false" ht="15" hidden="false" customHeight="false" outlineLevel="0" collapsed="false">
      <c r="A157" s="17" t="n">
        <v>3</v>
      </c>
      <c r="B157" s="28" t="str">
        <f aca="false">IF($A157+1&lt;=5,"B",IF($A157+1=6,"M",IF($A157+1=7,"MA","A")))</f>
        <v>B</v>
      </c>
      <c r="C157" s="28" t="str">
        <f aca="false">IF($A157+2&lt;=5,"B",IF($A157+2=6,"M",IF($A157+2=7,"MA","A")))</f>
        <v>B</v>
      </c>
      <c r="D157" s="28" t="str">
        <f aca="false">IF($A157+3&lt;=5,"B",IF($A157+3=6,"M",IF($A157+3=7,"MA","A")))</f>
        <v>M</v>
      </c>
      <c r="E157" s="28" t="str">
        <f aca="false">IF($A157+4&lt;=5,"B",IF($A157+4=6,"M",IF($A157+4=7,"MA","A")))</f>
        <v>MA</v>
      </c>
      <c r="F157" s="28" t="str">
        <f aca="false">IF($A157+5&lt;=5,"B",IF($A157+5=6,"M",IF($A157+5=7,"MA","A")))</f>
        <v>A</v>
      </c>
      <c r="H157" s="10" t="s">
        <v>248</v>
      </c>
      <c r="I157" s="10" t="s">
        <v>248</v>
      </c>
      <c r="J157" s="10" t="n">
        <v>3</v>
      </c>
      <c r="K157" s="10" t="s">
        <v>249</v>
      </c>
    </row>
    <row r="158" customFormat="false" ht="15" hidden="false" customHeight="false" outlineLevel="0" collapsed="false">
      <c r="A158" s="17" t="n">
        <v>2</v>
      </c>
      <c r="B158" s="28" t="str">
        <f aca="false">IF($A158+1&lt;=5,"B",IF($A158+1=6,"M",IF($A158+1=7,"MA","A")))</f>
        <v>B</v>
      </c>
      <c r="C158" s="28" t="str">
        <f aca="false">IF($A158+2&lt;=5,"B",IF($A158+2=6,"M",IF($A158+2=7,"MA","A")))</f>
        <v>B</v>
      </c>
      <c r="D158" s="28" t="str">
        <f aca="false">IF($A158+3&lt;=5,"B",IF($A158+3=6,"M",IF($A158+3=7,"MA","A")))</f>
        <v>B</v>
      </c>
      <c r="E158" s="28" t="str">
        <f aca="false">IF($A158+4&lt;=5,"B",IF($A158+4=6,"M",IF($A158+4=7,"MA","A")))</f>
        <v>M</v>
      </c>
      <c r="F158" s="28" t="str">
        <f aca="false">IF($A158+5&lt;=5,"B",IF($A158+5=6,"M",IF($A158+5=7,"MA","A")))</f>
        <v>MA</v>
      </c>
      <c r="H158" s="10" t="s">
        <v>239</v>
      </c>
      <c r="I158" s="10" t="s">
        <v>239</v>
      </c>
      <c r="J158" s="10" t="n">
        <v>4</v>
      </c>
      <c r="K158" s="10" t="s">
        <v>56</v>
      </c>
    </row>
    <row r="159" customFormat="false" ht="15" hidden="false" customHeight="false" outlineLevel="0" collapsed="false">
      <c r="A159" s="17" t="n">
        <v>1</v>
      </c>
      <c r="B159" s="28" t="str">
        <f aca="false">IF($A159+1&lt;=5,"B",IF($A159+1=6,"M",IF($A159+1=7,"MA","A")))</f>
        <v>B</v>
      </c>
      <c r="C159" s="28" t="str">
        <f aca="false">IF($A159+2&lt;=5,"B",IF($A159+2=6,"M",IF($A159+2=7,"MA","A")))</f>
        <v>B</v>
      </c>
      <c r="D159" s="28" t="str">
        <f aca="false">IF($A159+3&lt;=5,"B",IF($A159+3=6,"M",IF($A159+3=7,"MA","A")))</f>
        <v>B</v>
      </c>
      <c r="E159" s="28" t="str">
        <f aca="false">IF($A159+4&lt;=5,"B",IF($A159+4=6,"M",IF($A159+4=7,"MA","A")))</f>
        <v>B</v>
      </c>
      <c r="F159" s="28" t="str">
        <f aca="false">IF($A159+5&lt;=5,"B",IF($A159+5=6,"M",IF($A159+5=7,"MA","A")))</f>
        <v>M</v>
      </c>
    </row>
    <row r="161" customFormat="false" ht="15" hidden="false" customHeight="false" outlineLevel="0" collapsed="false">
      <c r="A161" s="10" t="s">
        <v>250</v>
      </c>
      <c r="B161" s="29" t="n">
        <v>2026</v>
      </c>
    </row>
    <row r="162" customFormat="false" ht="15" hidden="false" customHeight="false" outlineLevel="0" collapsed="false">
      <c r="A162" s="10" t="s">
        <v>251</v>
      </c>
      <c r="B162" s="29" t="n">
        <v>2036</v>
      </c>
    </row>
    <row r="164" customFormat="false" ht="28.35" hidden="false" customHeight="false" outlineLevel="0" collapsed="false">
      <c r="A164" s="9" t="s">
        <v>135</v>
      </c>
      <c r="B164" s="9" t="s">
        <v>158</v>
      </c>
      <c r="C164" s="9" t="s">
        <v>252</v>
      </c>
      <c r="D164" s="9" t="s">
        <v>253</v>
      </c>
      <c r="E164" s="9" t="s">
        <v>254</v>
      </c>
      <c r="F164" s="9" t="s">
        <v>255</v>
      </c>
      <c r="G164" s="9" t="s">
        <v>256</v>
      </c>
      <c r="H164" s="9" t="s">
        <v>127</v>
      </c>
      <c r="I164" s="9" t="s">
        <v>257</v>
      </c>
      <c r="J164" s="9" t="s">
        <v>258</v>
      </c>
      <c r="K164" s="9" t="s">
        <v>259</v>
      </c>
      <c r="L164" s="9" t="s">
        <v>260</v>
      </c>
      <c r="M164" s="9" t="s">
        <v>261</v>
      </c>
      <c r="N164" s="9" t="s">
        <v>262</v>
      </c>
      <c r="O164" s="9" t="s">
        <v>26</v>
      </c>
      <c r="P164" s="9" t="s">
        <v>27</v>
      </c>
    </row>
    <row r="165" customFormat="false" ht="15" hidden="false" customHeight="false" outlineLevel="0" collapsed="false">
      <c r="A165" s="10" t="s">
        <v>148</v>
      </c>
      <c r="B165" s="22" t="n">
        <f aca="false">y_ini</f>
        <v>2026</v>
      </c>
      <c r="C165" s="10" t="n">
        <f aca="false">INDEX($AH$126:$AH$147,MATCH($A165&amp;"|"&amp;$B165,$AR$126:$AR$147,0))</f>
        <v>4</v>
      </c>
      <c r="D165" s="10" t="str">
        <f aca="false">INDEX($AJ$126:$AJ$147,MATCH($A165&amp;"|"&amp;$B165,$AR$126:$AR$147,0))</f>
        <v>E</v>
      </c>
      <c r="E165" s="10" t="str">
        <f aca="false">INDEX($AK$126:$AK$147,MATCH($A165&amp;"|"&amp;$B165,$AR$126:$AR$147,0))</f>
        <v>A</v>
      </c>
      <c r="F165" s="10" t="n">
        <f aca="false">INDEX($AI$126:$AI$147,MATCH($A165&amp;"|"&amp;$B165,$AR$126:$AR$147,0))</f>
        <v>4</v>
      </c>
      <c r="G165" s="10" t="str">
        <f aca="false">INDEX($AL$126:$AL$147,MATCH($A165&amp;"|"&amp;$B165,$AR$126:$AR$147,0))</f>
        <v>A</v>
      </c>
      <c r="H165" s="10" t="str">
        <f aca="false">risk_target</f>
        <v>M</v>
      </c>
      <c r="I165" s="10" t="str">
        <f aca="false">IF(MATCH(E165,$I$155:$I$158,0)&lt;=MATCH(H165,$I$155:$I$158,0),"Cumple","EXCEDE")</f>
        <v>EXCEDE</v>
      </c>
      <c r="J165" s="10" t="str">
        <f aca="false">IF(MATCH(G165,$I$155:$I$158,0)&lt;=MATCH(H165,$I$155:$I$158,0),"Cumple","EXCEDE")</f>
        <v>EXCEDE</v>
      </c>
      <c r="K165" s="30" t="n">
        <f aca="false">INDEX($F$126:$F$147,MATCH($A165&amp;"|"&amp;$B165,$AR$126:$AR$147,0))</f>
        <v>40</v>
      </c>
      <c r="L165" s="30" t="n">
        <f aca="false">INDEX($G$126:$G$147,MATCH($A165&amp;"|"&amp;$B165,$AR$126:$AR$147,0))</f>
        <v>40</v>
      </c>
      <c r="M165" s="31" t="n">
        <f aca="false">INDEX($P$126:$P$147,MATCH($A165&amp;"|"&amp;$B165,$AR$126:$AR$147,0))</f>
        <v>134002.873608307</v>
      </c>
      <c r="N165" s="31" t="n">
        <f aca="false">INDEX($Q$126:$Q$147,MATCH($A165&amp;"|"&amp;$B165,$AR$126:$AR$147,0))</f>
        <v>134002.873608307</v>
      </c>
      <c r="O165" s="10" t="s">
        <v>263</v>
      </c>
      <c r="P165" s="10" t="s">
        <v>35</v>
      </c>
    </row>
    <row r="166" customFormat="false" ht="15" hidden="false" customHeight="false" outlineLevel="0" collapsed="false">
      <c r="A166" s="10" t="s">
        <v>148</v>
      </c>
      <c r="B166" s="22" t="n">
        <f aca="false">y_fin</f>
        <v>2036</v>
      </c>
      <c r="C166" s="10" t="n">
        <f aca="false">INDEX($AH$126:$AH$147,MATCH($A166&amp;"|"&amp;$B166,$AR$126:$AR$147,0))</f>
        <v>4</v>
      </c>
      <c r="D166" s="10" t="str">
        <f aca="false">INDEX($AJ$126:$AJ$147,MATCH($A166&amp;"|"&amp;$B166,$AR$126:$AR$147,0))</f>
        <v>E</v>
      </c>
      <c r="E166" s="10" t="str">
        <f aca="false">INDEX($AK$126:$AK$147,MATCH($A166&amp;"|"&amp;$B166,$AR$126:$AR$147,0))</f>
        <v>A</v>
      </c>
      <c r="F166" s="10" t="n">
        <f aca="false">INDEX($AI$126:$AI$147,MATCH($A166&amp;"|"&amp;$B166,$AR$126:$AR$147,0))</f>
        <v>3</v>
      </c>
      <c r="G166" s="10" t="str">
        <f aca="false">INDEX($AL$126:$AL$147,MATCH($A166&amp;"|"&amp;$B166,$AR$126:$AR$147,0))</f>
        <v>A</v>
      </c>
      <c r="H166" s="10" t="str">
        <f aca="false">risk_target</f>
        <v>M</v>
      </c>
      <c r="I166" s="10" t="str">
        <f aca="false">IF(MATCH(E166,$I$155:$I$158,0)&lt;=MATCH(H166,$I$155:$I$158,0),"Cumple","EXCEDE")</f>
        <v>EXCEDE</v>
      </c>
      <c r="J166" s="10" t="str">
        <f aca="false">IF(MATCH(G166,$I$155:$I$158,0)&lt;=MATCH(H166,$I$155:$I$158,0),"Cumple","EXCEDE")</f>
        <v>EXCEDE</v>
      </c>
      <c r="K166" s="30" t="n">
        <f aca="false">INDEX($F$126:$F$147,MATCH($A166&amp;"|"&amp;$B166,$AR$126:$AR$147,0))</f>
        <v>97.0933856569898</v>
      </c>
      <c r="L166" s="30" t="n">
        <f aca="false">INDEX($G$126:$G$147,MATCH($A166&amp;"|"&amp;$B166,$AR$126:$AR$147,0))</f>
        <v>23.80311484416</v>
      </c>
      <c r="M166" s="31" t="n">
        <f aca="false">INDEX($P$126:$P$147,MATCH($A166&amp;"|"&amp;$B166,$AR$126:$AR$147,0))</f>
        <v>325269.817159906</v>
      </c>
      <c r="N166" s="31" t="n">
        <f aca="false">INDEX($Q$126:$Q$147,MATCH($A166&amp;"|"&amp;$B166,$AR$126:$AR$147,0))</f>
        <v>79742.1447486498</v>
      </c>
      <c r="O166" s="10" t="s">
        <v>263</v>
      </c>
      <c r="P166" s="10" t="s">
        <v>35</v>
      </c>
    </row>
    <row r="167" customFormat="false" ht="15" hidden="false" customHeight="false" outlineLevel="0" collapsed="false">
      <c r="A167" s="10" t="s">
        <v>151</v>
      </c>
      <c r="B167" s="22" t="n">
        <f aca="false">y_ini</f>
        <v>2026</v>
      </c>
      <c r="C167" s="10" t="n">
        <f aca="false">INDEX($AH$126:$AH$147,MATCH($A167&amp;"|"&amp;$B167,$AR$126:$AR$147,0))</f>
        <v>5</v>
      </c>
      <c r="D167" s="10" t="str">
        <f aca="false">INDEX($AJ$126:$AJ$147,MATCH($A167&amp;"|"&amp;$B167,$AR$126:$AR$147,0))</f>
        <v>D</v>
      </c>
      <c r="E167" s="10" t="str">
        <f aca="false">INDEX($AK$126:$AK$147,MATCH($A167&amp;"|"&amp;$B167,$AR$126:$AR$147,0))</f>
        <v>A</v>
      </c>
      <c r="F167" s="10" t="n">
        <f aca="false">INDEX($AI$126:$AI$147,MATCH($A167&amp;"|"&amp;$B167,$AR$126:$AR$147,0))</f>
        <v>4</v>
      </c>
      <c r="G167" s="10" t="str">
        <f aca="false">INDEX($AL$126:$AL$147,MATCH($A167&amp;"|"&amp;$B167,$AR$126:$AR$147,0))</f>
        <v>A</v>
      </c>
      <c r="H167" s="10" t="str">
        <f aca="false">risk_target</f>
        <v>M</v>
      </c>
      <c r="I167" s="10" t="str">
        <f aca="false">IF(MATCH(E167,$I$155:$I$158,0)&lt;=MATCH(H167,$I$155:$I$158,0),"Cumple","EXCEDE")</f>
        <v>EXCEDE</v>
      </c>
      <c r="J167" s="10" t="str">
        <f aca="false">IF(MATCH(G167,$I$155:$I$158,0)&lt;=MATCH(H167,$I$155:$I$158,0),"Cumple","EXCEDE")</f>
        <v>EXCEDE</v>
      </c>
      <c r="K167" s="30" t="n">
        <f aca="false">INDEX($F$126:$F$147,MATCH($A167&amp;"|"&amp;$B167,$AR$126:$AR$147,0))</f>
        <v>120</v>
      </c>
      <c r="L167" s="30" t="n">
        <f aca="false">INDEX($G$126:$G$147,MATCH($A167&amp;"|"&amp;$B167,$AR$126:$AR$147,0))</f>
        <v>96</v>
      </c>
      <c r="M167" s="31" t="n">
        <f aca="false">INDEX($P$126:$P$147,MATCH($A167&amp;"|"&amp;$B167,$AR$126:$AR$147,0))</f>
        <v>4458.64106733095</v>
      </c>
      <c r="N167" s="31" t="n">
        <f aca="false">INDEX($Q$126:$Q$147,MATCH($A167&amp;"|"&amp;$B167,$AR$126:$AR$147,0))</f>
        <v>3566.91285386476</v>
      </c>
      <c r="O167" s="10" t="s">
        <v>263</v>
      </c>
      <c r="P167" s="10" t="s">
        <v>35</v>
      </c>
    </row>
    <row r="168" customFormat="false" ht="15" hidden="false" customHeight="false" outlineLevel="0" collapsed="false">
      <c r="A168" s="10" t="s">
        <v>151</v>
      </c>
      <c r="B168" s="22" t="n">
        <f aca="false">y_fin</f>
        <v>2036</v>
      </c>
      <c r="C168" s="10" t="n">
        <f aca="false">INDEX($AH$126:$AH$147,MATCH($A168&amp;"|"&amp;$B168,$AR$126:$AR$147,0))</f>
        <v>1</v>
      </c>
      <c r="D168" s="10" t="str">
        <f aca="false">INDEX($AJ$126:$AJ$147,MATCH($A168&amp;"|"&amp;$B168,$AR$126:$AR$147,0))</f>
        <v>D</v>
      </c>
      <c r="E168" s="10" t="str">
        <f aca="false">INDEX($AK$126:$AK$147,MATCH($A168&amp;"|"&amp;$B168,$AR$126:$AR$147,0))</f>
        <v>B</v>
      </c>
      <c r="F168" s="10" t="n">
        <f aca="false">INDEX($AI$126:$AI$147,MATCH($A168&amp;"|"&amp;$B168,$AR$126:$AR$147,0))</f>
        <v>2</v>
      </c>
      <c r="G168" s="10" t="str">
        <f aca="false">INDEX($AL$126:$AL$147,MATCH($A168&amp;"|"&amp;$B168,$AR$126:$AR$147,0))</f>
        <v>M</v>
      </c>
      <c r="H168" s="10" t="str">
        <f aca="false">risk_target</f>
        <v>M</v>
      </c>
      <c r="I168" s="10" t="str">
        <f aca="false">IF(MATCH(E168,$I$155:$I$158,0)&lt;=MATCH(H168,$I$155:$I$158,0),"Cumple","EXCEDE")</f>
        <v>Cumple</v>
      </c>
      <c r="J168" s="10" t="str">
        <f aca="false">IF(MATCH(G168,$I$155:$I$158,0)&lt;=MATCH(H168,$I$155:$I$158,0),"Cumple","EXCEDE")</f>
        <v>Cumple</v>
      </c>
      <c r="K168" s="30" t="n">
        <f aca="false">INDEX($F$126:$F$147,MATCH($A168&amp;"|"&amp;$B168,$AR$126:$AR$147,0))</f>
        <v>1.50363025899136</v>
      </c>
      <c r="L168" s="30" t="n">
        <f aca="false">INDEX($G$126:$G$147,MATCH($A168&amp;"|"&amp;$B168,$AR$126:$AR$147,0))</f>
        <v>7.65047075774804</v>
      </c>
      <c r="M168" s="31" t="n">
        <f aca="false">INDEX($P$126:$P$147,MATCH($A168&amp;"|"&amp;$B168,$AR$126:$AR$147,0))</f>
        <v>55.8678968568362</v>
      </c>
      <c r="N168" s="31" t="n">
        <f aca="false">INDEX($Q$126:$Q$147,MATCH($A168&amp;"|"&amp;$B168,$AR$126:$AR$147,0))</f>
        <v>284.255859207583</v>
      </c>
      <c r="O168" s="10" t="s">
        <v>263</v>
      </c>
      <c r="P168" s="10" t="s">
        <v>35</v>
      </c>
    </row>
    <row r="169" customFormat="false" ht="15" hidden="false" customHeight="false" outlineLevel="0" collapsed="false">
      <c r="A169" s="10" t="s">
        <v>264</v>
      </c>
      <c r="B169" s="10" t="n">
        <v>2023</v>
      </c>
      <c r="C169" s="10" t="n">
        <v>1</v>
      </c>
      <c r="D169" s="10" t="s">
        <v>241</v>
      </c>
      <c r="E169" s="10" t="str">
        <f aca="false">INDEX($B$155:$F$159,MATCH(C169,$A$155:$A$159,0),MATCH(D169,$B$154:$F$154,0))</f>
        <v>B</v>
      </c>
      <c r="F169" s="10" t="n">
        <v>3</v>
      </c>
      <c r="G169" s="10" t="str">
        <f aca="false">INDEX($B$155:$F$159,MATCH(F169,$A$155:$A$159,0),MATCH(D169,$B$154:$F$154,0))</f>
        <v>M</v>
      </c>
      <c r="H169" s="10" t="s">
        <v>49</v>
      </c>
      <c r="I169" s="10" t="str">
        <f aca="false">IF(MATCH(E169,$I$155:$I$158,0)&lt;=MATCH(H169,$I$155:$I$158,0),"Cumple","EXCEDE")</f>
        <v>Cumple</v>
      </c>
      <c r="J169" s="10" t="str">
        <f aca="false">IF(MATCH(G169,$I$155:$I$158,0)&lt;=MATCH(H169,$I$155:$I$158,0),"Cumple","EXCEDE")</f>
        <v>Cumple</v>
      </c>
      <c r="O169" s="10" t="s">
        <v>265</v>
      </c>
      <c r="P169" s="10" t="s">
        <v>266</v>
      </c>
    </row>
    <row r="171" customFormat="false" ht="15" hidden="false" customHeight="false" outlineLevel="0" collapsed="false">
      <c r="A171" s="10" t="s">
        <v>267</v>
      </c>
    </row>
    <row r="174" customFormat="false" ht="15" hidden="false" customHeight="false" outlineLevel="0" collapsed="false">
      <c r="A174" s="3" t="s">
        <v>268</v>
      </c>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customFormat="false" ht="17.35" hidden="false" customHeight="false" outlineLevel="0" collapsed="false">
      <c r="A175" s="7" t="s">
        <v>269</v>
      </c>
    </row>
    <row r="176" customFormat="false" ht="15" hidden="false" customHeight="false" outlineLevel="0" collapsed="false">
      <c r="A176" s="8" t="s">
        <v>270</v>
      </c>
    </row>
    <row r="177" customFormat="false" ht="15" hidden="false" customHeight="false" outlineLevel="0" collapsed="false">
      <c r="A177" s="2" t="s">
        <v>22</v>
      </c>
    </row>
    <row r="179" customFormat="false" ht="68.65" hidden="false" customHeight="false" outlineLevel="0" collapsed="false">
      <c r="A179" s="9" t="s">
        <v>158</v>
      </c>
      <c r="B179" s="9" t="s">
        <v>159</v>
      </c>
      <c r="C179" s="9" t="s">
        <v>271</v>
      </c>
      <c r="D179" s="9" t="s">
        <v>272</v>
      </c>
      <c r="E179" s="9" t="s">
        <v>210</v>
      </c>
      <c r="F179" s="9" t="s">
        <v>273</v>
      </c>
      <c r="G179" s="9" t="s">
        <v>274</v>
      </c>
      <c r="H179" s="9" t="s">
        <v>275</v>
      </c>
      <c r="I179" s="9" t="s">
        <v>276</v>
      </c>
      <c r="J179" s="9" t="s">
        <v>277</v>
      </c>
      <c r="K179" s="9" t="s">
        <v>278</v>
      </c>
      <c r="L179" s="9" t="s">
        <v>279</v>
      </c>
      <c r="M179" s="9" t="s">
        <v>280</v>
      </c>
      <c r="N179" s="9" t="s">
        <v>281</v>
      </c>
      <c r="O179" s="9" t="s">
        <v>282</v>
      </c>
      <c r="P179" s="9" t="s">
        <v>283</v>
      </c>
      <c r="Q179" s="9" t="s">
        <v>284</v>
      </c>
      <c r="R179" s="9" t="s">
        <v>285</v>
      </c>
      <c r="S179" s="9" t="s">
        <v>286</v>
      </c>
      <c r="T179" s="9" t="s">
        <v>287</v>
      </c>
      <c r="U179" s="9" t="s">
        <v>288</v>
      </c>
      <c r="V179" s="9" t="s">
        <v>222</v>
      </c>
      <c r="W179" s="9" t="s">
        <v>223</v>
      </c>
      <c r="X179" s="9" t="s">
        <v>289</v>
      </c>
      <c r="Y179" s="9" t="s">
        <v>290</v>
      </c>
    </row>
    <row r="180" customFormat="false" ht="15" hidden="false" customHeight="false" outlineLevel="0" collapsed="false">
      <c r="A180" s="22" t="n">
        <f aca="false">base_year</f>
        <v>2026</v>
      </c>
      <c r="B180" s="10" t="n">
        <f aca="false">A180-base_year</f>
        <v>0</v>
      </c>
      <c r="C180" s="32" t="n">
        <f aca="false">1/(1+r_desc)^B180</f>
        <v>1</v>
      </c>
      <c r="D180" s="27" t="n">
        <f aca="false">SUMIFS($S$126:$S$147,$B$126:$B$147,$A180)</f>
        <v>804.017241649843</v>
      </c>
      <c r="E180" s="27" t="n">
        <f aca="false">SUMIFS($T$126:$T$147,$B$126:$B$147,$A180)</f>
        <v>87.7109718163465</v>
      </c>
      <c r="F180" s="27" t="n">
        <f aca="false">SUMIFS($V$126:$V$147,$B$126:$B$147,$A180)-SUMIFS($W$126:$W$147,$B$126:$B$147,$A180)</f>
        <v>0</v>
      </c>
      <c r="G180" s="27" t="n">
        <f aca="false">SUMIFS($X$126:$X$147,$B$126:$B$147,$A180)-SUMIFS($Y$126:$Y$147,$B$126:$B$147,$A180)</f>
        <v>-92000</v>
      </c>
      <c r="H180" s="27" t="n">
        <f aca="false">SUMIFS($Z$126:$Z$147,$B$126:$B$147,$A180)-SUMIFS($AA$126:$AA$147,$B$126:$B$147,$A180)</f>
        <v>0</v>
      </c>
      <c r="I180" s="27" t="n">
        <f aca="false">SUMIFS($AB$126:$AB$147,$B$126:$B$147,$A180)-SUMIFS($AC$126:$AC$147,$B$126:$B$147,$A180)</f>
        <v>0</v>
      </c>
      <c r="J180" s="27" t="n">
        <f aca="false">SUMIFS($AD$126:$AD$147,$B$126:$B$147,$A180)-SUMIFS($AE$126:$AE$147,$B$126:$B$147,$A180)</f>
        <v>-25000</v>
      </c>
      <c r="K180" s="27" t="n">
        <f aca="false">SUM(F180:J180)</f>
        <v>-117000</v>
      </c>
      <c r="L180" s="27" t="n">
        <f aca="false">K180+D180</f>
        <v>-116195.98275835</v>
      </c>
      <c r="M180" s="27" t="n">
        <f aca="false">MAX(D180,0)+MAX(F180,0)+MAX(G180,0)+MAX(H180,0)+MAX(I180,0)+MAX(J180,0)</f>
        <v>804.017241649843</v>
      </c>
      <c r="N180" s="27" t="n">
        <f aca="false">-(MIN(D180,0)+MIN(F180,0)+MIN(G180,0)+MIN(H180,0)+MIN(I180,0)+MIN(J180,0))</f>
        <v>117000</v>
      </c>
      <c r="O180" s="27" t="n">
        <f aca="false">M180*C180</f>
        <v>804.017241649843</v>
      </c>
      <c r="P180" s="27" t="n">
        <f aca="false">N180*C180</f>
        <v>117000</v>
      </c>
      <c r="Q180" s="27" t="n">
        <f aca="false">L180*C180</f>
        <v>-116195.98275835</v>
      </c>
      <c r="R180" s="27" t="n">
        <f aca="false">Q180</f>
        <v>-116195.98275835</v>
      </c>
      <c r="S180" s="10" t="n">
        <f aca="false">IF(MIN(R180:R$190)&gt;=0,1,0)</f>
        <v>0</v>
      </c>
      <c r="T180" s="27" t="n">
        <f aca="false">L180</f>
        <v>-116195.98275835</v>
      </c>
      <c r="U180" s="10" t="n">
        <f aca="false">IF(AND(B180&gt;0,T180&gt;=0),1,0)</f>
        <v>0</v>
      </c>
      <c r="V180" s="27" t="n">
        <f aca="false">SUMIFS($AF$126:$AF$147,$B$126:$B$147,$A180)</f>
        <v>33000</v>
      </c>
      <c r="W180" s="27" t="n">
        <f aca="false">SUMIFS($AG$126:$AG$147,$B$126:$B$147,$A180)</f>
        <v>150000</v>
      </c>
      <c r="X180" s="27" t="n">
        <f aca="false">SUMIFS($P$126:$P$147,$B$126:$B$147,$A180)</f>
        <v>138461.514675638</v>
      </c>
      <c r="Y180" s="27" t="n">
        <f aca="false">SUMIFS($Q$126:$Q$147,$B$126:$B$147,$A180)</f>
        <v>137569.786462172</v>
      </c>
    </row>
    <row r="181" customFormat="false" ht="15" hidden="false" customHeight="false" outlineLevel="0" collapsed="false">
      <c r="A181" s="22" t="n">
        <f aca="false">A180+1</f>
        <v>2027</v>
      </c>
      <c r="B181" s="10" t="n">
        <f aca="false">A181-base_year</f>
        <v>1</v>
      </c>
      <c r="C181" s="32" t="n">
        <f aca="false">1/(1+r_desc)^B181</f>
        <v>0.909090909090909</v>
      </c>
      <c r="D181" s="27" t="n">
        <f aca="false">SUMIFS($S$126:$S$147,$B$126:$B$147,$A181)</f>
        <v>76443.7665617716</v>
      </c>
      <c r="E181" s="27" t="n">
        <f aca="false">SUMIFS($T$126:$T$147,$B$126:$B$147,$A181)</f>
        <v>3818.10733148324</v>
      </c>
      <c r="F181" s="27" t="n">
        <f aca="false">SUMIFS($V$126:$V$147,$B$126:$B$147,$A181)-SUMIFS($W$126:$W$147,$B$126:$B$147,$A181)</f>
        <v>0</v>
      </c>
      <c r="G181" s="27" t="n">
        <f aca="false">SUMIFS($X$126:$X$147,$B$126:$B$147,$A181)-SUMIFS($Y$126:$Y$147,$B$126:$B$147,$A181)</f>
        <v>-90000</v>
      </c>
      <c r="H181" s="27" t="n">
        <f aca="false">SUMIFS($Z$126:$Z$147,$B$126:$B$147,$A181)-SUMIFS($AA$126:$AA$147,$B$126:$B$147,$A181)</f>
        <v>-180000</v>
      </c>
      <c r="I181" s="27" t="n">
        <f aca="false">SUMIFS($AB$126:$AB$147,$B$126:$B$147,$A181)-SUMIFS($AC$126:$AC$147,$B$126:$B$147,$A181)</f>
        <v>0</v>
      </c>
      <c r="J181" s="27" t="n">
        <f aca="false">SUMIFS($AD$126:$AD$147,$B$126:$B$147,$A181)-SUMIFS($AE$126:$AE$147,$B$126:$B$147,$A181)</f>
        <v>-25000</v>
      </c>
      <c r="K181" s="27" t="n">
        <f aca="false">SUM(F181:J181)</f>
        <v>-295000</v>
      </c>
      <c r="L181" s="27" t="n">
        <f aca="false">K181+D181</f>
        <v>-218556.233438228</v>
      </c>
      <c r="M181" s="27" t="n">
        <f aca="false">MAX(D181,0)+MAX(F181,0)+MAX(G181,0)+MAX(H181,0)+MAX(I181,0)+MAX(J181,0)</f>
        <v>76443.7665617716</v>
      </c>
      <c r="N181" s="27" t="n">
        <f aca="false">-(MIN(D181,0)+MIN(F181,0)+MIN(G181,0)+MIN(H181,0)+MIN(I181,0)+MIN(J181,0))</f>
        <v>295000</v>
      </c>
      <c r="O181" s="27" t="n">
        <f aca="false">M181*C181</f>
        <v>69494.3332379742</v>
      </c>
      <c r="P181" s="27" t="n">
        <f aca="false">N181*C181</f>
        <v>268181.818181818</v>
      </c>
      <c r="Q181" s="27" t="n">
        <f aca="false">L181*C181</f>
        <v>-198687.484943844</v>
      </c>
      <c r="R181" s="27" t="n">
        <f aca="false">R180+Q181</f>
        <v>-314883.467702194</v>
      </c>
      <c r="S181" s="10" t="n">
        <f aca="false">IF(MIN(R181:R$190)&gt;=0,1,0)</f>
        <v>0</v>
      </c>
      <c r="T181" s="27" t="n">
        <f aca="false">T180+L181</f>
        <v>-334752.216196579</v>
      </c>
      <c r="U181" s="10" t="n">
        <f aca="false">IF(AND(B181&gt;0,T181&gt;=0),1,0)</f>
        <v>0</v>
      </c>
      <c r="V181" s="27" t="n">
        <f aca="false">SUMIFS($AF$126:$AF$147,$B$126:$B$147,$A181)</f>
        <v>0</v>
      </c>
      <c r="W181" s="27" t="n">
        <f aca="false">SUMIFS($AG$126:$AG$147,$B$126:$B$147,$A181)</f>
        <v>295000</v>
      </c>
      <c r="X181" s="27" t="n">
        <f aca="false">SUMIFS($P$126:$P$147,$B$126:$B$147,$A181)</f>
        <v>159453.67393035</v>
      </c>
      <c r="Y181" s="27" t="n">
        <f aca="false">SUMIFS($Q$126:$Q$147,$B$126:$B$147,$A181)</f>
        <v>79191.8000370955</v>
      </c>
    </row>
    <row r="182" customFormat="false" ht="15" hidden="false" customHeight="false" outlineLevel="0" collapsed="false">
      <c r="A182" s="22" t="n">
        <f aca="false">A181+1</f>
        <v>2028</v>
      </c>
      <c r="B182" s="10" t="n">
        <f aca="false">A182-base_year</f>
        <v>2</v>
      </c>
      <c r="C182" s="32" t="n">
        <f aca="false">1/(1+r_desc)^B182</f>
        <v>0.826446280991735</v>
      </c>
      <c r="D182" s="27" t="n">
        <f aca="false">SUMIFS($S$126:$S$147,$B$126:$B$147,$A182)</f>
        <v>90102.6185582693</v>
      </c>
      <c r="E182" s="27" t="n">
        <f aca="false">SUMIFS($T$126:$T$147,$B$126:$B$147,$A182)</f>
        <v>4629.98201435829</v>
      </c>
      <c r="F182" s="27" t="n">
        <f aca="false">SUMIFS($V$126:$V$147,$B$126:$B$147,$A182)-SUMIFS($W$126:$W$147,$B$126:$B$147,$A182)</f>
        <v>-480000</v>
      </c>
      <c r="G182" s="27" t="n">
        <f aca="false">SUMIFS($X$126:$X$147,$B$126:$B$147,$A182)-SUMIFS($Y$126:$Y$147,$B$126:$B$147,$A182)</f>
        <v>0</v>
      </c>
      <c r="H182" s="27" t="n">
        <f aca="false">SUMIFS($Z$126:$Z$147,$B$126:$B$147,$A182)-SUMIFS($AA$126:$AA$147,$B$126:$B$147,$A182)</f>
        <v>0</v>
      </c>
      <c r="I182" s="27" t="n">
        <f aca="false">SUMIFS($AB$126:$AB$147,$B$126:$B$147,$A182)-SUMIFS($AC$126:$AC$147,$B$126:$B$147,$A182)</f>
        <v>-450000</v>
      </c>
      <c r="J182" s="27" t="n">
        <f aca="false">SUMIFS($AD$126:$AD$147,$B$126:$B$147,$A182)-SUMIFS($AE$126:$AE$147,$B$126:$B$147,$A182)</f>
        <v>-25000</v>
      </c>
      <c r="K182" s="27" t="n">
        <f aca="false">SUM(F182:J182)</f>
        <v>-955000</v>
      </c>
      <c r="L182" s="27" t="n">
        <f aca="false">K182+D182</f>
        <v>-864897.381441731</v>
      </c>
      <c r="M182" s="27" t="n">
        <f aca="false">MAX(D182,0)+MAX(F182,0)+MAX(G182,0)+MAX(H182,0)+MAX(I182,0)+MAX(J182,0)</f>
        <v>90102.6185582693</v>
      </c>
      <c r="N182" s="27" t="n">
        <f aca="false">-(MIN(D182,0)+MIN(F182,0)+MIN(G182,0)+MIN(H182,0)+MIN(I182,0)+MIN(J182,0))</f>
        <v>955000</v>
      </c>
      <c r="O182" s="27" t="n">
        <f aca="false">M182*C182</f>
        <v>74464.9740150986</v>
      </c>
      <c r="P182" s="27" t="n">
        <f aca="false">N182*C182</f>
        <v>789256.198347107</v>
      </c>
      <c r="Q182" s="27" t="n">
        <f aca="false">L182*C182</f>
        <v>-714791.224332009</v>
      </c>
      <c r="R182" s="27" t="n">
        <f aca="false">R181+Q182</f>
        <v>-1029674.6920342</v>
      </c>
      <c r="S182" s="10" t="n">
        <f aca="false">IF(MIN(R182:R$190)&gt;=0,1,0)</f>
        <v>0</v>
      </c>
      <c r="T182" s="27" t="n">
        <f aca="false">T181+L182</f>
        <v>-1199649.59763831</v>
      </c>
      <c r="U182" s="10" t="n">
        <f aca="false">IF(AND(B182&gt;0,T182&gt;=0),1,0)</f>
        <v>0</v>
      </c>
      <c r="V182" s="27" t="n">
        <f aca="false">SUMIFS($AF$126:$AF$147,$B$126:$B$147,$A182)</f>
        <v>0</v>
      </c>
      <c r="W182" s="27" t="n">
        <f aca="false">SUMIFS($AG$126:$AG$147,$B$126:$B$147,$A182)</f>
        <v>955000</v>
      </c>
      <c r="X182" s="27" t="n">
        <f aca="false">SUMIFS($P$126:$P$147,$B$126:$B$147,$A182)</f>
        <v>183639.243483943</v>
      </c>
      <c r="Y182" s="27" t="n">
        <f aca="false">SUMIFS($Q$126:$Q$147,$B$126:$B$147,$A182)</f>
        <v>88906.6429113152</v>
      </c>
    </row>
    <row r="183" customFormat="false" ht="15" hidden="false" customHeight="false" outlineLevel="0" collapsed="false">
      <c r="A183" s="22" t="n">
        <f aca="false">A182+1</f>
        <v>2029</v>
      </c>
      <c r="B183" s="10" t="n">
        <f aca="false">A183-base_year</f>
        <v>3</v>
      </c>
      <c r="C183" s="32" t="n">
        <f aca="false">1/(1+r_desc)^B183</f>
        <v>0.751314800901578</v>
      </c>
      <c r="D183" s="27" t="n">
        <f aca="false">SUMIFS($S$126:$S$147,$B$126:$B$147,$A183)</f>
        <v>19203.2056644421</v>
      </c>
      <c r="E183" s="27" t="n">
        <f aca="false">SUMIFS($T$126:$T$147,$B$126:$B$147,$A183)</f>
        <v>899.034415597699</v>
      </c>
      <c r="F183" s="27" t="n">
        <f aca="false">SUMIFS($V$126:$V$147,$B$126:$B$147,$A183)-SUMIFS($W$126:$W$147,$B$126:$B$147,$A183)</f>
        <v>5200000</v>
      </c>
      <c r="G183" s="27" t="n">
        <f aca="false">SUMIFS($X$126:$X$147,$B$126:$B$147,$A183)-SUMIFS($Y$126:$Y$147,$B$126:$B$147,$A183)</f>
        <v>175000</v>
      </c>
      <c r="H183" s="27" t="n">
        <f aca="false">SUMIFS($Z$126:$Z$147,$B$126:$B$147,$A183)-SUMIFS($AA$126:$AA$147,$B$126:$B$147,$A183)</f>
        <v>0</v>
      </c>
      <c r="I183" s="27" t="n">
        <f aca="false">SUMIFS($AB$126:$AB$147,$B$126:$B$147,$A183)-SUMIFS($AC$126:$AC$147,$B$126:$B$147,$A183)</f>
        <v>1800000</v>
      </c>
      <c r="J183" s="27" t="n">
        <f aca="false">SUMIFS($AD$126:$AD$147,$B$126:$B$147,$A183)-SUMIFS($AE$126:$AE$147,$B$126:$B$147,$A183)</f>
        <v>-25000</v>
      </c>
      <c r="K183" s="27" t="n">
        <f aca="false">SUM(F183:J183)</f>
        <v>7150000</v>
      </c>
      <c r="L183" s="27" t="n">
        <f aca="false">K183+D183</f>
        <v>7169203.20566444</v>
      </c>
      <c r="M183" s="27" t="n">
        <f aca="false">MAX(D183,0)+MAX(F183,0)+MAX(G183,0)+MAX(H183,0)+MAX(I183,0)+MAX(J183,0)</f>
        <v>7194203.20566444</v>
      </c>
      <c r="N183" s="27" t="n">
        <f aca="false">-(MIN(D183,0)+MIN(F183,0)+MIN(G183,0)+MIN(H183,0)+MIN(I183,0)+MIN(J183,0))</f>
        <v>25000</v>
      </c>
      <c r="O183" s="27" t="n">
        <f aca="false">M183*C183</f>
        <v>5405111.34910927</v>
      </c>
      <c r="P183" s="27" t="n">
        <f aca="false">N183*C183</f>
        <v>18782.8700225394</v>
      </c>
      <c r="Q183" s="27" t="n">
        <f aca="false">L183*C183</f>
        <v>5386328.47908673</v>
      </c>
      <c r="R183" s="27" t="n">
        <f aca="false">R182+Q183</f>
        <v>4356653.78705253</v>
      </c>
      <c r="S183" s="10" t="n">
        <f aca="false">IF(MIN(R183:R$190)&gt;=0,1,0)</f>
        <v>1</v>
      </c>
      <c r="T183" s="27" t="n">
        <f aca="false">T182+L183</f>
        <v>5969553.60802613</v>
      </c>
      <c r="U183" s="10" t="n">
        <f aca="false">IF(AND(B183&gt;0,T183&gt;=0),1,0)</f>
        <v>1</v>
      </c>
      <c r="V183" s="27" t="n">
        <f aca="false">SUMIFS($AF$126:$AF$147,$B$126:$B$147,$A183)</f>
        <v>7175000</v>
      </c>
      <c r="W183" s="27" t="n">
        <f aca="false">SUMIFS($AG$126:$AG$147,$B$126:$B$147,$A183)</f>
        <v>25000</v>
      </c>
      <c r="X183" s="27" t="n">
        <f aca="false">SUMIFS($P$126:$P$147,$B$126:$B$147,$A183)</f>
        <v>122318.127581648</v>
      </c>
      <c r="Y183" s="27" t="n">
        <f aca="false">SUMIFS($Q$126:$Q$147,$B$126:$B$147,$A183)</f>
        <v>102215.887501608</v>
      </c>
    </row>
    <row r="184" customFormat="false" ht="15" hidden="false" customHeight="false" outlineLevel="0" collapsed="false">
      <c r="A184" s="22" t="n">
        <f aca="false">A183+1</f>
        <v>2030</v>
      </c>
      <c r="B184" s="10" t="n">
        <f aca="false">A184-base_year</f>
        <v>4</v>
      </c>
      <c r="C184" s="32" t="n">
        <f aca="false">1/(1+r_desc)^B184</f>
        <v>0.683013455365071</v>
      </c>
      <c r="D184" s="27" t="n">
        <f aca="false">SUMIFS($S$126:$S$147,$B$126:$B$147,$A184)</f>
        <v>54020.6414799778</v>
      </c>
      <c r="E184" s="27" t="n">
        <f aca="false">SUMIFS($T$126:$T$147,$B$126:$B$147,$A184)</f>
        <v>2556.08331270828</v>
      </c>
      <c r="F184" s="27" t="n">
        <f aca="false">SUMIFS($V$126:$V$147,$B$126:$B$147,$A184)-SUMIFS($W$126:$W$147,$B$126:$B$147,$A184)</f>
        <v>-640000</v>
      </c>
      <c r="G184" s="27" t="n">
        <f aca="false">SUMIFS($X$126:$X$147,$B$126:$B$147,$A184)-SUMIFS($Y$126:$Y$147,$B$126:$B$147,$A184)</f>
        <v>0</v>
      </c>
      <c r="H184" s="27" t="n">
        <f aca="false">SUMIFS($Z$126:$Z$147,$B$126:$B$147,$A184)-SUMIFS($AA$126:$AA$147,$B$126:$B$147,$A184)</f>
        <v>0</v>
      </c>
      <c r="I184" s="27" t="n">
        <f aca="false">SUMIFS($AB$126:$AB$147,$B$126:$B$147,$A184)-SUMIFS($AC$126:$AC$147,$B$126:$B$147,$A184)</f>
        <v>-250000</v>
      </c>
      <c r="J184" s="27" t="n">
        <f aca="false">SUMIFS($AD$126:$AD$147,$B$126:$B$147,$A184)-SUMIFS($AE$126:$AE$147,$B$126:$B$147,$A184)</f>
        <v>-25000</v>
      </c>
      <c r="K184" s="27" t="n">
        <f aca="false">SUM(F184:J184)</f>
        <v>-915000</v>
      </c>
      <c r="L184" s="27" t="n">
        <f aca="false">K184+D184</f>
        <v>-860979.358520022</v>
      </c>
      <c r="M184" s="27" t="n">
        <f aca="false">MAX(D184,0)+MAX(F184,0)+MAX(G184,0)+MAX(H184,0)+MAX(I184,0)+MAX(J184,0)</f>
        <v>54020.6414799778</v>
      </c>
      <c r="N184" s="27" t="n">
        <f aca="false">-(MIN(D184,0)+MIN(F184,0)+MIN(G184,0)+MIN(H184,0)+MIN(I184,0)+MIN(J184,0))</f>
        <v>915000</v>
      </c>
      <c r="O184" s="27" t="n">
        <f aca="false">M184*C184</f>
        <v>36896.8249982773</v>
      </c>
      <c r="P184" s="27" t="n">
        <f aca="false">N184*C184</f>
        <v>624957.31165904</v>
      </c>
      <c r="Q184" s="27" t="n">
        <f aca="false">L184*C184</f>
        <v>-588060.486660762</v>
      </c>
      <c r="R184" s="27" t="n">
        <f aca="false">R183+Q184</f>
        <v>3768593.30039177</v>
      </c>
      <c r="S184" s="10" t="n">
        <f aca="false">IF(MIN(R184:R$190)&gt;=0,1,0)</f>
        <v>1</v>
      </c>
      <c r="T184" s="27" t="n">
        <f aca="false">T183+L184</f>
        <v>5108574.24950611</v>
      </c>
      <c r="U184" s="10" t="n">
        <f aca="false">IF(AND(B184&gt;0,T184&gt;=0),1,0)</f>
        <v>1</v>
      </c>
      <c r="V184" s="27" t="n">
        <f aca="false">SUMIFS($AF$126:$AF$147,$B$126:$B$147,$A184)</f>
        <v>0</v>
      </c>
      <c r="W184" s="27" t="n">
        <f aca="false">SUMIFS($AG$126:$AG$147,$B$126:$B$147,$A184)</f>
        <v>915000</v>
      </c>
      <c r="X184" s="27" t="n">
        <f aca="false">SUMIFS($P$126:$P$147,$B$126:$B$147,$A184)</f>
        <v>140662.502738095</v>
      </c>
      <c r="Y184" s="27" t="n">
        <f aca="false">SUMIFS($Q$126:$Q$147,$B$126:$B$147,$A184)</f>
        <v>84085.7779454088</v>
      </c>
    </row>
    <row r="185" customFormat="false" ht="15" hidden="false" customHeight="false" outlineLevel="0" collapsed="false">
      <c r="A185" s="22" t="n">
        <f aca="false">A184+1</f>
        <v>2031</v>
      </c>
      <c r="B185" s="10" t="n">
        <f aca="false">A185-base_year</f>
        <v>5</v>
      </c>
      <c r="C185" s="32" t="n">
        <f aca="false">1/(1+r_desc)^B185</f>
        <v>0.620921323059155</v>
      </c>
      <c r="D185" s="27" t="n">
        <f aca="false">SUMIFS($S$126:$S$147,$B$126:$B$147,$A185)</f>
        <v>102279.981432381</v>
      </c>
      <c r="E185" s="27" t="n">
        <f aca="false">SUMIFS($T$126:$T$147,$B$126:$B$147,$A185)</f>
        <v>4853.16742878529</v>
      </c>
      <c r="F185" s="27" t="n">
        <f aca="false">SUMIFS($V$126:$V$147,$B$126:$B$147,$A185)-SUMIFS($W$126:$W$147,$B$126:$B$147,$A185)</f>
        <v>0</v>
      </c>
      <c r="G185" s="27" t="n">
        <f aca="false">SUMIFS($X$126:$X$147,$B$126:$B$147,$A185)-SUMIFS($Y$126:$Y$147,$B$126:$B$147,$A185)</f>
        <v>-90000</v>
      </c>
      <c r="H185" s="27" t="n">
        <f aca="false">SUMIFS($Z$126:$Z$147,$B$126:$B$147,$A185)-SUMIFS($AA$126:$AA$147,$B$126:$B$147,$A185)</f>
        <v>0</v>
      </c>
      <c r="I185" s="27" t="n">
        <f aca="false">SUMIFS($AB$126:$AB$147,$B$126:$B$147,$A185)-SUMIFS($AC$126:$AC$147,$B$126:$B$147,$A185)</f>
        <v>0</v>
      </c>
      <c r="J185" s="27" t="n">
        <f aca="false">SUMIFS($AD$126:$AD$147,$B$126:$B$147,$A185)-SUMIFS($AE$126:$AE$147,$B$126:$B$147,$A185)</f>
        <v>-25000</v>
      </c>
      <c r="K185" s="27" t="n">
        <f aca="false">SUM(F185:J185)</f>
        <v>-115000</v>
      </c>
      <c r="L185" s="27" t="n">
        <f aca="false">K185+D185</f>
        <v>-12720.0185676189</v>
      </c>
      <c r="M185" s="27" t="n">
        <f aca="false">MAX(D185,0)+MAX(F185,0)+MAX(G185,0)+MAX(H185,0)+MAX(I185,0)+MAX(J185,0)</f>
        <v>102279.981432381</v>
      </c>
      <c r="N185" s="27" t="n">
        <f aca="false">-(MIN(D185,0)+MIN(F185,0)+MIN(G185,0)+MIN(H185,0)+MIN(I185,0)+MIN(J185,0))</f>
        <v>115000</v>
      </c>
      <c r="O185" s="27" t="n">
        <f aca="false">M185*C185</f>
        <v>63507.8213934599</v>
      </c>
      <c r="P185" s="27" t="n">
        <f aca="false">N185*C185</f>
        <v>71405.9521518028</v>
      </c>
      <c r="Q185" s="27" t="n">
        <f aca="false">L185*C185</f>
        <v>-7898.13075834293</v>
      </c>
      <c r="R185" s="27" t="n">
        <f aca="false">R184+Q185</f>
        <v>3760695.16963342</v>
      </c>
      <c r="S185" s="10" t="n">
        <f aca="false">IF(MIN(R185:R$190)&gt;=0,1,0)</f>
        <v>1</v>
      </c>
      <c r="T185" s="27" t="n">
        <f aca="false">T184+L185</f>
        <v>5095854.23093849</v>
      </c>
      <c r="U185" s="10" t="n">
        <f aca="false">IF(AND(B185&gt;0,T185&gt;=0),1,0)</f>
        <v>1</v>
      </c>
      <c r="V185" s="27" t="n">
        <f aca="false">SUMIFS($AF$126:$AF$147,$B$126:$B$147,$A185)</f>
        <v>0</v>
      </c>
      <c r="W185" s="27" t="n">
        <f aca="false">SUMIFS($AG$126:$AG$147,$B$126:$B$147,$A185)</f>
        <v>115000</v>
      </c>
      <c r="X185" s="27" t="n">
        <f aca="false">SUMIFS($P$126:$P$147,$B$126:$B$147,$A185)</f>
        <v>161758.333529161</v>
      </c>
      <c r="Y185" s="27" t="n">
        <f aca="false">SUMIFS($Q$126:$Q$147,$B$126:$B$147,$A185)</f>
        <v>54625.1846679943</v>
      </c>
    </row>
    <row r="186" customFormat="false" ht="15" hidden="false" customHeight="false" outlineLevel="0" collapsed="false">
      <c r="A186" s="22" t="n">
        <f aca="false">A185+1</f>
        <v>2032</v>
      </c>
      <c r="B186" s="10" t="n">
        <f aca="false">A186-base_year</f>
        <v>6</v>
      </c>
      <c r="C186" s="32" t="n">
        <f aca="false">1/(1+r_desc)^B186</f>
        <v>0.564473930053777</v>
      </c>
      <c r="D186" s="27" t="n">
        <f aca="false">SUMIFS($S$126:$S$147,$B$126:$B$147,$A186)</f>
        <v>121273.619333595</v>
      </c>
      <c r="E186" s="27" t="n">
        <f aca="false">SUMIFS($T$126:$T$147,$B$126:$B$147,$A186)</f>
        <v>5756.58790381103</v>
      </c>
      <c r="F186" s="27" t="n">
        <f aca="false">SUMIFS($V$126:$V$147,$B$126:$B$147,$A186)-SUMIFS($W$126:$W$147,$B$126:$B$147,$A186)</f>
        <v>0</v>
      </c>
      <c r="G186" s="27" t="n">
        <f aca="false">SUMIFS($X$126:$X$147,$B$126:$B$147,$A186)-SUMIFS($Y$126:$Y$147,$B$126:$B$147,$A186)</f>
        <v>33000</v>
      </c>
      <c r="H186" s="27" t="n">
        <f aca="false">SUMIFS($Z$126:$Z$147,$B$126:$B$147,$A186)-SUMIFS($AA$126:$AA$147,$B$126:$B$147,$A186)</f>
        <v>0</v>
      </c>
      <c r="I186" s="27" t="n">
        <f aca="false">SUMIFS($AB$126:$AB$147,$B$126:$B$147,$A186)-SUMIFS($AC$126:$AC$147,$B$126:$B$147,$A186)</f>
        <v>0</v>
      </c>
      <c r="J186" s="27" t="n">
        <f aca="false">SUMIFS($AD$126:$AD$147,$B$126:$B$147,$A186)-SUMIFS($AE$126:$AE$147,$B$126:$B$147,$A186)</f>
        <v>-25000</v>
      </c>
      <c r="K186" s="27" t="n">
        <f aca="false">SUM(F186:J186)</f>
        <v>8000</v>
      </c>
      <c r="L186" s="27" t="n">
        <f aca="false">K186+D186</f>
        <v>129273.619333595</v>
      </c>
      <c r="M186" s="27" t="n">
        <f aca="false">MAX(D186,0)+MAX(F186,0)+MAX(G186,0)+MAX(H186,0)+MAX(I186,0)+MAX(J186,0)</f>
        <v>154273.619333595</v>
      </c>
      <c r="N186" s="27" t="n">
        <f aca="false">-(MIN(D186,0)+MIN(F186,0)+MIN(G186,0)+MIN(H186,0)+MIN(I186,0)+MIN(J186,0))</f>
        <v>25000</v>
      </c>
      <c r="O186" s="27" t="n">
        <f aca="false">M186*C186</f>
        <v>87083.4362088548</v>
      </c>
      <c r="P186" s="27" t="n">
        <f aca="false">N186*C186</f>
        <v>14111.8482513444</v>
      </c>
      <c r="Q186" s="27" t="n">
        <f aca="false">L186*C186</f>
        <v>72971.5879575104</v>
      </c>
      <c r="R186" s="27" t="n">
        <f aca="false">R185+Q186</f>
        <v>3833666.75759093</v>
      </c>
      <c r="S186" s="10" t="n">
        <f aca="false">IF(MIN(R186:R$190)&gt;=0,1,0)</f>
        <v>1</v>
      </c>
      <c r="T186" s="27" t="n">
        <f aca="false">T185+L186</f>
        <v>5225127.85027209</v>
      </c>
      <c r="U186" s="10" t="n">
        <f aca="false">IF(AND(B186&gt;0,T186&gt;=0),1,0)</f>
        <v>1</v>
      </c>
      <c r="V186" s="27" t="n">
        <f aca="false">SUMIFS($AF$126:$AF$147,$B$126:$B$147,$A186)</f>
        <v>33000</v>
      </c>
      <c r="W186" s="27" t="n">
        <f aca="false">SUMIFS($AG$126:$AG$147,$B$126:$B$147,$A186)</f>
        <v>25000</v>
      </c>
      <c r="X186" s="27" t="n">
        <f aca="false">SUMIFS($P$126:$P$147,$B$126:$B$147,$A186)</f>
        <v>186018.326261707</v>
      </c>
      <c r="Y186" s="27" t="n">
        <f aca="false">SUMIFS($Q$126:$Q$147,$B$126:$B$147,$A186)</f>
        <v>58988.1190243012</v>
      </c>
    </row>
    <row r="187" customFormat="false" ht="15" hidden="false" customHeight="false" outlineLevel="0" collapsed="false">
      <c r="A187" s="22" t="n">
        <f aca="false">A186+1</f>
        <v>2033</v>
      </c>
      <c r="B187" s="10" t="n">
        <f aca="false">A187-base_year</f>
        <v>7</v>
      </c>
      <c r="C187" s="32" t="n">
        <f aca="false">1/(1+r_desc)^B187</f>
        <v>0.513158118230707</v>
      </c>
      <c r="D187" s="27" t="n">
        <f aca="false">SUMIFS($S$126:$S$147,$B$126:$B$147,$A187)</f>
        <v>143551.388229341</v>
      </c>
      <c r="E187" s="27" t="n">
        <f aca="false">SUMIFS($T$126:$T$147,$B$126:$B$147,$A187)</f>
        <v>6825.15206670448</v>
      </c>
      <c r="F187" s="27" t="n">
        <f aca="false">SUMIFS($V$126:$V$147,$B$126:$B$147,$A187)-SUMIFS($W$126:$W$147,$B$126:$B$147,$A187)</f>
        <v>0</v>
      </c>
      <c r="G187" s="27" t="n">
        <f aca="false">SUMIFS($X$126:$X$147,$B$126:$B$147,$A187)-SUMIFS($Y$126:$Y$147,$B$126:$B$147,$A187)</f>
        <v>-40000</v>
      </c>
      <c r="H187" s="27" t="n">
        <f aca="false">SUMIFS($Z$126:$Z$147,$B$126:$B$147,$A187)-SUMIFS($AA$126:$AA$147,$B$126:$B$147,$A187)</f>
        <v>0</v>
      </c>
      <c r="I187" s="27" t="n">
        <f aca="false">SUMIFS($AB$126:$AB$147,$B$126:$B$147,$A187)-SUMIFS($AC$126:$AC$147,$B$126:$B$147,$A187)</f>
        <v>0</v>
      </c>
      <c r="J187" s="27" t="n">
        <f aca="false">SUMIFS($AD$126:$AD$147,$B$126:$B$147,$A187)-SUMIFS($AE$126:$AE$147,$B$126:$B$147,$A187)</f>
        <v>-25000</v>
      </c>
      <c r="K187" s="27" t="n">
        <f aca="false">SUM(F187:J187)</f>
        <v>-65000</v>
      </c>
      <c r="L187" s="27" t="n">
        <f aca="false">K187+D187</f>
        <v>78551.3882293408</v>
      </c>
      <c r="M187" s="27" t="n">
        <f aca="false">MAX(D187,0)+MAX(F187,0)+MAX(G187,0)+MAX(H187,0)+MAX(I187,0)+MAX(J187,0)</f>
        <v>143551.388229341</v>
      </c>
      <c r="N187" s="27" t="n">
        <f aca="false">-(MIN(D187,0)+MIN(F187,0)+MIN(G187,0)+MIN(H187,0)+MIN(I187,0)+MIN(J187,0))</f>
        <v>65000</v>
      </c>
      <c r="O187" s="27" t="n">
        <f aca="false">M187*C187</f>
        <v>73664.5602531741</v>
      </c>
      <c r="P187" s="27" t="n">
        <f aca="false">N187*C187</f>
        <v>33355.2776849959</v>
      </c>
      <c r="Q187" s="27" t="n">
        <f aca="false">L187*C187</f>
        <v>40309.2825681782</v>
      </c>
      <c r="R187" s="27" t="n">
        <f aca="false">R186+Q187</f>
        <v>3873976.04015911</v>
      </c>
      <c r="S187" s="10" t="n">
        <f aca="false">IF(MIN(R187:R$190)&gt;=0,1,0)</f>
        <v>1</v>
      </c>
      <c r="T187" s="27" t="n">
        <f aca="false">T186+L187</f>
        <v>5303679.23850143</v>
      </c>
      <c r="U187" s="10" t="n">
        <f aca="false">IF(AND(B187&gt;0,T187&gt;=0),1,0)</f>
        <v>1</v>
      </c>
      <c r="V187" s="27" t="n">
        <f aca="false">SUMIFS($AF$126:$AF$147,$B$126:$B$147,$A187)</f>
        <v>0</v>
      </c>
      <c r="W187" s="27" t="n">
        <f aca="false">SUMIFS($AG$126:$AG$147,$B$126:$B$147,$A187)</f>
        <v>65000</v>
      </c>
      <c r="X187" s="27" t="n">
        <f aca="false">SUMIFS($P$126:$P$147,$B$126:$B$147,$A187)</f>
        <v>213917.092466326</v>
      </c>
      <c r="Y187" s="27" t="n">
        <f aca="false">SUMIFS($Q$126:$Q$147,$B$126:$B$147,$A187)</f>
        <v>63540.552170281</v>
      </c>
    </row>
    <row r="188" customFormat="false" ht="15" hidden="false" customHeight="false" outlineLevel="0" collapsed="false">
      <c r="A188" s="22" t="n">
        <f aca="false">A187+1</f>
        <v>2034</v>
      </c>
      <c r="B188" s="10" t="n">
        <f aca="false">A188-base_year</f>
        <v>8</v>
      </c>
      <c r="C188" s="32" t="n">
        <f aca="false">1/(1+r_desc)^B188</f>
        <v>0.466507380209733</v>
      </c>
      <c r="D188" s="27" t="n">
        <f aca="false">SUMIFS($S$126:$S$147,$B$126:$B$147,$A188)</f>
        <v>169329.374122697</v>
      </c>
      <c r="E188" s="27" t="n">
        <f aca="false">SUMIFS($T$126:$T$147,$B$126:$B$147,$A188)</f>
        <v>8052.0375049732</v>
      </c>
      <c r="F188" s="27" t="n">
        <f aca="false">SUMIFS($V$126:$V$147,$B$126:$B$147,$A188)-SUMIFS($W$126:$W$147,$B$126:$B$147,$A188)</f>
        <v>0</v>
      </c>
      <c r="G188" s="27" t="n">
        <f aca="false">SUMIFS($X$126:$X$147,$B$126:$B$147,$A188)-SUMIFS($Y$126:$Y$147,$B$126:$B$147,$A188)</f>
        <v>0</v>
      </c>
      <c r="H188" s="27" t="n">
        <f aca="false">SUMIFS($Z$126:$Z$147,$B$126:$B$147,$A188)-SUMIFS($AA$126:$AA$147,$B$126:$B$147,$A188)</f>
        <v>0</v>
      </c>
      <c r="I188" s="27" t="n">
        <f aca="false">SUMIFS($AB$126:$AB$147,$B$126:$B$147,$A188)-SUMIFS($AC$126:$AC$147,$B$126:$B$147,$A188)</f>
        <v>0</v>
      </c>
      <c r="J188" s="27" t="n">
        <f aca="false">SUMIFS($AD$126:$AD$147,$B$126:$B$147,$A188)-SUMIFS($AE$126:$AE$147,$B$126:$B$147,$A188)</f>
        <v>-25000</v>
      </c>
      <c r="K188" s="27" t="n">
        <f aca="false">SUM(F188:J188)</f>
        <v>-25000</v>
      </c>
      <c r="L188" s="27" t="n">
        <f aca="false">K188+D188</f>
        <v>144329.374122697</v>
      </c>
      <c r="M188" s="27" t="n">
        <f aca="false">MAX(D188,0)+MAX(F188,0)+MAX(G188,0)+MAX(H188,0)+MAX(I188,0)+MAX(J188,0)</f>
        <v>169329.374122697</v>
      </c>
      <c r="N188" s="27" t="n">
        <f aca="false">-(MIN(D188,0)+MIN(F188,0)+MIN(G188,0)+MIN(H188,0)+MIN(I188,0)+MIN(J188,0))</f>
        <v>25000</v>
      </c>
      <c r="O188" s="27" t="n">
        <f aca="false">M188*C188</f>
        <v>78993.4027145333</v>
      </c>
      <c r="P188" s="27" t="n">
        <f aca="false">N188*C188</f>
        <v>11662.6845052433</v>
      </c>
      <c r="Q188" s="27" t="n">
        <f aca="false">L188*C188</f>
        <v>67330.71820929</v>
      </c>
      <c r="R188" s="27" t="n">
        <f aca="false">R187+Q188</f>
        <v>3941306.7583684</v>
      </c>
      <c r="S188" s="10" t="n">
        <f aca="false">IF(MIN(R188:R$190)&gt;=0,1,0)</f>
        <v>1</v>
      </c>
      <c r="T188" s="27" t="n">
        <f aca="false">T187+L188</f>
        <v>5448008.61262413</v>
      </c>
      <c r="U188" s="10" t="n">
        <f aca="false">IF(AND(B188&gt;0,T188&gt;=0),1,0)</f>
        <v>1</v>
      </c>
      <c r="V188" s="27" t="n">
        <f aca="false">SUMIFS($AF$126:$AF$147,$B$126:$B$147,$A188)</f>
        <v>0</v>
      </c>
      <c r="W188" s="27" t="n">
        <f aca="false">SUMIFS($AG$126:$AG$147,$B$126:$B$147,$A188)</f>
        <v>25000</v>
      </c>
      <c r="X188" s="27" t="n">
        <f aca="false">SUMIFS($P$126:$P$147,$B$126:$B$147,$A188)</f>
        <v>246000.43463756</v>
      </c>
      <c r="Y188" s="27" t="n">
        <f aca="false">SUMIFS($Q$126:$Q$147,$B$126:$B$147,$A188)</f>
        <v>68619.0230098894</v>
      </c>
    </row>
    <row r="189" customFormat="false" ht="15" hidden="false" customHeight="false" outlineLevel="0" collapsed="false">
      <c r="A189" s="22" t="n">
        <f aca="false">A188+1</f>
        <v>2035</v>
      </c>
      <c r="B189" s="10" t="n">
        <f aca="false">A189-base_year</f>
        <v>9</v>
      </c>
      <c r="C189" s="32" t="n">
        <f aca="false">1/(1+r_desc)^B189</f>
        <v>0.424097618372485</v>
      </c>
      <c r="D189" s="27" t="n">
        <f aca="false">SUMIFS($S$126:$S$147,$B$126:$B$147,$A189)</f>
        <v>199313.368897449</v>
      </c>
      <c r="E189" s="27" t="n">
        <f aca="false">SUMIFS($T$126:$T$147,$B$126:$B$147,$A189)</f>
        <v>9479.17081848069</v>
      </c>
      <c r="F189" s="27" t="n">
        <f aca="false">SUMIFS($V$126:$V$147,$B$126:$B$147,$A189)-SUMIFS($W$126:$W$147,$B$126:$B$147,$A189)</f>
        <v>0</v>
      </c>
      <c r="G189" s="27" t="n">
        <f aca="false">SUMIFS($X$126:$X$147,$B$126:$B$147,$A189)-SUMIFS($Y$126:$Y$147,$B$126:$B$147,$A189)</f>
        <v>25000</v>
      </c>
      <c r="H189" s="27" t="n">
        <f aca="false">SUMIFS($Z$126:$Z$147,$B$126:$B$147,$A189)-SUMIFS($AA$126:$AA$147,$B$126:$B$147,$A189)</f>
        <v>0</v>
      </c>
      <c r="I189" s="27" t="n">
        <f aca="false">SUMIFS($AB$126:$AB$147,$B$126:$B$147,$A189)-SUMIFS($AC$126:$AC$147,$B$126:$B$147,$A189)</f>
        <v>0</v>
      </c>
      <c r="J189" s="27" t="n">
        <f aca="false">SUMIFS($AD$126:$AD$147,$B$126:$B$147,$A189)-SUMIFS($AE$126:$AE$147,$B$126:$B$147,$A189)</f>
        <v>-25000</v>
      </c>
      <c r="K189" s="27" t="n">
        <f aca="false">SUM(F189:J189)</f>
        <v>0</v>
      </c>
      <c r="L189" s="27" t="n">
        <f aca="false">K189+D189</f>
        <v>199313.368897449</v>
      </c>
      <c r="M189" s="27" t="n">
        <f aca="false">MAX(D189,0)+MAX(F189,0)+MAX(G189,0)+MAX(H189,0)+MAX(I189,0)+MAX(J189,0)</f>
        <v>224313.368897449</v>
      </c>
      <c r="N189" s="27" t="n">
        <f aca="false">-(MIN(D189,0)+MIN(F189,0)+MIN(G189,0)+MIN(H189,0)+MIN(I189,0)+MIN(J189,0))</f>
        <v>25000</v>
      </c>
      <c r="O189" s="27" t="n">
        <f aca="false">M189*C189</f>
        <v>95130.7655185168</v>
      </c>
      <c r="P189" s="27" t="n">
        <f aca="false">N189*C189</f>
        <v>10602.4404593121</v>
      </c>
      <c r="Q189" s="27" t="n">
        <f aca="false">L189*C189</f>
        <v>84528.3250592047</v>
      </c>
      <c r="R189" s="27" t="n">
        <f aca="false">R188+Q189</f>
        <v>4025835.08342761</v>
      </c>
      <c r="S189" s="10" t="n">
        <f aca="false">IF(MIN(R189:R$190)&gt;=0,1,0)</f>
        <v>1</v>
      </c>
      <c r="T189" s="27" t="n">
        <f aca="false">T188+L189</f>
        <v>5647321.98152157</v>
      </c>
      <c r="U189" s="10" t="n">
        <f aca="false">IF(AND(B189&gt;0,T189&gt;=0),1,0)</f>
        <v>1</v>
      </c>
      <c r="V189" s="27" t="n">
        <f aca="false">SUMIFS($AF$126:$AF$147,$B$126:$B$147,$A189)</f>
        <v>25000</v>
      </c>
      <c r="W189" s="27" t="n">
        <f aca="false">SUMIFS($AG$126:$AG$147,$B$126:$B$147,$A189)</f>
        <v>25000</v>
      </c>
      <c r="X189" s="27" t="n">
        <f aca="false">SUMIFS($P$126:$P$147,$B$126:$B$147,$A189)</f>
        <v>282896.024832556</v>
      </c>
      <c r="Y189" s="27" t="n">
        <f aca="false">SUMIFS($Q$126:$Q$147,$B$126:$B$147,$A189)</f>
        <v>74103.4851166256</v>
      </c>
    </row>
    <row r="190" customFormat="false" ht="15" hidden="false" customHeight="false" outlineLevel="0" collapsed="false">
      <c r="A190" s="22" t="n">
        <f aca="false">A189+1</f>
        <v>2036</v>
      </c>
      <c r="B190" s="10" t="n">
        <f aca="false">A190-base_year</f>
        <v>10</v>
      </c>
      <c r="C190" s="32" t="n">
        <f aca="false">1/(1+r_desc)^B190</f>
        <v>0.385543289429531</v>
      </c>
      <c r="D190" s="27" t="n">
        <f aca="false">SUMIFS($S$126:$S$147,$B$126:$B$147,$A190)</f>
        <v>234161.400092678</v>
      </c>
      <c r="E190" s="27" t="n">
        <f aca="false">SUMIFS($T$126:$T$147,$B$126:$B$147,$A190)</f>
        <v>11137.8843562267</v>
      </c>
      <c r="F190" s="27" t="n">
        <f aca="false">SUMIFS($V$126:$V$147,$B$126:$B$147,$A190)-SUMIFS($W$126:$W$147,$B$126:$B$147,$A190)</f>
        <v>0</v>
      </c>
      <c r="G190" s="27" t="n">
        <f aca="false">SUMIFS($X$126:$X$147,$B$126:$B$147,$A190)-SUMIFS($Y$126:$Y$147,$B$126:$B$147,$A190)</f>
        <v>0</v>
      </c>
      <c r="H190" s="27" t="n">
        <f aca="false">SUMIFS($Z$126:$Z$147,$B$126:$B$147,$A190)-SUMIFS($AA$126:$AA$147,$B$126:$B$147,$A190)</f>
        <v>0</v>
      </c>
      <c r="I190" s="27" t="n">
        <f aca="false">SUMIFS($AB$126:$AB$147,$B$126:$B$147,$A190)-SUMIFS($AC$126:$AC$147,$B$126:$B$147,$A190)</f>
        <v>0</v>
      </c>
      <c r="J190" s="27" t="n">
        <f aca="false">SUMIFS($AD$126:$AD$147,$B$126:$B$147,$A190)-SUMIFS($AE$126:$AE$147,$B$126:$B$147,$A190)</f>
        <v>-25000</v>
      </c>
      <c r="K190" s="27" t="n">
        <f aca="false">SUM(F190:J190)</f>
        <v>-25000</v>
      </c>
      <c r="L190" s="27" t="n">
        <f aca="false">K190+D190</f>
        <v>209161.400092678</v>
      </c>
      <c r="M190" s="27" t="n">
        <f aca="false">MAX(D190,0)+MAX(F190,0)+MAX(G190,0)+MAX(H190,0)+MAX(I190,0)+MAX(J190,0)</f>
        <v>234161.400092678</v>
      </c>
      <c r="N190" s="27" t="n">
        <f aca="false">-(MIN(D190,0)+MIN(F190,0)+MIN(G190,0)+MIN(H190,0)+MIN(I190,0)+MIN(J190,0))</f>
        <v>25000</v>
      </c>
      <c r="O190" s="27" t="n">
        <f aca="false">M190*C190</f>
        <v>90279.3564491558</v>
      </c>
      <c r="P190" s="27" t="n">
        <f aca="false">N190*C190</f>
        <v>9638.58223573829</v>
      </c>
      <c r="Q190" s="27" t="n">
        <f aca="false">L190*C190</f>
        <v>80640.7742134175</v>
      </c>
      <c r="R190" s="27" t="n">
        <f aca="false">R189+Q190</f>
        <v>4106475.85764102</v>
      </c>
      <c r="S190" s="10" t="n">
        <f aca="false">IF(MIN(R190:R$190)&gt;=0,1,0)</f>
        <v>1</v>
      </c>
      <c r="T190" s="27" t="n">
        <f aca="false">T189+L190</f>
        <v>5856483.38161425</v>
      </c>
      <c r="U190" s="10" t="n">
        <f aca="false">IF(AND(B190&gt;0,T190&gt;=0),1,0)</f>
        <v>1</v>
      </c>
      <c r="V190" s="27" t="n">
        <f aca="false">SUMIFS($AF$126:$AF$147,$B$126:$B$147,$A190)</f>
        <v>0</v>
      </c>
      <c r="W190" s="27" t="n">
        <f aca="false">SUMIFS($AG$126:$AG$147,$B$126:$B$147,$A190)</f>
        <v>25000</v>
      </c>
      <c r="X190" s="27" t="n">
        <f aca="false">SUMIFS($P$126:$P$147,$B$126:$B$147,$A190)</f>
        <v>325325.685056762</v>
      </c>
      <c r="Y190" s="27" t="n">
        <f aca="false">SUMIFS($Q$126:$Q$147,$B$126:$B$147,$A190)</f>
        <v>80026.4006078574</v>
      </c>
    </row>
    <row r="192" customFormat="false" ht="15" hidden="false" customHeight="false" outlineLevel="0" collapsed="false">
      <c r="A192" s="33" t="s">
        <v>291</v>
      </c>
      <c r="B192" s="33" t="s">
        <v>292</v>
      </c>
      <c r="C192" s="33" t="s">
        <v>293</v>
      </c>
      <c r="D192" s="33" t="s">
        <v>294</v>
      </c>
    </row>
    <row r="193" customFormat="false" ht="15" hidden="false" customHeight="false" outlineLevel="0" collapsed="false">
      <c r="A193" s="10" t="s">
        <v>295</v>
      </c>
      <c r="B193" s="11" t="n">
        <v>1</v>
      </c>
      <c r="C193" s="11" t="n">
        <v>10</v>
      </c>
    </row>
    <row r="194" customFormat="false" ht="15" hidden="false" customHeight="false" outlineLevel="0" collapsed="false">
      <c r="A194" s="10" t="s">
        <v>296</v>
      </c>
      <c r="B194" s="27" t="n">
        <f aca="false">SUMPRODUCT(($B$180:$B$190&lt;=B$193)*$Q$180:$Q$190)</f>
        <v>-314883.467702194</v>
      </c>
      <c r="C194" s="27" t="n">
        <f aca="false">SUMPRODUCT(($B$180:$B$190&lt;=C$193)*$Q$180:$Q$190)</f>
        <v>4106475.85764102</v>
      </c>
      <c r="D194" s="10" t="s">
        <v>297</v>
      </c>
    </row>
    <row r="195" customFormat="false" ht="15" hidden="false" customHeight="false" outlineLevel="0" collapsed="false">
      <c r="A195" s="10" t="s">
        <v>298</v>
      </c>
      <c r="B195" s="27" t="n">
        <f aca="false">SUMPRODUCT(($B$180:$B$190&lt;=B$193)*$K$180:$K$190*$C$180:$C$190)</f>
        <v>-385181.818181818</v>
      </c>
      <c r="C195" s="27" t="n">
        <f aca="false">SUMPRODUCT(($B$180:$B$190&lt;=C$193)*$K$180:$K$190*$C$180:$C$190)</f>
        <v>3450958.79312096</v>
      </c>
      <c r="D195" s="10" t="s">
        <v>299</v>
      </c>
    </row>
    <row r="196" customFormat="false" ht="15" hidden="false" customHeight="false" outlineLevel="0" collapsed="false">
      <c r="A196" s="10" t="s">
        <v>300</v>
      </c>
      <c r="B196" s="27" t="n">
        <f aca="false">SUMPRODUCT(($B$180:$B$190&lt;=B$193)*$D$180:$D$190*$C$180:$C$190)</f>
        <v>70298.3504796241</v>
      </c>
      <c r="C196" s="27" t="n">
        <f aca="false">SUMPRODUCT(($B$180:$B$190&lt;=C$193)*$D$180:$D$190*$C$180:$C$190)</f>
        <v>655517.06452006</v>
      </c>
      <c r="D196" s="10" t="s">
        <v>301</v>
      </c>
    </row>
    <row r="197" customFormat="false" ht="15" hidden="false" customHeight="false" outlineLevel="0" collapsed="false">
      <c r="A197" s="10" t="s">
        <v>302</v>
      </c>
      <c r="B197" s="27" t="n">
        <f aca="false">SUMPRODUCT(($B$180:$B$190&lt;=B$193)*$O$180:$O$190)</f>
        <v>70298.3504796241</v>
      </c>
      <c r="C197" s="27" t="n">
        <f aca="false">SUMPRODUCT(($B$180:$B$190&lt;=C$193)*$O$180:$O$190)</f>
        <v>6075430.84113997</v>
      </c>
      <c r="D197" s="10" t="s">
        <v>303</v>
      </c>
    </row>
    <row r="198" customFormat="false" ht="15" hidden="false" customHeight="false" outlineLevel="0" collapsed="false">
      <c r="A198" s="10" t="s">
        <v>304</v>
      </c>
      <c r="B198" s="27" t="n">
        <f aca="false">SUMPRODUCT(($B$180:$B$190&lt;=B$193)*$P$180:$P$190)</f>
        <v>385181.818181818</v>
      </c>
      <c r="C198" s="27" t="n">
        <f aca="false">SUMPRODUCT(($B$180:$B$190&lt;=C$193)*$P$180:$P$190)</f>
        <v>1968954.98349894</v>
      </c>
      <c r="D198" s="10" t="s">
        <v>305</v>
      </c>
    </row>
    <row r="199" customFormat="false" ht="15" hidden="false" customHeight="false" outlineLevel="0" collapsed="false">
      <c r="A199" s="10" t="s">
        <v>306</v>
      </c>
      <c r="B199" s="18" t="n">
        <f aca="false">IF(B198=0,"n/a",B197/B198)</f>
        <v>0.18250692831623</v>
      </c>
      <c r="C199" s="18" t="n">
        <f aca="false">IF(C198=0,"n/a",C197/C198)</f>
        <v>3.08561185606366</v>
      </c>
      <c r="D199" s="10" t="s">
        <v>307</v>
      </c>
    </row>
    <row r="200" customFormat="false" ht="15" hidden="false" customHeight="false" outlineLevel="0" collapsed="false">
      <c r="A200" s="10" t="s">
        <v>308</v>
      </c>
      <c r="B200" s="20" t="n">
        <f aca="false">IF(B198=0,"n/a",(B197-B198)/B198)</f>
        <v>-0.81749307168377</v>
      </c>
      <c r="C200" s="20" t="n">
        <f aca="false">IF(C198=0,"n/a",(C197-C198)/C198)</f>
        <v>2.08561185606366</v>
      </c>
      <c r="D200" s="10" t="s">
        <v>309</v>
      </c>
    </row>
    <row r="201" customFormat="false" ht="15" hidden="false" customHeight="false" outlineLevel="0" collapsed="false">
      <c r="A201" s="10" t="s">
        <v>310</v>
      </c>
      <c r="C201" s="22" t="n">
        <f aca="false">IFERROR(INDEX($A$180:$A$190,MATCH(1,$S$180:$S$190,0)),"no recupera")</f>
        <v>2029</v>
      </c>
      <c r="D201" s="10" t="s">
        <v>311</v>
      </c>
    </row>
    <row r="202" customFormat="false" ht="15" hidden="false" customHeight="false" outlineLevel="0" collapsed="false">
      <c r="A202" s="10" t="s">
        <v>312</v>
      </c>
      <c r="C202" s="22" t="n">
        <f aca="false">IFERROR(INDEX($A$180:$A$190,MATCH(1,$U$180:$U$190,0)),"no recupera")</f>
        <v>2029</v>
      </c>
      <c r="D202" s="10" t="s">
        <v>313</v>
      </c>
    </row>
    <row r="204" customFormat="false" ht="15" hidden="false" customHeight="false" outlineLevel="0" collapsed="false">
      <c r="A204" s="10" t="s">
        <v>314</v>
      </c>
    </row>
    <row r="207" customFormat="false" ht="15" hidden="false" customHeight="false" outlineLevel="0" collapsed="false">
      <c r="A207" s="3" t="s">
        <v>315</v>
      </c>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customFormat="false" ht="17.35" hidden="false" customHeight="false" outlineLevel="0" collapsed="false">
      <c r="A208" s="7" t="s">
        <v>316</v>
      </c>
    </row>
    <row r="209" customFormat="false" ht="15" hidden="false" customHeight="false" outlineLevel="0" collapsed="false">
      <c r="A209" s="8" t="s">
        <v>317</v>
      </c>
    </row>
    <row r="210" customFormat="false" ht="15" hidden="false" customHeight="false" outlineLevel="0" collapsed="false">
      <c r="A210" s="2" t="s">
        <v>22</v>
      </c>
    </row>
    <row r="212" customFormat="false" ht="41.75" hidden="false" customHeight="false" outlineLevel="0" collapsed="false">
      <c r="A212" s="9" t="s">
        <v>158</v>
      </c>
      <c r="B212" s="9" t="s">
        <v>318</v>
      </c>
      <c r="C212" s="9" t="s">
        <v>319</v>
      </c>
      <c r="D212" s="9" t="s">
        <v>320</v>
      </c>
      <c r="E212" s="9" t="s">
        <v>321</v>
      </c>
      <c r="F212" s="9" t="s">
        <v>322</v>
      </c>
      <c r="G212" s="9" t="s">
        <v>323</v>
      </c>
      <c r="H212" s="9" t="s">
        <v>324</v>
      </c>
      <c r="I212" s="9" t="s">
        <v>325</v>
      </c>
      <c r="J212" s="9" t="s">
        <v>326</v>
      </c>
    </row>
    <row r="213" customFormat="false" ht="15" hidden="false" customHeight="false" outlineLevel="0" collapsed="false">
      <c r="A213" s="22" t="n">
        <f aca="false">A180</f>
        <v>2026</v>
      </c>
      <c r="B213" s="27" t="n">
        <f aca="false">V180</f>
        <v>33000</v>
      </c>
      <c r="C213" s="27" t="n">
        <f aca="false">X180</f>
        <v>138461.514675638</v>
      </c>
      <c r="D213" s="27" t="n">
        <f aca="false">B213+C213</f>
        <v>171461.514675638</v>
      </c>
      <c r="E213" s="27" t="n">
        <f aca="false">W180</f>
        <v>150000</v>
      </c>
      <c r="F213" s="27" t="n">
        <f aca="false">Y180</f>
        <v>137569.786462172</v>
      </c>
      <c r="G213" s="27" t="n">
        <f aca="false">E213+F213</f>
        <v>287569.786462172</v>
      </c>
      <c r="H213" s="27" t="n">
        <f aca="false">D213-G213</f>
        <v>-116108.271786534</v>
      </c>
      <c r="I213" s="27" t="n">
        <f aca="false">K180+D180+E180</f>
        <v>-116108.271786534</v>
      </c>
      <c r="J213" s="18" t="n">
        <f aca="false">ROUND(H213-I213,2)</f>
        <v>0</v>
      </c>
    </row>
    <row r="214" customFormat="false" ht="15" hidden="false" customHeight="false" outlineLevel="0" collapsed="false">
      <c r="A214" s="22" t="n">
        <f aca="false">A181</f>
        <v>2027</v>
      </c>
      <c r="B214" s="27" t="n">
        <f aca="false">V181</f>
        <v>0</v>
      </c>
      <c r="C214" s="27" t="n">
        <f aca="false">X181</f>
        <v>159453.67393035</v>
      </c>
      <c r="D214" s="27" t="n">
        <f aca="false">B214+C214</f>
        <v>159453.67393035</v>
      </c>
      <c r="E214" s="27" t="n">
        <f aca="false">W181</f>
        <v>295000</v>
      </c>
      <c r="F214" s="27" t="n">
        <f aca="false">Y181</f>
        <v>79191.8000370955</v>
      </c>
      <c r="G214" s="27" t="n">
        <f aca="false">E214+F214</f>
        <v>374191.800037095</v>
      </c>
      <c r="H214" s="27" t="n">
        <f aca="false">D214-G214</f>
        <v>-214738.126106745</v>
      </c>
      <c r="I214" s="27" t="n">
        <f aca="false">K181+D181+E181</f>
        <v>-214738.126106745</v>
      </c>
      <c r="J214" s="18" t="n">
        <f aca="false">ROUND(H214-I214,2)</f>
        <v>0</v>
      </c>
    </row>
    <row r="215" customFormat="false" ht="15" hidden="false" customHeight="false" outlineLevel="0" collapsed="false">
      <c r="A215" s="22" t="n">
        <f aca="false">A182</f>
        <v>2028</v>
      </c>
      <c r="B215" s="27" t="n">
        <f aca="false">V182</f>
        <v>0</v>
      </c>
      <c r="C215" s="27" t="n">
        <f aca="false">X182</f>
        <v>183639.243483943</v>
      </c>
      <c r="D215" s="27" t="n">
        <f aca="false">B215+C215</f>
        <v>183639.243483943</v>
      </c>
      <c r="E215" s="27" t="n">
        <f aca="false">W182</f>
        <v>955000</v>
      </c>
      <c r="F215" s="27" t="n">
        <f aca="false">Y182</f>
        <v>88906.6429113152</v>
      </c>
      <c r="G215" s="27" t="n">
        <f aca="false">E215+F215</f>
        <v>1043906.64291132</v>
      </c>
      <c r="H215" s="27" t="n">
        <f aca="false">D215-G215</f>
        <v>-860267.399427373</v>
      </c>
      <c r="I215" s="27" t="n">
        <f aca="false">K182+D182+E182</f>
        <v>-860267.399427372</v>
      </c>
      <c r="J215" s="18" t="n">
        <f aca="false">ROUND(H215-I215,2)</f>
        <v>0</v>
      </c>
    </row>
    <row r="216" customFormat="false" ht="15" hidden="false" customHeight="false" outlineLevel="0" collapsed="false">
      <c r="A216" s="22" t="n">
        <f aca="false">A183</f>
        <v>2029</v>
      </c>
      <c r="B216" s="27" t="n">
        <f aca="false">V183</f>
        <v>7175000</v>
      </c>
      <c r="C216" s="27" t="n">
        <f aca="false">X183</f>
        <v>122318.127581648</v>
      </c>
      <c r="D216" s="27" t="n">
        <f aca="false">B216+C216</f>
        <v>7297318.12758165</v>
      </c>
      <c r="E216" s="27" t="n">
        <f aca="false">W183</f>
        <v>25000</v>
      </c>
      <c r="F216" s="27" t="n">
        <f aca="false">Y183</f>
        <v>102215.887501608</v>
      </c>
      <c r="G216" s="27" t="n">
        <f aca="false">E216+F216</f>
        <v>127215.887501608</v>
      </c>
      <c r="H216" s="27" t="n">
        <f aca="false">D216-G216</f>
        <v>7170102.24008004</v>
      </c>
      <c r="I216" s="27" t="n">
        <f aca="false">K183+D183+E183</f>
        <v>7170102.24008004</v>
      </c>
      <c r="J216" s="18" t="n">
        <f aca="false">ROUND(H216-I216,2)</f>
        <v>0</v>
      </c>
    </row>
    <row r="217" customFormat="false" ht="15" hidden="false" customHeight="false" outlineLevel="0" collapsed="false">
      <c r="A217" s="22" t="n">
        <f aca="false">A184</f>
        <v>2030</v>
      </c>
      <c r="B217" s="27" t="n">
        <f aca="false">V184</f>
        <v>0</v>
      </c>
      <c r="C217" s="27" t="n">
        <f aca="false">X184</f>
        <v>140662.502738095</v>
      </c>
      <c r="D217" s="27" t="n">
        <f aca="false">B217+C217</f>
        <v>140662.502738095</v>
      </c>
      <c r="E217" s="27" t="n">
        <f aca="false">W184</f>
        <v>915000</v>
      </c>
      <c r="F217" s="27" t="n">
        <f aca="false">Y184</f>
        <v>84085.7779454088</v>
      </c>
      <c r="G217" s="27" t="n">
        <f aca="false">E217+F217</f>
        <v>999085.777945409</v>
      </c>
      <c r="H217" s="27" t="n">
        <f aca="false">D217-G217</f>
        <v>-858423.275207314</v>
      </c>
      <c r="I217" s="27" t="n">
        <f aca="false">K184+D184+E184</f>
        <v>-858423.275207314</v>
      </c>
      <c r="J217" s="18" t="n">
        <f aca="false">ROUND(H217-I217,2)</f>
        <v>0</v>
      </c>
    </row>
    <row r="218" customFormat="false" ht="15" hidden="false" customHeight="false" outlineLevel="0" collapsed="false">
      <c r="A218" s="22" t="n">
        <f aca="false">A185</f>
        <v>2031</v>
      </c>
      <c r="B218" s="27" t="n">
        <f aca="false">V185</f>
        <v>0</v>
      </c>
      <c r="C218" s="27" t="n">
        <f aca="false">X185</f>
        <v>161758.333529161</v>
      </c>
      <c r="D218" s="27" t="n">
        <f aca="false">B218+C218</f>
        <v>161758.333529161</v>
      </c>
      <c r="E218" s="27" t="n">
        <f aca="false">W185</f>
        <v>115000</v>
      </c>
      <c r="F218" s="27" t="n">
        <f aca="false">Y185</f>
        <v>54625.1846679943</v>
      </c>
      <c r="G218" s="27" t="n">
        <f aca="false">E218+F218</f>
        <v>169625.184667994</v>
      </c>
      <c r="H218" s="27" t="n">
        <f aca="false">D218-G218</f>
        <v>-7866.85113883359</v>
      </c>
      <c r="I218" s="27" t="n">
        <f aca="false">K185+D185+E185</f>
        <v>-7866.85113883359</v>
      </c>
      <c r="J218" s="18" t="n">
        <f aca="false">ROUND(H218-I218,2)</f>
        <v>0</v>
      </c>
    </row>
    <row r="219" customFormat="false" ht="15" hidden="false" customHeight="false" outlineLevel="0" collapsed="false">
      <c r="A219" s="22" t="n">
        <f aca="false">A186</f>
        <v>2032</v>
      </c>
      <c r="B219" s="27" t="n">
        <f aca="false">V186</f>
        <v>33000</v>
      </c>
      <c r="C219" s="27" t="n">
        <f aca="false">X186</f>
        <v>186018.326261707</v>
      </c>
      <c r="D219" s="27" t="n">
        <f aca="false">B219+C219</f>
        <v>219018.326261707</v>
      </c>
      <c r="E219" s="27" t="n">
        <f aca="false">W186</f>
        <v>25000</v>
      </c>
      <c r="F219" s="27" t="n">
        <f aca="false">Y186</f>
        <v>58988.1190243012</v>
      </c>
      <c r="G219" s="27" t="n">
        <f aca="false">E219+F219</f>
        <v>83988.1190243012</v>
      </c>
      <c r="H219" s="27" t="n">
        <f aca="false">D219-G219</f>
        <v>135030.207237406</v>
      </c>
      <c r="I219" s="27" t="n">
        <f aca="false">K186+D186+E186</f>
        <v>135030.207237406</v>
      </c>
      <c r="J219" s="18" t="n">
        <f aca="false">ROUND(H219-I219,2)</f>
        <v>0</v>
      </c>
    </row>
    <row r="220" customFormat="false" ht="15" hidden="false" customHeight="false" outlineLevel="0" collapsed="false">
      <c r="A220" s="22" t="n">
        <f aca="false">A187</f>
        <v>2033</v>
      </c>
      <c r="B220" s="27" t="n">
        <f aca="false">V187</f>
        <v>0</v>
      </c>
      <c r="C220" s="27" t="n">
        <f aca="false">X187</f>
        <v>213917.092466326</v>
      </c>
      <c r="D220" s="27" t="n">
        <f aca="false">B220+C220</f>
        <v>213917.092466326</v>
      </c>
      <c r="E220" s="27" t="n">
        <f aca="false">W187</f>
        <v>65000</v>
      </c>
      <c r="F220" s="27" t="n">
        <f aca="false">Y187</f>
        <v>63540.552170281</v>
      </c>
      <c r="G220" s="27" t="n">
        <f aca="false">E220+F220</f>
        <v>128540.552170281</v>
      </c>
      <c r="H220" s="27" t="n">
        <f aca="false">D220-G220</f>
        <v>85376.5402960453</v>
      </c>
      <c r="I220" s="27" t="n">
        <f aca="false">K187+D187+E187</f>
        <v>85376.5402960453</v>
      </c>
      <c r="J220" s="18" t="n">
        <f aca="false">ROUND(H220-I220,2)</f>
        <v>0</v>
      </c>
    </row>
    <row r="221" customFormat="false" ht="15" hidden="false" customHeight="false" outlineLevel="0" collapsed="false">
      <c r="A221" s="22" t="n">
        <f aca="false">A188</f>
        <v>2034</v>
      </c>
      <c r="B221" s="27" t="n">
        <f aca="false">V188</f>
        <v>0</v>
      </c>
      <c r="C221" s="27" t="n">
        <f aca="false">X188</f>
        <v>246000.43463756</v>
      </c>
      <c r="D221" s="27" t="n">
        <f aca="false">B221+C221</f>
        <v>246000.43463756</v>
      </c>
      <c r="E221" s="27" t="n">
        <f aca="false">W188</f>
        <v>25000</v>
      </c>
      <c r="F221" s="27" t="n">
        <f aca="false">Y188</f>
        <v>68619.0230098894</v>
      </c>
      <c r="G221" s="27" t="n">
        <f aca="false">E221+F221</f>
        <v>93619.0230098894</v>
      </c>
      <c r="H221" s="27" t="n">
        <f aca="false">D221-G221</f>
        <v>152381.41162767</v>
      </c>
      <c r="I221" s="27" t="n">
        <f aca="false">K188+D188+E188</f>
        <v>152381.411627671</v>
      </c>
      <c r="J221" s="18" t="n">
        <f aca="false">ROUND(H221-I221,2)</f>
        <v>0</v>
      </c>
    </row>
    <row r="222" customFormat="false" ht="15" hidden="false" customHeight="false" outlineLevel="0" collapsed="false">
      <c r="A222" s="22" t="n">
        <f aca="false">A189</f>
        <v>2035</v>
      </c>
      <c r="B222" s="27" t="n">
        <f aca="false">V189</f>
        <v>25000</v>
      </c>
      <c r="C222" s="27" t="n">
        <f aca="false">X189</f>
        <v>282896.024832556</v>
      </c>
      <c r="D222" s="27" t="n">
        <f aca="false">B222+C222</f>
        <v>307896.024832556</v>
      </c>
      <c r="E222" s="27" t="n">
        <f aca="false">W189</f>
        <v>25000</v>
      </c>
      <c r="F222" s="27" t="n">
        <f aca="false">Y189</f>
        <v>74103.4851166256</v>
      </c>
      <c r="G222" s="27" t="n">
        <f aca="false">E222+F222</f>
        <v>99103.4851166256</v>
      </c>
      <c r="H222" s="27" t="n">
        <f aca="false">D222-G222</f>
        <v>208792.53971593</v>
      </c>
      <c r="I222" s="27" t="n">
        <f aca="false">K189+D189+E189</f>
        <v>208792.53971593</v>
      </c>
      <c r="J222" s="18" t="n">
        <f aca="false">ROUND(H222-I222,2)</f>
        <v>0</v>
      </c>
    </row>
    <row r="223" customFormat="false" ht="15" hidden="false" customHeight="false" outlineLevel="0" collapsed="false">
      <c r="A223" s="22" t="n">
        <f aca="false">A190</f>
        <v>2036</v>
      </c>
      <c r="B223" s="27" t="n">
        <f aca="false">V190</f>
        <v>0</v>
      </c>
      <c r="C223" s="27" t="n">
        <f aca="false">X190</f>
        <v>325325.685056762</v>
      </c>
      <c r="D223" s="27" t="n">
        <f aca="false">B223+C223</f>
        <v>325325.685056762</v>
      </c>
      <c r="E223" s="27" t="n">
        <f aca="false">W190</f>
        <v>25000</v>
      </c>
      <c r="F223" s="27" t="n">
        <f aca="false">Y190</f>
        <v>80026.4006078574</v>
      </c>
      <c r="G223" s="27" t="n">
        <f aca="false">E223+F223</f>
        <v>105026.400607857</v>
      </c>
      <c r="H223" s="27" t="n">
        <f aca="false">D223-G223</f>
        <v>220299.284448905</v>
      </c>
      <c r="I223" s="27" t="n">
        <f aca="false">K190+D190+E190</f>
        <v>220299.284448905</v>
      </c>
      <c r="J223" s="18" t="n">
        <f aca="false">ROUND(H223-I223,2)</f>
        <v>0</v>
      </c>
    </row>
    <row r="224" customFormat="false" ht="15" hidden="false" customHeight="false" outlineLevel="0" collapsed="false">
      <c r="A224" s="17" t="s">
        <v>327</v>
      </c>
      <c r="B224" s="34" t="n">
        <f aca="false">SUM(B213:B223)</f>
        <v>7266000</v>
      </c>
      <c r="C224" s="34" t="n">
        <f aca="false">SUM(C213:C223)</f>
        <v>2160450.95919375</v>
      </c>
      <c r="D224" s="34" t="n">
        <f aca="false">SUM(D213:D223)</f>
        <v>9426450.95919375</v>
      </c>
      <c r="E224" s="34" t="n">
        <f aca="false">SUM(E213:E223)</f>
        <v>2620000</v>
      </c>
      <c r="F224" s="34" t="n">
        <f aca="false">SUM(F213:F223)</f>
        <v>891872.659454549</v>
      </c>
      <c r="G224" s="34" t="n">
        <f aca="false">SUM(G213:G223)</f>
        <v>3511872.65945455</v>
      </c>
      <c r="H224" s="34" t="n">
        <f aca="false">SUM(H213:H223)</f>
        <v>5914578.2997392</v>
      </c>
      <c r="I224" s="34" t="n">
        <f aca="false">SUM(I213:I223)</f>
        <v>5914578.2997392</v>
      </c>
      <c r="J224" s="34" t="n">
        <f aca="false">SUM(J213:J223)</f>
        <v>0</v>
      </c>
    </row>
    <row r="227" customFormat="false" ht="15" hidden="false" customHeight="false" outlineLevel="0" collapsed="false">
      <c r="A227" s="17" t="s">
        <v>328</v>
      </c>
    </row>
    <row r="230" customFormat="false" ht="15" hidden="false" customHeight="false" outlineLevel="0" collapsed="false">
      <c r="A230" s="3" t="s">
        <v>329</v>
      </c>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customFormat="false" ht="17.35" hidden="false" customHeight="false" outlineLevel="0" collapsed="false">
      <c r="A231" s="7" t="s">
        <v>330</v>
      </c>
    </row>
    <row r="232" customFormat="false" ht="15" hidden="false" customHeight="false" outlineLevel="0" collapsed="false">
      <c r="A232" s="8" t="s">
        <v>331</v>
      </c>
    </row>
    <row r="233" customFormat="false" ht="15" hidden="false" customHeight="false" outlineLevel="0" collapsed="false">
      <c r="A233" s="2" t="s">
        <v>22</v>
      </c>
    </row>
    <row r="235" customFormat="false" ht="28.35" hidden="false" customHeight="false" outlineLevel="0" collapsed="false">
      <c r="A235" s="9" t="s">
        <v>53</v>
      </c>
      <c r="B235" s="9" t="s">
        <v>332</v>
      </c>
      <c r="C235" s="9" t="s">
        <v>333</v>
      </c>
      <c r="D235" s="9" t="s">
        <v>334</v>
      </c>
      <c r="E235" s="9" t="s">
        <v>335</v>
      </c>
      <c r="F235" s="9" t="s">
        <v>336</v>
      </c>
      <c r="G235" s="9" t="s">
        <v>337</v>
      </c>
      <c r="H235" s="9" t="s">
        <v>338</v>
      </c>
      <c r="I235" s="9" t="s">
        <v>339</v>
      </c>
    </row>
    <row r="236" customFormat="false" ht="15" hidden="false" customHeight="false" outlineLevel="0" collapsed="false">
      <c r="A236" s="10" t="s">
        <v>340</v>
      </c>
      <c r="B236" s="18" t="n">
        <v>0.5</v>
      </c>
      <c r="C236" s="18" t="n">
        <v>1.5</v>
      </c>
      <c r="D236" s="27" t="n">
        <v>2420209</v>
      </c>
      <c r="E236" s="27" t="n">
        <v>4106476</v>
      </c>
      <c r="F236" s="27" t="n">
        <v>5792743</v>
      </c>
      <c r="G236" s="27" t="n">
        <f aca="false">ABS(F236-D236)</f>
        <v>3372534</v>
      </c>
      <c r="H236" s="20" t="n">
        <f aca="false">D236/E236-1</f>
        <v>-0.410636029529943</v>
      </c>
      <c r="I236" s="20" t="n">
        <f aca="false">F236/E236-1</f>
        <v>0.410636029529943</v>
      </c>
    </row>
    <row r="237" customFormat="false" ht="15" hidden="false" customHeight="false" outlineLevel="0" collapsed="false">
      <c r="A237" s="10" t="s">
        <v>62</v>
      </c>
      <c r="B237" s="18" t="n">
        <v>0.6</v>
      </c>
      <c r="C237" s="18" t="n">
        <v>1.4</v>
      </c>
      <c r="D237" s="27" t="n">
        <v>2757462</v>
      </c>
      <c r="E237" s="27" t="n">
        <v>4106476</v>
      </c>
      <c r="F237" s="27" t="n">
        <v>5455490</v>
      </c>
      <c r="G237" s="27" t="n">
        <f aca="false">ABS(F237-D237)</f>
        <v>2698028</v>
      </c>
      <c r="H237" s="20" t="n">
        <f aca="false">D237/E237-1</f>
        <v>-0.328508921031074</v>
      </c>
      <c r="I237" s="20" t="n">
        <f aca="false">F237/E237-1</f>
        <v>0.328508921031074</v>
      </c>
    </row>
    <row r="238" customFormat="false" ht="15" hidden="false" customHeight="false" outlineLevel="0" collapsed="false">
      <c r="A238" s="10" t="s">
        <v>341</v>
      </c>
      <c r="B238" s="18" t="n">
        <v>0.8</v>
      </c>
      <c r="C238" s="18" t="n">
        <v>1.4</v>
      </c>
      <c r="D238" s="27" t="n">
        <v>3958427</v>
      </c>
      <c r="E238" s="27" t="n">
        <v>4106476</v>
      </c>
      <c r="F238" s="27" t="n">
        <v>4402574</v>
      </c>
      <c r="G238" s="27" t="n">
        <f aca="false">ABS(F238-D238)</f>
        <v>444147</v>
      </c>
      <c r="H238" s="20" t="n">
        <f aca="false">D238/E238-1</f>
        <v>-0.0360525667263123</v>
      </c>
      <c r="I238" s="20" t="n">
        <f aca="false">F238/E238-1</f>
        <v>0.0721051334526246</v>
      </c>
    </row>
    <row r="239" customFormat="false" ht="15" hidden="false" customHeight="false" outlineLevel="0" collapsed="false">
      <c r="A239" s="10" t="s">
        <v>60</v>
      </c>
      <c r="B239" s="18" t="n">
        <v>0.7</v>
      </c>
      <c r="C239" s="18" t="n">
        <v>1.3</v>
      </c>
      <c r="D239" s="27" t="n">
        <v>4080268</v>
      </c>
      <c r="E239" s="27" t="n">
        <v>4106476</v>
      </c>
      <c r="F239" s="27" t="n">
        <v>4132684</v>
      </c>
      <c r="G239" s="27" t="n">
        <f aca="false">ABS(F239-D239)</f>
        <v>52416</v>
      </c>
      <c r="H239" s="20" t="n">
        <f aca="false">D239/E239-1</f>
        <v>-0.00638211449427684</v>
      </c>
      <c r="I239" s="20" t="n">
        <f aca="false">F239/E239-1</f>
        <v>0.00638211449427684</v>
      </c>
    </row>
    <row r="240" customFormat="false" ht="15" hidden="false" customHeight="false" outlineLevel="0" collapsed="false">
      <c r="A240" s="10" t="s">
        <v>342</v>
      </c>
      <c r="B240" s="18" t="n">
        <v>0.8</v>
      </c>
      <c r="C240" s="18" t="n">
        <v>1.3</v>
      </c>
      <c r="D240" s="27" t="n">
        <v>4124379</v>
      </c>
      <c r="E240" s="27" t="n">
        <v>4106476</v>
      </c>
      <c r="F240" s="27" t="n">
        <v>4079621</v>
      </c>
      <c r="G240" s="27" t="n">
        <f aca="false">ABS(F240-D240)</f>
        <v>44758</v>
      </c>
      <c r="H240" s="20" t="n">
        <f aca="false">D240/E240-1</f>
        <v>0.00435969916785095</v>
      </c>
      <c r="I240" s="20" t="n">
        <f aca="false">F240/E240-1</f>
        <v>-0.00653967051067628</v>
      </c>
    </row>
    <row r="243" customFormat="false" ht="15" hidden="false" customHeight="false" outlineLevel="0" collapsed="false">
      <c r="A243" s="17" t="s">
        <v>343</v>
      </c>
    </row>
    <row r="244" customFormat="false" ht="28.35" hidden="false" customHeight="false" outlineLevel="0" collapsed="false">
      <c r="A244" s="9" t="s">
        <v>344</v>
      </c>
      <c r="B244" s="9" t="s">
        <v>345</v>
      </c>
      <c r="C244" s="9"/>
      <c r="D244" s="9" t="s">
        <v>346</v>
      </c>
      <c r="E244" s="9" t="s">
        <v>347</v>
      </c>
      <c r="F244" s="9" t="s">
        <v>348</v>
      </c>
      <c r="G244" s="9" t="s">
        <v>349</v>
      </c>
      <c r="H244" s="9" t="s">
        <v>350</v>
      </c>
    </row>
    <row r="245" customFormat="false" ht="15" hidden="false" customHeight="false" outlineLevel="0" collapsed="false">
      <c r="A245" s="10" t="s">
        <v>55</v>
      </c>
      <c r="B245" s="10" t="s">
        <v>351</v>
      </c>
      <c r="D245" s="27" t="n">
        <v>-314883</v>
      </c>
      <c r="E245" s="27" t="n">
        <v>4106476</v>
      </c>
      <c r="F245" s="18" t="n">
        <v>3.08561185606366</v>
      </c>
      <c r="G245" s="20" t="n">
        <v>2.08561185606366</v>
      </c>
      <c r="H245" s="10" t="n">
        <v>2029</v>
      </c>
    </row>
    <row r="246" customFormat="false" ht="15" hidden="false" customHeight="false" outlineLevel="0" collapsed="false">
      <c r="A246" s="10" t="s">
        <v>352</v>
      </c>
      <c r="B246" s="10" t="s">
        <v>353</v>
      </c>
      <c r="D246" s="27" t="n">
        <v>-453614</v>
      </c>
      <c r="E246" s="27" t="n">
        <v>1988736</v>
      </c>
      <c r="F246" s="18" t="n">
        <v>2.14107406246837</v>
      </c>
      <c r="G246" s="20" t="n">
        <v>1.14107406246837</v>
      </c>
      <c r="H246" s="10" t="n">
        <v>2029</v>
      </c>
    </row>
    <row r="247" customFormat="false" ht="15" hidden="false" customHeight="false" outlineLevel="0" collapsed="false">
      <c r="A247" s="10" t="s">
        <v>354</v>
      </c>
      <c r="B247" s="10" t="s">
        <v>355</v>
      </c>
      <c r="D247" s="27" t="n">
        <v>-211376</v>
      </c>
      <c r="E247" s="27" t="n">
        <v>7712327</v>
      </c>
      <c r="F247" s="18" t="n">
        <v>3.861869103571</v>
      </c>
      <c r="G247" s="20" t="n">
        <v>2.861869103571</v>
      </c>
      <c r="H247" s="10" t="n">
        <v>2029</v>
      </c>
    </row>
    <row r="249" customFormat="false" ht="15" hidden="false" customHeight="false" outlineLevel="0" collapsed="false">
      <c r="A249" s="10" t="s">
        <v>356</v>
      </c>
      <c r="D249" s="18" t="n">
        <f aca="false">ROUND(C194-E245,0)</f>
        <v>-0</v>
      </c>
      <c r="E249" s="10" t="s">
        <v>357</v>
      </c>
    </row>
    <row r="251" customFormat="false" ht="15" hidden="false" customHeight="false" outlineLevel="0" collapsed="false">
      <c r="A251" s="17" t="s">
        <v>358</v>
      </c>
    </row>
    <row r="252" customFormat="false" ht="28.35" hidden="false" customHeight="false" outlineLevel="0" collapsed="false">
      <c r="A252" s="9" t="s">
        <v>359</v>
      </c>
      <c r="B252" s="9"/>
      <c r="C252" s="9"/>
      <c r="D252" s="9" t="s">
        <v>360</v>
      </c>
    </row>
    <row r="253" customFormat="false" ht="15" hidden="false" customHeight="false" outlineLevel="0" collapsed="false">
      <c r="A253" s="20" t="n">
        <v>0.06</v>
      </c>
      <c r="D253" s="27" t="n">
        <v>4704479</v>
      </c>
    </row>
    <row r="254" customFormat="false" ht="15" hidden="false" customHeight="false" outlineLevel="0" collapsed="false">
      <c r="A254" s="20" t="n">
        <v>0.08</v>
      </c>
      <c r="D254" s="27" t="n">
        <v>4391433</v>
      </c>
    </row>
    <row r="255" customFormat="false" ht="15" hidden="false" customHeight="false" outlineLevel="0" collapsed="false">
      <c r="A255" s="20" t="n">
        <v>0.1</v>
      </c>
      <c r="D255" s="27" t="n">
        <v>4106476</v>
      </c>
    </row>
    <row r="256" customFormat="false" ht="15" hidden="false" customHeight="false" outlineLevel="0" collapsed="false">
      <c r="A256" s="20" t="n">
        <v>0.12</v>
      </c>
      <c r="D256" s="27" t="n">
        <v>3846223</v>
      </c>
    </row>
    <row r="257" customFormat="false" ht="15" hidden="false" customHeight="false" outlineLevel="0" collapsed="false">
      <c r="A257" s="20" t="n">
        <v>0.15</v>
      </c>
      <c r="D257" s="27" t="n">
        <v>3496003</v>
      </c>
    </row>
    <row r="259" customFormat="false" ht="15" hidden="false" customHeight="false" outlineLevel="0" collapsed="false">
      <c r="A259" s="10" t="s">
        <v>361</v>
      </c>
    </row>
    <row r="262" customFormat="false" ht="15" hidden="false" customHeight="false" outlineLevel="0" collapsed="false">
      <c r="A262" s="3" t="s">
        <v>362</v>
      </c>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customFormat="false" ht="17.35" hidden="false" customHeight="false" outlineLevel="0" collapsed="false">
      <c r="A263" s="7" t="s">
        <v>363</v>
      </c>
    </row>
    <row r="264" customFormat="false" ht="15" hidden="false" customHeight="false" outlineLevel="0" collapsed="false">
      <c r="A264" s="8" t="s">
        <v>364</v>
      </c>
    </row>
    <row r="267" customFormat="false" ht="28.35" hidden="false" customHeight="false" outlineLevel="0" collapsed="false">
      <c r="A267" s="9" t="s">
        <v>365</v>
      </c>
      <c r="B267" s="9" t="s">
        <v>146</v>
      </c>
      <c r="C267" s="9" t="s">
        <v>366</v>
      </c>
      <c r="D267" s="9" t="s">
        <v>367</v>
      </c>
      <c r="E267" s="9" t="s">
        <v>368</v>
      </c>
      <c r="F267" s="9" t="s">
        <v>369</v>
      </c>
      <c r="G267" s="9" t="s">
        <v>26</v>
      </c>
      <c r="H267" s="9" t="s">
        <v>27</v>
      </c>
    </row>
    <row r="268" customFormat="false" ht="15" hidden="false" customHeight="false" outlineLevel="0" collapsed="false">
      <c r="A268" s="10" t="s">
        <v>370</v>
      </c>
      <c r="B268" s="10" t="s">
        <v>371</v>
      </c>
      <c r="C268" s="11" t="n">
        <v>210</v>
      </c>
      <c r="D268" s="11" t="n">
        <v>0</v>
      </c>
      <c r="E268" s="10" t="n">
        <f aca="false">C268</f>
        <v>210</v>
      </c>
      <c r="F268" s="10" t="n">
        <f aca="false">D268</f>
        <v>0</v>
      </c>
      <c r="G268" s="10" t="s">
        <v>372</v>
      </c>
      <c r="H268" s="10" t="s">
        <v>86</v>
      </c>
    </row>
    <row r="269" customFormat="false" ht="15" hidden="false" customHeight="false" outlineLevel="0" collapsed="false">
      <c r="A269" s="10" t="s">
        <v>373</v>
      </c>
      <c r="B269" s="10" t="s">
        <v>374</v>
      </c>
      <c r="C269" s="11" t="n">
        <v>720</v>
      </c>
      <c r="D269" s="11" t="n">
        <v>0</v>
      </c>
      <c r="E269" s="10" t="n">
        <f aca="false">C269</f>
        <v>720</v>
      </c>
      <c r="F269" s="10" t="n">
        <f aca="false">D269</f>
        <v>0</v>
      </c>
      <c r="G269" s="10" t="s">
        <v>375</v>
      </c>
      <c r="H269" s="10" t="s">
        <v>86</v>
      </c>
    </row>
    <row r="270" customFormat="false" ht="15" hidden="false" customHeight="false" outlineLevel="0" collapsed="false">
      <c r="A270" s="10" t="s">
        <v>376</v>
      </c>
      <c r="B270" s="10" t="s">
        <v>377</v>
      </c>
      <c r="C270" s="11" t="n">
        <v>600</v>
      </c>
      <c r="D270" s="11" t="n">
        <v>0</v>
      </c>
      <c r="E270" s="10" t="n">
        <f aca="false">C270</f>
        <v>600</v>
      </c>
      <c r="F270" s="10" t="n">
        <f aca="false">D270</f>
        <v>0</v>
      </c>
      <c r="G270" s="10" t="s">
        <v>375</v>
      </c>
      <c r="H270" s="10" t="s">
        <v>86</v>
      </c>
    </row>
    <row r="271" customFormat="false" ht="15" hidden="false" customHeight="false" outlineLevel="0" collapsed="false">
      <c r="A271" s="10" t="s">
        <v>378</v>
      </c>
      <c r="B271" s="10" t="s">
        <v>379</v>
      </c>
      <c r="C271" s="11" t="n">
        <v>480</v>
      </c>
      <c r="D271" s="11" t="n">
        <v>0</v>
      </c>
      <c r="E271" s="10" t="n">
        <f aca="false">C271</f>
        <v>480</v>
      </c>
      <c r="F271" s="10" t="n">
        <f aca="false">D271</f>
        <v>0</v>
      </c>
      <c r="G271" s="10" t="s">
        <v>375</v>
      </c>
      <c r="H271" s="10" t="s">
        <v>86</v>
      </c>
    </row>
    <row r="272" customFormat="false" ht="15" hidden="false" customHeight="false" outlineLevel="0" collapsed="false">
      <c r="A272" s="10" t="s">
        <v>380</v>
      </c>
      <c r="B272" s="10" t="s">
        <v>381</v>
      </c>
      <c r="C272" s="11" t="n">
        <v>360</v>
      </c>
      <c r="D272" s="11" t="n">
        <v>0</v>
      </c>
      <c r="E272" s="10" t="n">
        <f aca="false">C272</f>
        <v>360</v>
      </c>
      <c r="F272" s="10" t="n">
        <f aca="false">D272</f>
        <v>0</v>
      </c>
      <c r="G272" s="10" t="s">
        <v>375</v>
      </c>
      <c r="H272" s="10" t="s">
        <v>86</v>
      </c>
    </row>
    <row r="273" customFormat="false" ht="15" hidden="false" customHeight="false" outlineLevel="0" collapsed="false">
      <c r="A273" s="10" t="s">
        <v>382</v>
      </c>
      <c r="B273" s="10" t="s">
        <v>383</v>
      </c>
      <c r="C273" s="11" t="n">
        <v>660</v>
      </c>
      <c r="D273" s="11" t="n">
        <v>0</v>
      </c>
      <c r="E273" s="10" t="n">
        <f aca="false">C273</f>
        <v>660</v>
      </c>
      <c r="F273" s="10" t="n">
        <f aca="false">D273</f>
        <v>0</v>
      </c>
      <c r="G273" s="10" t="s">
        <v>375</v>
      </c>
      <c r="H273" s="10" t="s">
        <v>86</v>
      </c>
    </row>
    <row r="274" customFormat="false" ht="15" hidden="false" customHeight="false" outlineLevel="0" collapsed="false">
      <c r="A274" s="10" t="s">
        <v>384</v>
      </c>
      <c r="B274" s="10" t="s">
        <v>385</v>
      </c>
      <c r="C274" s="11" t="n">
        <v>540</v>
      </c>
      <c r="D274" s="11" t="n">
        <v>0</v>
      </c>
      <c r="E274" s="10" t="n">
        <f aca="false">C274</f>
        <v>540</v>
      </c>
      <c r="F274" s="10" t="n">
        <f aca="false">D274</f>
        <v>0</v>
      </c>
      <c r="G274" s="10" t="s">
        <v>375</v>
      </c>
      <c r="H274" s="10" t="s">
        <v>86</v>
      </c>
    </row>
    <row r="275" customFormat="false" ht="15" hidden="false" customHeight="false" outlineLevel="0" collapsed="false">
      <c r="A275" s="10" t="s">
        <v>386</v>
      </c>
      <c r="B275" s="10" t="s">
        <v>387</v>
      </c>
      <c r="C275" s="11" t="n">
        <v>420</v>
      </c>
      <c r="D275" s="11" t="n">
        <v>0</v>
      </c>
      <c r="E275" s="10" t="n">
        <f aca="false">C275</f>
        <v>420</v>
      </c>
      <c r="F275" s="10" t="n">
        <f aca="false">D275</f>
        <v>0</v>
      </c>
      <c r="G275" s="10" t="s">
        <v>375</v>
      </c>
      <c r="H275" s="10" t="s">
        <v>86</v>
      </c>
    </row>
    <row r="276" customFormat="false" ht="15" hidden="false" customHeight="false" outlineLevel="0" collapsed="false">
      <c r="A276" s="10" t="s">
        <v>388</v>
      </c>
      <c r="B276" s="10" t="s">
        <v>389</v>
      </c>
      <c r="C276" s="11" t="n">
        <v>300</v>
      </c>
      <c r="D276" s="11" t="n">
        <v>0</v>
      </c>
      <c r="E276" s="10" t="n">
        <f aca="false">C276</f>
        <v>300</v>
      </c>
      <c r="F276" s="10" t="n">
        <f aca="false">D276</f>
        <v>0</v>
      </c>
      <c r="G276" s="10" t="s">
        <v>375</v>
      </c>
      <c r="H276" s="10" t="s">
        <v>86</v>
      </c>
    </row>
    <row r="277" customFormat="false" ht="15" hidden="false" customHeight="false" outlineLevel="0" collapsed="false">
      <c r="A277" s="10" t="s">
        <v>390</v>
      </c>
      <c r="B277" s="10" t="s">
        <v>391</v>
      </c>
      <c r="C277" s="11" t="n">
        <v>720</v>
      </c>
      <c r="D277" s="11" t="n">
        <v>12</v>
      </c>
      <c r="E277" s="11" t="n">
        <v>1440</v>
      </c>
      <c r="F277" s="11" t="n">
        <v>0</v>
      </c>
      <c r="G277" s="10" t="s">
        <v>392</v>
      </c>
      <c r="H277" s="10" t="s">
        <v>86</v>
      </c>
    </row>
    <row r="278" customFormat="false" ht="15" hidden="false" customHeight="false" outlineLevel="0" collapsed="false">
      <c r="A278" s="10" t="s">
        <v>393</v>
      </c>
      <c r="B278" s="10" t="s">
        <v>394</v>
      </c>
      <c r="C278" s="11" t="n">
        <v>600</v>
      </c>
      <c r="D278" s="11" t="n">
        <v>10</v>
      </c>
      <c r="E278" s="11" t="n">
        <v>1200</v>
      </c>
      <c r="F278" s="11" t="n">
        <v>0</v>
      </c>
      <c r="G278" s="10" t="s">
        <v>392</v>
      </c>
      <c r="H278" s="10" t="s">
        <v>86</v>
      </c>
    </row>
    <row r="279" customFormat="false" ht="15" hidden="false" customHeight="false" outlineLevel="0" collapsed="false">
      <c r="A279" s="10" t="s">
        <v>395</v>
      </c>
      <c r="B279" s="10" t="s">
        <v>396</v>
      </c>
      <c r="C279" s="11" t="n">
        <v>480</v>
      </c>
      <c r="D279" s="11" t="n">
        <v>8</v>
      </c>
      <c r="E279" s="11" t="n">
        <v>960</v>
      </c>
      <c r="F279" s="11" t="n">
        <v>0</v>
      </c>
      <c r="G279" s="10" t="s">
        <v>392</v>
      </c>
      <c r="H279" s="10" t="s">
        <v>86</v>
      </c>
    </row>
    <row r="280" customFormat="false" ht="15" hidden="false" customHeight="false" outlineLevel="0" collapsed="false">
      <c r="A280" s="10" t="s">
        <v>397</v>
      </c>
      <c r="B280" s="10" t="s">
        <v>398</v>
      </c>
      <c r="C280" s="11" t="n">
        <v>360</v>
      </c>
      <c r="D280" s="11" t="n">
        <v>6</v>
      </c>
      <c r="E280" s="11" t="n">
        <v>720</v>
      </c>
      <c r="F280" s="11" t="n">
        <v>0</v>
      </c>
      <c r="G280" s="10" t="s">
        <v>392</v>
      </c>
      <c r="H280" s="10" t="s">
        <v>86</v>
      </c>
    </row>
    <row r="281" customFormat="false" ht="15" hidden="false" customHeight="false" outlineLevel="0" collapsed="false">
      <c r="A281" s="10" t="s">
        <v>399</v>
      </c>
      <c r="B281" s="10" t="s">
        <v>400</v>
      </c>
      <c r="C281" s="11" t="n">
        <v>240</v>
      </c>
      <c r="D281" s="11" t="n">
        <v>0</v>
      </c>
      <c r="E281" s="10" t="n">
        <f aca="false">C281</f>
        <v>240</v>
      </c>
      <c r="F281" s="10" t="n">
        <f aca="false">D281</f>
        <v>0</v>
      </c>
      <c r="G281" s="10" t="s">
        <v>375</v>
      </c>
      <c r="H281" s="10" t="s">
        <v>86</v>
      </c>
    </row>
    <row r="282" customFormat="false" ht="15" hidden="false" customHeight="false" outlineLevel="0" collapsed="false">
      <c r="A282" s="10" t="s">
        <v>401</v>
      </c>
      <c r="B282" s="10" t="s">
        <v>402</v>
      </c>
      <c r="C282" s="11" t="n">
        <v>360</v>
      </c>
      <c r="D282" s="11" t="n">
        <v>6</v>
      </c>
      <c r="E282" s="11" t="n">
        <v>480</v>
      </c>
      <c r="F282" s="11" t="n">
        <v>0</v>
      </c>
      <c r="G282" s="10" t="s">
        <v>392</v>
      </c>
      <c r="H282" s="10" t="s">
        <v>86</v>
      </c>
    </row>
    <row r="284" customFormat="false" ht="15" hidden="false" customHeight="false" outlineLevel="0" collapsed="false">
      <c r="A284" s="10" t="s">
        <v>403</v>
      </c>
    </row>
    <row r="287" customFormat="false" ht="15" hidden="false" customHeight="false" outlineLevel="0" collapsed="false">
      <c r="A287" s="3" t="s">
        <v>404</v>
      </c>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customFormat="false" ht="17.35" hidden="false" customHeight="false" outlineLevel="0" collapsed="false">
      <c r="A288" s="7" t="s">
        <v>405</v>
      </c>
    </row>
    <row r="289" customFormat="false" ht="15" hidden="false" customHeight="false" outlineLevel="0" collapsed="false">
      <c r="A289" s="8" t="s">
        <v>406</v>
      </c>
    </row>
    <row r="292" customFormat="false" ht="41.75" hidden="false" customHeight="false" outlineLevel="0" collapsed="false">
      <c r="A292" s="9" t="s">
        <v>344</v>
      </c>
      <c r="B292" s="9" t="s">
        <v>135</v>
      </c>
      <c r="C292" s="9" t="s">
        <v>158</v>
      </c>
      <c r="D292" s="9" t="s">
        <v>365</v>
      </c>
      <c r="E292" s="9" t="s">
        <v>146</v>
      </c>
      <c r="F292" s="9" t="s">
        <v>407</v>
      </c>
      <c r="G292" s="9" t="s">
        <v>408</v>
      </c>
      <c r="H292" s="9" t="s">
        <v>409</v>
      </c>
      <c r="I292" s="9" t="s">
        <v>410</v>
      </c>
      <c r="J292" s="9" t="s">
        <v>411</v>
      </c>
      <c r="K292" s="9" t="s">
        <v>412</v>
      </c>
      <c r="L292" s="9" t="s">
        <v>26</v>
      </c>
      <c r="M292" s="9" t="s">
        <v>27</v>
      </c>
    </row>
    <row r="293" customFormat="false" ht="15" hidden="false" customHeight="false" outlineLevel="0" collapsed="false">
      <c r="A293" s="10" t="s">
        <v>413</v>
      </c>
      <c r="B293" s="10" t="s">
        <v>414</v>
      </c>
      <c r="C293" s="11" t="n">
        <v>2023</v>
      </c>
      <c r="D293" s="11" t="s">
        <v>370</v>
      </c>
      <c r="E293" s="10" t="str">
        <f aca="false">INDEX($B$268:$B$282,MATCH($D293,$A$268:$A$282,0))</f>
        <v>Implementación sistema RBI por activo (evergreening incluido)</v>
      </c>
      <c r="F293" s="27" t="n">
        <f aca="false">INDEX($C$268:$C$282,MATCH($D293,$A$268:$A$282,0))</f>
        <v>210</v>
      </c>
      <c r="G293" s="22" t="n">
        <f aca="false">INDEX($D$268:$D$282,MATCH($D293,$A$268:$A$282,0))</f>
        <v>0</v>
      </c>
      <c r="H293" s="27" t="n">
        <f aca="false">G293/24*prod_dia</f>
        <v>0</v>
      </c>
      <c r="I293" s="27" t="n">
        <f aca="false">INDEX($E$268:$E$282,MATCH($D293,$A$268:$A$282,0))</f>
        <v>210</v>
      </c>
      <c r="J293" s="22" t="n">
        <f aca="false">INDEX($F$268:$F$282,MATCH($D293,$A$268:$A$282,0))</f>
        <v>0</v>
      </c>
      <c r="K293" s="27" t="n">
        <f aca="false">J293/24*prod_dia</f>
        <v>0</v>
      </c>
      <c r="L293" s="10" t="s">
        <v>415</v>
      </c>
      <c r="M293" s="10" t="s">
        <v>86</v>
      </c>
    </row>
    <row r="294" customFormat="false" ht="15" hidden="false" customHeight="false" outlineLevel="0" collapsed="false">
      <c r="A294" s="10" t="s">
        <v>413</v>
      </c>
      <c r="B294" s="10" t="s">
        <v>414</v>
      </c>
      <c r="C294" s="11" t="n">
        <v>2033</v>
      </c>
      <c r="D294" s="11" t="s">
        <v>373</v>
      </c>
      <c r="E294" s="10" t="str">
        <f aca="false">INDEX($B$268:$B$282,MATCH($D294,$A$268:$A$282,0))</f>
        <v>Inspección CUI ferrítico, efectividad A</v>
      </c>
      <c r="F294" s="27" t="n">
        <f aca="false">INDEX($C$268:$C$282,MATCH($D294,$A$268:$A$282,0))</f>
        <v>720</v>
      </c>
      <c r="G294" s="22" t="n">
        <f aca="false">INDEX($D$268:$D$282,MATCH($D294,$A$268:$A$282,0))</f>
        <v>0</v>
      </c>
      <c r="H294" s="27" t="n">
        <f aca="false">G294/24*prod_dia</f>
        <v>0</v>
      </c>
      <c r="I294" s="27" t="n">
        <f aca="false">INDEX($E$268:$E$282,MATCH($D294,$A$268:$A$282,0))</f>
        <v>720</v>
      </c>
      <c r="J294" s="22" t="n">
        <f aca="false">INDEX($F$268:$F$282,MATCH($D294,$A$268:$A$282,0))</f>
        <v>0</v>
      </c>
      <c r="K294" s="27" t="n">
        <f aca="false">J294/24*prod_dia</f>
        <v>0</v>
      </c>
      <c r="L294" s="10" t="s">
        <v>415</v>
      </c>
      <c r="M294" s="10" t="s">
        <v>86</v>
      </c>
    </row>
    <row r="295" customFormat="false" ht="15" hidden="false" customHeight="false" outlineLevel="0" collapsed="false">
      <c r="A295" s="10" t="s">
        <v>413</v>
      </c>
      <c r="B295" s="10" t="s">
        <v>414</v>
      </c>
      <c r="C295" s="11" t="n">
        <v>2056</v>
      </c>
      <c r="D295" s="11" t="s">
        <v>380</v>
      </c>
      <c r="E295" s="10" t="str">
        <f aca="false">INDEX($B$268:$B$282,MATCH($D295,$A$268:$A$282,0))</f>
        <v>CUI ferrítico, D</v>
      </c>
      <c r="F295" s="27" t="n">
        <f aca="false">INDEX($C$268:$C$282,MATCH($D295,$A$268:$A$282,0))</f>
        <v>360</v>
      </c>
      <c r="G295" s="22" t="n">
        <f aca="false">INDEX($D$268:$D$282,MATCH($D295,$A$268:$A$282,0))</f>
        <v>0</v>
      </c>
      <c r="H295" s="27" t="n">
        <f aca="false">G295/24*prod_dia</f>
        <v>0</v>
      </c>
      <c r="I295" s="27" t="n">
        <f aca="false">INDEX($E$268:$E$282,MATCH($D295,$A$268:$A$282,0))</f>
        <v>360</v>
      </c>
      <c r="J295" s="22" t="n">
        <f aca="false">INDEX($F$268:$F$282,MATCH($D295,$A$268:$A$282,0))</f>
        <v>0</v>
      </c>
      <c r="K295" s="27" t="n">
        <f aca="false">J295/24*prod_dia</f>
        <v>0</v>
      </c>
      <c r="L295" s="10" t="s">
        <v>415</v>
      </c>
      <c r="M295" s="10" t="s">
        <v>86</v>
      </c>
    </row>
    <row r="296" customFormat="false" ht="15" hidden="false" customHeight="false" outlineLevel="0" collapsed="false">
      <c r="A296" s="10" t="s">
        <v>413</v>
      </c>
      <c r="B296" s="10" t="s">
        <v>414</v>
      </c>
      <c r="C296" s="11" t="n">
        <v>2056</v>
      </c>
      <c r="D296" s="11" t="s">
        <v>397</v>
      </c>
      <c r="E296" s="10" t="str">
        <f aca="false">INDEX($B$268:$B$282,MATCH($D296,$A$268:$A$282,0))</f>
        <v>Adelgazamiento, D</v>
      </c>
      <c r="F296" s="27" t="n">
        <f aca="false">INDEX($C$268:$C$282,MATCH($D296,$A$268:$A$282,0))</f>
        <v>360</v>
      </c>
      <c r="G296" s="22" t="n">
        <f aca="false">INDEX($D$268:$D$282,MATCH($D296,$A$268:$A$282,0))</f>
        <v>6</v>
      </c>
      <c r="H296" s="27" t="n">
        <f aca="false">G296/24*prod_dia</f>
        <v>10000</v>
      </c>
      <c r="I296" s="27" t="n">
        <f aca="false">INDEX($E$268:$E$282,MATCH($D296,$A$268:$A$282,0))</f>
        <v>720</v>
      </c>
      <c r="J296" s="22" t="n">
        <f aca="false">INDEX($F$268:$F$282,MATCH($D296,$A$268:$A$282,0))</f>
        <v>0</v>
      </c>
      <c r="K296" s="27" t="n">
        <f aca="false">J296/24*prod_dia</f>
        <v>0</v>
      </c>
      <c r="L296" s="10" t="s">
        <v>415</v>
      </c>
      <c r="M296" s="10" t="s">
        <v>86</v>
      </c>
    </row>
    <row r="297" customFormat="false" ht="15" hidden="false" customHeight="false" outlineLevel="0" collapsed="false">
      <c r="A297" s="10" t="s">
        <v>416</v>
      </c>
      <c r="B297" s="10" t="s">
        <v>414</v>
      </c>
      <c r="C297" s="11" t="n">
        <v>2023</v>
      </c>
      <c r="D297" s="11" t="s">
        <v>370</v>
      </c>
      <c r="E297" s="10" t="str">
        <f aca="false">INDEX($B$268:$B$282,MATCH($D297,$A$268:$A$282,0))</f>
        <v>Implementación sistema RBI por activo (evergreening incluido)</v>
      </c>
      <c r="F297" s="27" t="n">
        <f aca="false">INDEX($C$268:$C$282,MATCH($D297,$A$268:$A$282,0))</f>
        <v>210</v>
      </c>
      <c r="G297" s="22" t="n">
        <f aca="false">INDEX($D$268:$D$282,MATCH($D297,$A$268:$A$282,0))</f>
        <v>0</v>
      </c>
      <c r="H297" s="27" t="n">
        <f aca="false">G297/24*prod_dia</f>
        <v>0</v>
      </c>
      <c r="I297" s="27" t="n">
        <f aca="false">INDEX($E$268:$E$282,MATCH($D297,$A$268:$A$282,0))</f>
        <v>210</v>
      </c>
      <c r="J297" s="22" t="n">
        <f aca="false">INDEX($F$268:$F$282,MATCH($D297,$A$268:$A$282,0))</f>
        <v>0</v>
      </c>
      <c r="K297" s="27" t="n">
        <f aca="false">J297/24*prod_dia</f>
        <v>0</v>
      </c>
      <c r="L297" s="10" t="s">
        <v>415</v>
      </c>
      <c r="M297" s="10" t="s">
        <v>86</v>
      </c>
    </row>
    <row r="298" customFormat="false" ht="15" hidden="false" customHeight="false" outlineLevel="0" collapsed="false">
      <c r="A298" s="10" t="s">
        <v>416</v>
      </c>
      <c r="B298" s="10" t="s">
        <v>414</v>
      </c>
      <c r="C298" s="11" t="n">
        <v>2033</v>
      </c>
      <c r="D298" s="11" t="s">
        <v>376</v>
      </c>
      <c r="E298" s="10" t="str">
        <f aca="false">INDEX($B$268:$B$282,MATCH($D298,$A$268:$A$282,0))</f>
        <v>CUI ferrítico, B</v>
      </c>
      <c r="F298" s="27" t="n">
        <f aca="false">INDEX($C$268:$C$282,MATCH($D298,$A$268:$A$282,0))</f>
        <v>600</v>
      </c>
      <c r="G298" s="22" t="n">
        <f aca="false">INDEX($D$268:$D$282,MATCH($D298,$A$268:$A$282,0))</f>
        <v>0</v>
      </c>
      <c r="H298" s="27" t="n">
        <f aca="false">G298/24*prod_dia</f>
        <v>0</v>
      </c>
      <c r="I298" s="27" t="n">
        <f aca="false">INDEX($E$268:$E$282,MATCH($D298,$A$268:$A$282,0))</f>
        <v>600</v>
      </c>
      <c r="J298" s="22" t="n">
        <f aca="false">INDEX($F$268:$F$282,MATCH($D298,$A$268:$A$282,0))</f>
        <v>0</v>
      </c>
      <c r="K298" s="27" t="n">
        <f aca="false">J298/24*prod_dia</f>
        <v>0</v>
      </c>
      <c r="L298" s="10" t="s">
        <v>415</v>
      </c>
      <c r="M298" s="10" t="s">
        <v>86</v>
      </c>
    </row>
    <row r="299" customFormat="false" ht="15" hidden="false" customHeight="false" outlineLevel="0" collapsed="false">
      <c r="A299" s="10" t="s">
        <v>416</v>
      </c>
      <c r="B299" s="10" t="s">
        <v>414</v>
      </c>
      <c r="C299" s="11" t="n">
        <v>2050</v>
      </c>
      <c r="D299" s="11" t="s">
        <v>376</v>
      </c>
      <c r="E299" s="10" t="str">
        <f aca="false">INDEX($B$268:$B$282,MATCH($D299,$A$268:$A$282,0))</f>
        <v>CUI ferrítico, B</v>
      </c>
      <c r="F299" s="27" t="n">
        <f aca="false">INDEX($C$268:$C$282,MATCH($D299,$A$268:$A$282,0))</f>
        <v>600</v>
      </c>
      <c r="G299" s="22" t="n">
        <f aca="false">INDEX($D$268:$D$282,MATCH($D299,$A$268:$A$282,0))</f>
        <v>0</v>
      </c>
      <c r="H299" s="27" t="n">
        <f aca="false">G299/24*prod_dia</f>
        <v>0</v>
      </c>
      <c r="I299" s="27" t="n">
        <f aca="false">INDEX($E$268:$E$282,MATCH($D299,$A$268:$A$282,0))</f>
        <v>600</v>
      </c>
      <c r="J299" s="22" t="n">
        <f aca="false">INDEX($F$268:$F$282,MATCH($D299,$A$268:$A$282,0))</f>
        <v>0</v>
      </c>
      <c r="K299" s="27" t="n">
        <f aca="false">J299/24*prod_dia</f>
        <v>0</v>
      </c>
      <c r="L299" s="10" t="s">
        <v>415</v>
      </c>
      <c r="M299" s="10" t="s">
        <v>86</v>
      </c>
    </row>
    <row r="300" customFormat="false" ht="15" hidden="false" customHeight="false" outlineLevel="0" collapsed="false">
      <c r="A300" s="10" t="s">
        <v>417</v>
      </c>
      <c r="B300" s="10" t="s">
        <v>414</v>
      </c>
      <c r="C300" s="11" t="n">
        <v>2023</v>
      </c>
      <c r="D300" s="11" t="s">
        <v>370</v>
      </c>
      <c r="E300" s="10" t="str">
        <f aca="false">INDEX($B$268:$B$282,MATCH($D300,$A$268:$A$282,0))</f>
        <v>Implementación sistema RBI por activo (evergreening incluido)</v>
      </c>
      <c r="F300" s="27" t="n">
        <f aca="false">INDEX($C$268:$C$282,MATCH($D300,$A$268:$A$282,0))</f>
        <v>210</v>
      </c>
      <c r="G300" s="22" t="n">
        <f aca="false">INDEX($D$268:$D$282,MATCH($D300,$A$268:$A$282,0))</f>
        <v>0</v>
      </c>
      <c r="H300" s="27" t="n">
        <f aca="false">G300/24*prod_dia</f>
        <v>0</v>
      </c>
      <c r="I300" s="27" t="n">
        <f aca="false">INDEX($E$268:$E$282,MATCH($D300,$A$268:$A$282,0))</f>
        <v>210</v>
      </c>
      <c r="J300" s="22" t="n">
        <f aca="false">INDEX($F$268:$F$282,MATCH($D300,$A$268:$A$282,0))</f>
        <v>0</v>
      </c>
      <c r="K300" s="27" t="n">
        <f aca="false">J300/24*prod_dia</f>
        <v>0</v>
      </c>
      <c r="L300" s="10" t="s">
        <v>415</v>
      </c>
      <c r="M300" s="10" t="s">
        <v>86</v>
      </c>
    </row>
    <row r="301" customFormat="false" ht="15" hidden="false" customHeight="false" outlineLevel="0" collapsed="false">
      <c r="A301" s="10" t="s">
        <v>417</v>
      </c>
      <c r="B301" s="10" t="s">
        <v>414</v>
      </c>
      <c r="C301" s="11" t="n">
        <v>2033</v>
      </c>
      <c r="D301" s="11" t="s">
        <v>378</v>
      </c>
      <c r="E301" s="10" t="str">
        <f aca="false">INDEX($B$268:$B$282,MATCH($D301,$A$268:$A$282,0))</f>
        <v>CUI ferrítico, C</v>
      </c>
      <c r="F301" s="27" t="n">
        <f aca="false">INDEX($C$268:$C$282,MATCH($D301,$A$268:$A$282,0))</f>
        <v>480</v>
      </c>
      <c r="G301" s="22" t="n">
        <f aca="false">INDEX($D$268:$D$282,MATCH($D301,$A$268:$A$282,0))</f>
        <v>0</v>
      </c>
      <c r="H301" s="27" t="n">
        <f aca="false">G301/24*prod_dia</f>
        <v>0</v>
      </c>
      <c r="I301" s="27" t="n">
        <f aca="false">INDEX($E$268:$E$282,MATCH($D301,$A$268:$A$282,0))</f>
        <v>480</v>
      </c>
      <c r="J301" s="22" t="n">
        <f aca="false">INDEX($F$268:$F$282,MATCH($D301,$A$268:$A$282,0))</f>
        <v>0</v>
      </c>
      <c r="K301" s="27" t="n">
        <f aca="false">J301/24*prod_dia</f>
        <v>0</v>
      </c>
      <c r="L301" s="10" t="s">
        <v>415</v>
      </c>
      <c r="M301" s="10" t="s">
        <v>86</v>
      </c>
    </row>
    <row r="302" customFormat="false" ht="15" hidden="false" customHeight="false" outlineLevel="0" collapsed="false">
      <c r="A302" s="10" t="s">
        <v>417</v>
      </c>
      <c r="B302" s="10" t="s">
        <v>414</v>
      </c>
      <c r="C302" s="11" t="n">
        <v>2045</v>
      </c>
      <c r="D302" s="11" t="s">
        <v>378</v>
      </c>
      <c r="E302" s="10" t="str">
        <f aca="false">INDEX($B$268:$B$282,MATCH($D302,$A$268:$A$282,0))</f>
        <v>CUI ferrítico, C</v>
      </c>
      <c r="F302" s="27" t="n">
        <f aca="false">INDEX($C$268:$C$282,MATCH($D302,$A$268:$A$282,0))</f>
        <v>480</v>
      </c>
      <c r="G302" s="22" t="n">
        <f aca="false">INDEX($D$268:$D$282,MATCH($D302,$A$268:$A$282,0))</f>
        <v>0</v>
      </c>
      <c r="H302" s="27" t="n">
        <f aca="false">G302/24*prod_dia</f>
        <v>0</v>
      </c>
      <c r="I302" s="27" t="n">
        <f aca="false">INDEX($E$268:$E$282,MATCH($D302,$A$268:$A$282,0))</f>
        <v>480</v>
      </c>
      <c r="J302" s="22" t="n">
        <f aca="false">INDEX($F$268:$F$282,MATCH($D302,$A$268:$A$282,0))</f>
        <v>0</v>
      </c>
      <c r="K302" s="27" t="n">
        <f aca="false">J302/24*prod_dia</f>
        <v>0</v>
      </c>
      <c r="L302" s="10" t="s">
        <v>415</v>
      </c>
      <c r="M302" s="10" t="s">
        <v>86</v>
      </c>
    </row>
    <row r="303" customFormat="false" ht="15" hidden="false" customHeight="false" outlineLevel="0" collapsed="false">
      <c r="A303" s="10" t="s">
        <v>417</v>
      </c>
      <c r="B303" s="10" t="s">
        <v>414</v>
      </c>
      <c r="C303" s="11" t="n">
        <v>2056</v>
      </c>
      <c r="D303" s="11" t="s">
        <v>376</v>
      </c>
      <c r="E303" s="10" t="str">
        <f aca="false">INDEX($B$268:$B$282,MATCH($D303,$A$268:$A$282,0))</f>
        <v>CUI ferrítico, B</v>
      </c>
      <c r="F303" s="27" t="n">
        <f aca="false">INDEX($C$268:$C$282,MATCH($D303,$A$268:$A$282,0))</f>
        <v>600</v>
      </c>
      <c r="G303" s="22" t="n">
        <f aca="false">INDEX($D$268:$D$282,MATCH($D303,$A$268:$A$282,0))</f>
        <v>0</v>
      </c>
      <c r="H303" s="27" t="n">
        <f aca="false">G303/24*prod_dia</f>
        <v>0</v>
      </c>
      <c r="I303" s="27" t="n">
        <f aca="false">INDEX($E$268:$E$282,MATCH($D303,$A$268:$A$282,0))</f>
        <v>600</v>
      </c>
      <c r="J303" s="22" t="n">
        <f aca="false">INDEX($F$268:$F$282,MATCH($D303,$A$268:$A$282,0))</f>
        <v>0</v>
      </c>
      <c r="K303" s="27" t="n">
        <f aca="false">J303/24*prod_dia</f>
        <v>0</v>
      </c>
      <c r="L303" s="10" t="s">
        <v>415</v>
      </c>
      <c r="M303" s="10" t="s">
        <v>86</v>
      </c>
    </row>
    <row r="304" customFormat="false" ht="15" hidden="false" customHeight="false" outlineLevel="0" collapsed="false">
      <c r="A304" s="10" t="s">
        <v>418</v>
      </c>
      <c r="B304" s="10" t="s">
        <v>414</v>
      </c>
      <c r="C304" s="11" t="n">
        <v>2023</v>
      </c>
      <c r="D304" s="11" t="s">
        <v>370</v>
      </c>
      <c r="E304" s="10" t="str">
        <f aca="false">INDEX($B$268:$B$282,MATCH($D304,$A$268:$A$282,0))</f>
        <v>Implementación sistema RBI por activo (evergreening incluido)</v>
      </c>
      <c r="F304" s="27" t="n">
        <f aca="false">INDEX($C$268:$C$282,MATCH($D304,$A$268:$A$282,0))</f>
        <v>210</v>
      </c>
      <c r="G304" s="22" t="n">
        <f aca="false">INDEX($D$268:$D$282,MATCH($D304,$A$268:$A$282,0))</f>
        <v>0</v>
      </c>
      <c r="H304" s="27" t="n">
        <f aca="false">G304/24*prod_dia</f>
        <v>0</v>
      </c>
      <c r="I304" s="27" t="n">
        <f aca="false">INDEX($E$268:$E$282,MATCH($D304,$A$268:$A$282,0))</f>
        <v>210</v>
      </c>
      <c r="J304" s="22" t="n">
        <f aca="false">INDEX($F$268:$F$282,MATCH($D304,$A$268:$A$282,0))</f>
        <v>0</v>
      </c>
      <c r="K304" s="27" t="n">
        <f aca="false">J304/24*prod_dia</f>
        <v>0</v>
      </c>
      <c r="L304" s="10" t="s">
        <v>415</v>
      </c>
      <c r="M304" s="10" t="s">
        <v>86</v>
      </c>
    </row>
    <row r="305" customFormat="false" ht="15" hidden="false" customHeight="false" outlineLevel="0" collapsed="false">
      <c r="A305" s="10" t="s">
        <v>418</v>
      </c>
      <c r="B305" s="10" t="s">
        <v>414</v>
      </c>
      <c r="C305" s="11" t="n">
        <v>2032</v>
      </c>
      <c r="D305" s="11" t="s">
        <v>380</v>
      </c>
      <c r="E305" s="10" t="str">
        <f aca="false">INDEX($B$268:$B$282,MATCH($D305,$A$268:$A$282,0))</f>
        <v>CUI ferrítico, D</v>
      </c>
      <c r="F305" s="27" t="n">
        <f aca="false">INDEX($C$268:$C$282,MATCH($D305,$A$268:$A$282,0))</f>
        <v>360</v>
      </c>
      <c r="G305" s="22" t="n">
        <f aca="false">INDEX($D$268:$D$282,MATCH($D305,$A$268:$A$282,0))</f>
        <v>0</v>
      </c>
      <c r="H305" s="27" t="n">
        <f aca="false">G305/24*prod_dia</f>
        <v>0</v>
      </c>
      <c r="I305" s="27" t="n">
        <f aca="false">INDEX($E$268:$E$282,MATCH($D305,$A$268:$A$282,0))</f>
        <v>360</v>
      </c>
      <c r="J305" s="22" t="n">
        <f aca="false">INDEX($F$268:$F$282,MATCH($D305,$A$268:$A$282,0))</f>
        <v>0</v>
      </c>
      <c r="K305" s="27" t="n">
        <f aca="false">J305/24*prod_dia</f>
        <v>0</v>
      </c>
      <c r="L305" s="10" t="s">
        <v>415</v>
      </c>
      <c r="M305" s="10" t="s">
        <v>86</v>
      </c>
    </row>
    <row r="306" customFormat="false" ht="15" hidden="false" customHeight="false" outlineLevel="0" collapsed="false">
      <c r="A306" s="10" t="s">
        <v>418</v>
      </c>
      <c r="B306" s="10" t="s">
        <v>414</v>
      </c>
      <c r="C306" s="11" t="n">
        <v>2044</v>
      </c>
      <c r="D306" s="11" t="s">
        <v>378</v>
      </c>
      <c r="E306" s="10" t="str">
        <f aca="false">INDEX($B$268:$B$282,MATCH($D306,$A$268:$A$282,0))</f>
        <v>CUI ferrítico, C</v>
      </c>
      <c r="F306" s="27" t="n">
        <f aca="false">INDEX($C$268:$C$282,MATCH($D306,$A$268:$A$282,0))</f>
        <v>480</v>
      </c>
      <c r="G306" s="22" t="n">
        <f aca="false">INDEX($D$268:$D$282,MATCH($D306,$A$268:$A$282,0))</f>
        <v>0</v>
      </c>
      <c r="H306" s="27" t="n">
        <f aca="false">G306/24*prod_dia</f>
        <v>0</v>
      </c>
      <c r="I306" s="27" t="n">
        <f aca="false">INDEX($E$268:$E$282,MATCH($D306,$A$268:$A$282,0))</f>
        <v>480</v>
      </c>
      <c r="J306" s="22" t="n">
        <f aca="false">INDEX($F$268:$F$282,MATCH($D306,$A$268:$A$282,0))</f>
        <v>0</v>
      </c>
      <c r="K306" s="27" t="n">
        <f aca="false">J306/24*prod_dia</f>
        <v>0</v>
      </c>
      <c r="L306" s="10" t="s">
        <v>415</v>
      </c>
      <c r="M306" s="10" t="s">
        <v>86</v>
      </c>
    </row>
    <row r="307" customFormat="false" ht="15" hidden="false" customHeight="false" outlineLevel="0" collapsed="false">
      <c r="A307" s="10" t="s">
        <v>418</v>
      </c>
      <c r="B307" s="10" t="s">
        <v>414</v>
      </c>
      <c r="C307" s="11" t="n">
        <v>2053</v>
      </c>
      <c r="D307" s="11" t="s">
        <v>380</v>
      </c>
      <c r="E307" s="10" t="str">
        <f aca="false">INDEX($B$268:$B$282,MATCH($D307,$A$268:$A$282,0))</f>
        <v>CUI ferrítico, D</v>
      </c>
      <c r="F307" s="27" t="n">
        <f aca="false">INDEX($C$268:$C$282,MATCH($D307,$A$268:$A$282,0))</f>
        <v>360</v>
      </c>
      <c r="G307" s="22" t="n">
        <f aca="false">INDEX($D$268:$D$282,MATCH($D307,$A$268:$A$282,0))</f>
        <v>0</v>
      </c>
      <c r="H307" s="27" t="n">
        <f aca="false">G307/24*prod_dia</f>
        <v>0</v>
      </c>
      <c r="I307" s="27" t="n">
        <f aca="false">INDEX($E$268:$E$282,MATCH($D307,$A$268:$A$282,0))</f>
        <v>360</v>
      </c>
      <c r="J307" s="22" t="n">
        <f aca="false">INDEX($F$268:$F$282,MATCH($D307,$A$268:$A$282,0))</f>
        <v>0</v>
      </c>
      <c r="K307" s="27" t="n">
        <f aca="false">J307/24*prod_dia</f>
        <v>0</v>
      </c>
      <c r="L307" s="10" t="s">
        <v>415</v>
      </c>
      <c r="M307" s="10" t="s">
        <v>86</v>
      </c>
    </row>
    <row r="308" customFormat="false" ht="15" hidden="false" customHeight="false" outlineLevel="0" collapsed="false">
      <c r="A308" s="10" t="s">
        <v>419</v>
      </c>
      <c r="B308" s="10" t="s">
        <v>414</v>
      </c>
      <c r="C308" s="11" t="n">
        <v>2023</v>
      </c>
      <c r="D308" s="11" t="s">
        <v>399</v>
      </c>
      <c r="E308" s="10" t="str">
        <f aca="false">INDEX($B$268:$B$282,MATCH($D308,$A$268:$A$282,0))</f>
        <v>Inspección externa (TBI)</v>
      </c>
      <c r="F308" s="27" t="n">
        <f aca="false">INDEX($C$268:$C$282,MATCH($D308,$A$268:$A$282,0))</f>
        <v>240</v>
      </c>
      <c r="G308" s="22" t="n">
        <f aca="false">INDEX($D$268:$D$282,MATCH($D308,$A$268:$A$282,0))</f>
        <v>0</v>
      </c>
      <c r="H308" s="27" t="n">
        <f aca="false">G308/24*prod_dia</f>
        <v>0</v>
      </c>
      <c r="I308" s="27" t="n">
        <f aca="false">INDEX($E$268:$E$282,MATCH($D308,$A$268:$A$282,0))</f>
        <v>240</v>
      </c>
      <c r="J308" s="22" t="n">
        <f aca="false">INDEX($F$268:$F$282,MATCH($D308,$A$268:$A$282,0))</f>
        <v>0</v>
      </c>
      <c r="K308" s="27" t="n">
        <f aca="false">J308/24*prod_dia</f>
        <v>0</v>
      </c>
      <c r="L308" s="10" t="s">
        <v>420</v>
      </c>
      <c r="M308" s="10" t="s">
        <v>86</v>
      </c>
    </row>
    <row r="309" customFormat="false" ht="15" hidden="false" customHeight="false" outlineLevel="0" collapsed="false">
      <c r="A309" s="10" t="s">
        <v>419</v>
      </c>
      <c r="B309" s="10" t="s">
        <v>414</v>
      </c>
      <c r="C309" s="11" t="n">
        <v>2026</v>
      </c>
      <c r="D309" s="11" t="s">
        <v>399</v>
      </c>
      <c r="E309" s="10" t="str">
        <f aca="false">INDEX($B$268:$B$282,MATCH($D309,$A$268:$A$282,0))</f>
        <v>Inspección externa (TBI)</v>
      </c>
      <c r="F309" s="27" t="n">
        <f aca="false">INDEX($C$268:$C$282,MATCH($D309,$A$268:$A$282,0))</f>
        <v>240</v>
      </c>
      <c r="G309" s="22" t="n">
        <f aca="false">INDEX($D$268:$D$282,MATCH($D309,$A$268:$A$282,0))</f>
        <v>0</v>
      </c>
      <c r="H309" s="27" t="n">
        <f aca="false">G309/24*prod_dia</f>
        <v>0</v>
      </c>
      <c r="I309" s="27" t="n">
        <f aca="false">INDEX($E$268:$E$282,MATCH($D309,$A$268:$A$282,0))</f>
        <v>240</v>
      </c>
      <c r="J309" s="22" t="n">
        <f aca="false">INDEX($F$268:$F$282,MATCH($D309,$A$268:$A$282,0))</f>
        <v>0</v>
      </c>
      <c r="K309" s="27" t="n">
        <f aca="false">J309/24*prod_dia</f>
        <v>0</v>
      </c>
      <c r="L309" s="10" t="s">
        <v>420</v>
      </c>
      <c r="M309" s="10" t="s">
        <v>86</v>
      </c>
    </row>
    <row r="310" customFormat="false" ht="15" hidden="false" customHeight="false" outlineLevel="0" collapsed="false">
      <c r="A310" s="10" t="s">
        <v>419</v>
      </c>
      <c r="B310" s="10" t="s">
        <v>414</v>
      </c>
      <c r="C310" s="11" t="n">
        <v>2032</v>
      </c>
      <c r="D310" s="11" t="s">
        <v>399</v>
      </c>
      <c r="E310" s="10" t="str">
        <f aca="false">INDEX($B$268:$B$282,MATCH($D310,$A$268:$A$282,0))</f>
        <v>Inspección externa (TBI)</v>
      </c>
      <c r="F310" s="27" t="n">
        <f aca="false">INDEX($C$268:$C$282,MATCH($D310,$A$268:$A$282,0))</f>
        <v>240</v>
      </c>
      <c r="G310" s="22" t="n">
        <f aca="false">INDEX($D$268:$D$282,MATCH($D310,$A$268:$A$282,0))</f>
        <v>0</v>
      </c>
      <c r="H310" s="27" t="n">
        <f aca="false">G310/24*prod_dia</f>
        <v>0</v>
      </c>
      <c r="I310" s="27" t="n">
        <f aca="false">INDEX($E$268:$E$282,MATCH($D310,$A$268:$A$282,0))</f>
        <v>240</v>
      </c>
      <c r="J310" s="22" t="n">
        <f aca="false">INDEX($F$268:$F$282,MATCH($D310,$A$268:$A$282,0))</f>
        <v>0</v>
      </c>
      <c r="K310" s="27" t="n">
        <f aca="false">J310/24*prod_dia</f>
        <v>0</v>
      </c>
      <c r="L310" s="10" t="s">
        <v>420</v>
      </c>
      <c r="M310" s="10" t="s">
        <v>86</v>
      </c>
    </row>
    <row r="311" customFormat="false" ht="15" hidden="false" customHeight="false" outlineLevel="0" collapsed="false">
      <c r="A311" s="10" t="s">
        <v>419</v>
      </c>
      <c r="B311" s="10" t="s">
        <v>414</v>
      </c>
      <c r="C311" s="11" t="n">
        <v>2035</v>
      </c>
      <c r="D311" s="11" t="s">
        <v>399</v>
      </c>
      <c r="E311" s="10" t="str">
        <f aca="false">INDEX($B$268:$B$282,MATCH($D311,$A$268:$A$282,0))</f>
        <v>Inspección externa (TBI)</v>
      </c>
      <c r="F311" s="27" t="n">
        <f aca="false">INDEX($C$268:$C$282,MATCH($D311,$A$268:$A$282,0))</f>
        <v>240</v>
      </c>
      <c r="G311" s="22" t="n">
        <f aca="false">INDEX($D$268:$D$282,MATCH($D311,$A$268:$A$282,0))</f>
        <v>0</v>
      </c>
      <c r="H311" s="27" t="n">
        <f aca="false">G311/24*prod_dia</f>
        <v>0</v>
      </c>
      <c r="I311" s="27" t="n">
        <f aca="false">INDEX($E$268:$E$282,MATCH($D311,$A$268:$A$282,0))</f>
        <v>240</v>
      </c>
      <c r="J311" s="22" t="n">
        <f aca="false">INDEX($F$268:$F$282,MATCH($D311,$A$268:$A$282,0))</f>
        <v>0</v>
      </c>
      <c r="K311" s="27" t="n">
        <f aca="false">J311/24*prod_dia</f>
        <v>0</v>
      </c>
      <c r="L311" s="10" t="s">
        <v>420</v>
      </c>
      <c r="M311" s="10" t="s">
        <v>86</v>
      </c>
    </row>
    <row r="312" customFormat="false" ht="15" hidden="false" customHeight="false" outlineLevel="0" collapsed="false">
      <c r="A312" s="10" t="s">
        <v>419</v>
      </c>
      <c r="B312" s="10" t="s">
        <v>414</v>
      </c>
      <c r="C312" s="11" t="n">
        <v>2041</v>
      </c>
      <c r="D312" s="11" t="s">
        <v>399</v>
      </c>
      <c r="E312" s="10" t="str">
        <f aca="false">INDEX($B$268:$B$282,MATCH($D312,$A$268:$A$282,0))</f>
        <v>Inspección externa (TBI)</v>
      </c>
      <c r="F312" s="27" t="n">
        <f aca="false">INDEX($C$268:$C$282,MATCH($D312,$A$268:$A$282,0))</f>
        <v>240</v>
      </c>
      <c r="G312" s="22" t="n">
        <f aca="false">INDEX($D$268:$D$282,MATCH($D312,$A$268:$A$282,0))</f>
        <v>0</v>
      </c>
      <c r="H312" s="27" t="n">
        <f aca="false">G312/24*prod_dia</f>
        <v>0</v>
      </c>
      <c r="I312" s="27" t="n">
        <f aca="false">INDEX($E$268:$E$282,MATCH($D312,$A$268:$A$282,0))</f>
        <v>240</v>
      </c>
      <c r="J312" s="22" t="n">
        <f aca="false">INDEX($F$268:$F$282,MATCH($D312,$A$268:$A$282,0))</f>
        <v>0</v>
      </c>
      <c r="K312" s="27" t="n">
        <f aca="false">J312/24*prod_dia</f>
        <v>0</v>
      </c>
      <c r="L312" s="10" t="s">
        <v>420</v>
      </c>
      <c r="M312" s="10" t="s">
        <v>86</v>
      </c>
    </row>
    <row r="313" customFormat="false" ht="15" hidden="false" customHeight="false" outlineLevel="0" collapsed="false">
      <c r="A313" s="10" t="s">
        <v>419</v>
      </c>
      <c r="B313" s="10" t="s">
        <v>414</v>
      </c>
      <c r="C313" s="11" t="n">
        <v>2044</v>
      </c>
      <c r="D313" s="11" t="s">
        <v>399</v>
      </c>
      <c r="E313" s="10" t="str">
        <f aca="false">INDEX($B$268:$B$282,MATCH($D313,$A$268:$A$282,0))</f>
        <v>Inspección externa (TBI)</v>
      </c>
      <c r="F313" s="27" t="n">
        <f aca="false">INDEX($C$268:$C$282,MATCH($D313,$A$268:$A$282,0))</f>
        <v>240</v>
      </c>
      <c r="G313" s="22" t="n">
        <f aca="false">INDEX($D$268:$D$282,MATCH($D313,$A$268:$A$282,0))</f>
        <v>0</v>
      </c>
      <c r="H313" s="27" t="n">
        <f aca="false">G313/24*prod_dia</f>
        <v>0</v>
      </c>
      <c r="I313" s="27" t="n">
        <f aca="false">INDEX($E$268:$E$282,MATCH($D313,$A$268:$A$282,0))</f>
        <v>240</v>
      </c>
      <c r="J313" s="22" t="n">
        <f aca="false">INDEX($F$268:$F$282,MATCH($D313,$A$268:$A$282,0))</f>
        <v>0</v>
      </c>
      <c r="K313" s="27" t="n">
        <f aca="false">J313/24*prod_dia</f>
        <v>0</v>
      </c>
      <c r="L313" s="10" t="s">
        <v>420</v>
      </c>
      <c r="M313" s="10" t="s">
        <v>86</v>
      </c>
    </row>
    <row r="314" customFormat="false" ht="15" hidden="false" customHeight="false" outlineLevel="0" collapsed="false">
      <c r="A314" s="10" t="s">
        <v>419</v>
      </c>
      <c r="B314" s="10" t="s">
        <v>414</v>
      </c>
      <c r="C314" s="11" t="n">
        <v>2050</v>
      </c>
      <c r="D314" s="11" t="s">
        <v>399</v>
      </c>
      <c r="E314" s="10" t="str">
        <f aca="false">INDEX($B$268:$B$282,MATCH($D314,$A$268:$A$282,0))</f>
        <v>Inspección externa (TBI)</v>
      </c>
      <c r="F314" s="27" t="n">
        <f aca="false">INDEX($C$268:$C$282,MATCH($D314,$A$268:$A$282,0))</f>
        <v>240</v>
      </c>
      <c r="G314" s="22" t="n">
        <f aca="false">INDEX($D$268:$D$282,MATCH($D314,$A$268:$A$282,0))</f>
        <v>0</v>
      </c>
      <c r="H314" s="27" t="n">
        <f aca="false">G314/24*prod_dia</f>
        <v>0</v>
      </c>
      <c r="I314" s="27" t="n">
        <f aca="false">INDEX($E$268:$E$282,MATCH($D314,$A$268:$A$282,0))</f>
        <v>240</v>
      </c>
      <c r="J314" s="22" t="n">
        <f aca="false">INDEX($F$268:$F$282,MATCH($D314,$A$268:$A$282,0))</f>
        <v>0</v>
      </c>
      <c r="K314" s="27" t="n">
        <f aca="false">J314/24*prod_dia</f>
        <v>0</v>
      </c>
      <c r="L314" s="10" t="s">
        <v>420</v>
      </c>
      <c r="M314" s="10" t="s">
        <v>86</v>
      </c>
    </row>
    <row r="315" customFormat="false" ht="15" hidden="false" customHeight="false" outlineLevel="0" collapsed="false">
      <c r="A315" s="10" t="s">
        <v>419</v>
      </c>
      <c r="B315" s="10" t="s">
        <v>414</v>
      </c>
      <c r="C315" s="11" t="n">
        <v>2053</v>
      </c>
      <c r="D315" s="11" t="s">
        <v>399</v>
      </c>
      <c r="E315" s="10" t="str">
        <f aca="false">INDEX($B$268:$B$282,MATCH($D315,$A$268:$A$282,0))</f>
        <v>Inspección externa (TBI)</v>
      </c>
      <c r="F315" s="27" t="n">
        <f aca="false">INDEX($C$268:$C$282,MATCH($D315,$A$268:$A$282,0))</f>
        <v>240</v>
      </c>
      <c r="G315" s="22" t="n">
        <f aca="false">INDEX($D$268:$D$282,MATCH($D315,$A$268:$A$282,0))</f>
        <v>0</v>
      </c>
      <c r="H315" s="27" t="n">
        <f aca="false">G315/24*prod_dia</f>
        <v>0</v>
      </c>
      <c r="I315" s="27" t="n">
        <f aca="false">INDEX($E$268:$E$282,MATCH($D315,$A$268:$A$282,0))</f>
        <v>240</v>
      </c>
      <c r="J315" s="22" t="n">
        <f aca="false">INDEX($F$268:$F$282,MATCH($D315,$A$268:$A$282,0))</f>
        <v>0</v>
      </c>
      <c r="K315" s="27" t="n">
        <f aca="false">J315/24*prod_dia</f>
        <v>0</v>
      </c>
      <c r="L315" s="10" t="s">
        <v>420</v>
      </c>
      <c r="M315" s="10" t="s">
        <v>86</v>
      </c>
    </row>
    <row r="316" customFormat="false" ht="15" hidden="false" customHeight="false" outlineLevel="0" collapsed="false">
      <c r="A316" s="10" t="s">
        <v>419</v>
      </c>
      <c r="B316" s="10" t="s">
        <v>414</v>
      </c>
      <c r="C316" s="11" t="n">
        <v>2029</v>
      </c>
      <c r="D316" s="11" t="s">
        <v>401</v>
      </c>
      <c r="E316" s="10" t="str">
        <f aca="false">INDEX($B$268:$B$282,MATCH($D316,$A$268:$A$282,0))</f>
        <v>Inspección interna (TBI)</v>
      </c>
      <c r="F316" s="27" t="n">
        <f aca="false">INDEX($C$268:$C$282,MATCH($D316,$A$268:$A$282,0))</f>
        <v>360</v>
      </c>
      <c r="G316" s="22" t="n">
        <f aca="false">INDEX($D$268:$D$282,MATCH($D316,$A$268:$A$282,0))</f>
        <v>6</v>
      </c>
      <c r="H316" s="27" t="n">
        <f aca="false">G316/24*prod_dia</f>
        <v>10000</v>
      </c>
      <c r="I316" s="27" t="n">
        <f aca="false">INDEX($E$268:$E$282,MATCH($D316,$A$268:$A$282,0))</f>
        <v>480</v>
      </c>
      <c r="J316" s="22" t="n">
        <f aca="false">INDEX($F$268:$F$282,MATCH($D316,$A$268:$A$282,0))</f>
        <v>0</v>
      </c>
      <c r="K316" s="27" t="n">
        <f aca="false">J316/24*prod_dia</f>
        <v>0</v>
      </c>
      <c r="L316" s="10" t="s">
        <v>420</v>
      </c>
      <c r="M316" s="10" t="s">
        <v>86</v>
      </c>
    </row>
    <row r="317" customFormat="false" ht="15" hidden="false" customHeight="false" outlineLevel="0" collapsed="false">
      <c r="A317" s="10" t="s">
        <v>419</v>
      </c>
      <c r="B317" s="10" t="s">
        <v>414</v>
      </c>
      <c r="C317" s="11" t="n">
        <v>2038</v>
      </c>
      <c r="D317" s="11" t="s">
        <v>401</v>
      </c>
      <c r="E317" s="10" t="str">
        <f aca="false">INDEX($B$268:$B$282,MATCH($D317,$A$268:$A$282,0))</f>
        <v>Inspección interna (TBI)</v>
      </c>
      <c r="F317" s="27" t="n">
        <f aca="false">INDEX($C$268:$C$282,MATCH($D317,$A$268:$A$282,0))</f>
        <v>360</v>
      </c>
      <c r="G317" s="22" t="n">
        <f aca="false">INDEX($D$268:$D$282,MATCH($D317,$A$268:$A$282,0))</f>
        <v>6</v>
      </c>
      <c r="H317" s="27" t="n">
        <f aca="false">G317/24*prod_dia</f>
        <v>10000</v>
      </c>
      <c r="I317" s="27" t="n">
        <f aca="false">INDEX($E$268:$E$282,MATCH($D317,$A$268:$A$282,0))</f>
        <v>480</v>
      </c>
      <c r="J317" s="22" t="n">
        <f aca="false">INDEX($F$268:$F$282,MATCH($D317,$A$268:$A$282,0))</f>
        <v>0</v>
      </c>
      <c r="K317" s="27" t="n">
        <f aca="false">J317/24*prod_dia</f>
        <v>0</v>
      </c>
      <c r="L317" s="10" t="s">
        <v>420</v>
      </c>
      <c r="M317" s="10" t="s">
        <v>86</v>
      </c>
    </row>
    <row r="318" customFormat="false" ht="15" hidden="false" customHeight="false" outlineLevel="0" collapsed="false">
      <c r="A318" s="10" t="s">
        <v>419</v>
      </c>
      <c r="B318" s="10" t="s">
        <v>414</v>
      </c>
      <c r="C318" s="11" t="n">
        <v>2047</v>
      </c>
      <c r="D318" s="11" t="s">
        <v>401</v>
      </c>
      <c r="E318" s="10" t="str">
        <f aca="false">INDEX($B$268:$B$282,MATCH($D318,$A$268:$A$282,0))</f>
        <v>Inspección interna (TBI)</v>
      </c>
      <c r="F318" s="27" t="n">
        <f aca="false">INDEX($C$268:$C$282,MATCH($D318,$A$268:$A$282,0))</f>
        <v>360</v>
      </c>
      <c r="G318" s="22" t="n">
        <f aca="false">INDEX($D$268:$D$282,MATCH($D318,$A$268:$A$282,0))</f>
        <v>6</v>
      </c>
      <c r="H318" s="27" t="n">
        <f aca="false">G318/24*prod_dia</f>
        <v>10000</v>
      </c>
      <c r="I318" s="27" t="n">
        <f aca="false">INDEX($E$268:$E$282,MATCH($D318,$A$268:$A$282,0))</f>
        <v>480</v>
      </c>
      <c r="J318" s="22" t="n">
        <f aca="false">INDEX($F$268:$F$282,MATCH($D318,$A$268:$A$282,0))</f>
        <v>0</v>
      </c>
      <c r="K318" s="27" t="n">
        <f aca="false">J318/24*prod_dia</f>
        <v>0</v>
      </c>
      <c r="L318" s="10" t="s">
        <v>420</v>
      </c>
      <c r="M318" s="10" t="s">
        <v>86</v>
      </c>
    </row>
    <row r="319" customFormat="false" ht="15" hidden="false" customHeight="false" outlineLevel="0" collapsed="false">
      <c r="A319" s="10" t="s">
        <v>419</v>
      </c>
      <c r="B319" s="10" t="s">
        <v>414</v>
      </c>
      <c r="C319" s="11" t="n">
        <v>2056</v>
      </c>
      <c r="D319" s="11" t="s">
        <v>401</v>
      </c>
      <c r="E319" s="10" t="str">
        <f aca="false">INDEX($B$268:$B$282,MATCH($D319,$A$268:$A$282,0))</f>
        <v>Inspección interna (TBI)</v>
      </c>
      <c r="F319" s="27" t="n">
        <f aca="false">INDEX($C$268:$C$282,MATCH($D319,$A$268:$A$282,0))</f>
        <v>360</v>
      </c>
      <c r="G319" s="22" t="n">
        <f aca="false">INDEX($D$268:$D$282,MATCH($D319,$A$268:$A$282,0))</f>
        <v>6</v>
      </c>
      <c r="H319" s="27" t="n">
        <f aca="false">G319/24*prod_dia</f>
        <v>10000</v>
      </c>
      <c r="I319" s="27" t="n">
        <f aca="false">INDEX($E$268:$E$282,MATCH($D319,$A$268:$A$282,0))</f>
        <v>480</v>
      </c>
      <c r="J319" s="22" t="n">
        <f aca="false">INDEX($F$268:$F$282,MATCH($D319,$A$268:$A$282,0))</f>
        <v>0</v>
      </c>
      <c r="K319" s="27" t="n">
        <f aca="false">J319/24*prod_dia</f>
        <v>0</v>
      </c>
      <c r="L319" s="10" t="s">
        <v>420</v>
      </c>
      <c r="M319" s="10" t="s">
        <v>86</v>
      </c>
    </row>
    <row r="322" customFormat="false" ht="15" hidden="false" customHeight="false" outlineLevel="0" collapsed="false">
      <c r="A322" s="3" t="s">
        <v>421</v>
      </c>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customFormat="false" ht="17.35" hidden="false" customHeight="false" outlineLevel="0" collapsed="false">
      <c r="A323" s="7" t="s">
        <v>422</v>
      </c>
    </row>
    <row r="324" customFormat="false" ht="15" hidden="false" customHeight="false" outlineLevel="0" collapsed="false">
      <c r="A324" s="8" t="s">
        <v>423</v>
      </c>
    </row>
    <row r="327" customFormat="false" ht="41.75" hidden="false" customHeight="false" outlineLevel="0" collapsed="false">
      <c r="A327" s="9" t="s">
        <v>158</v>
      </c>
      <c r="B327" s="9" t="s">
        <v>159</v>
      </c>
      <c r="C327" s="9" t="s">
        <v>424</v>
      </c>
      <c r="D327" s="9" t="s">
        <v>425</v>
      </c>
      <c r="E327" s="9" t="s">
        <v>426</v>
      </c>
      <c r="F327" s="9" t="s">
        <v>427</v>
      </c>
      <c r="G327" s="9" t="s">
        <v>428</v>
      </c>
      <c r="H327" s="9" t="s">
        <v>429</v>
      </c>
      <c r="I327" s="9" t="s">
        <v>430</v>
      </c>
      <c r="J327" s="9" t="s">
        <v>431</v>
      </c>
      <c r="K327" s="9" t="s">
        <v>432</v>
      </c>
      <c r="L327" s="9" t="s">
        <v>433</v>
      </c>
      <c r="M327" s="9" t="s">
        <v>434</v>
      </c>
      <c r="N327" s="9" t="s">
        <v>435</v>
      </c>
      <c r="O327" s="9" t="s">
        <v>436</v>
      </c>
      <c r="P327" s="9" t="s">
        <v>437</v>
      </c>
      <c r="Q327" s="9" t="s">
        <v>438</v>
      </c>
      <c r="R327" s="9" t="s">
        <v>439</v>
      </c>
      <c r="S327" s="9" t="s">
        <v>440</v>
      </c>
      <c r="T327" s="9" t="s">
        <v>441</v>
      </c>
      <c r="U327" s="9" t="s">
        <v>442</v>
      </c>
      <c r="V327" s="9" t="s">
        <v>443</v>
      </c>
      <c r="W327" s="9" t="s">
        <v>444</v>
      </c>
      <c r="X327" s="9" t="s">
        <v>445</v>
      </c>
      <c r="Y327" s="9" t="s">
        <v>446</v>
      </c>
      <c r="Z327" s="9" t="s">
        <v>447</v>
      </c>
      <c r="AA327" s="9" t="s">
        <v>448</v>
      </c>
      <c r="AB327" s="9" t="s">
        <v>449</v>
      </c>
      <c r="AC327" s="9" t="s">
        <v>450</v>
      </c>
      <c r="AD327" s="9" t="s">
        <v>451</v>
      </c>
      <c r="AE327" s="35" t="s">
        <v>452</v>
      </c>
    </row>
    <row r="328" customFormat="false" ht="15" hidden="false" customHeight="false" outlineLevel="0" collapsed="false">
      <c r="A328" s="10" t="n">
        <v>2023</v>
      </c>
      <c r="B328" s="10" t="n">
        <f aca="false">A328-o_base</f>
        <v>0</v>
      </c>
      <c r="C328" s="27" t="n">
        <f aca="false">SUMIFS($F$293:$F$319,$A$293:$A$319,"RBI-1",$C$293:$C$319,$A328)</f>
        <v>210</v>
      </c>
      <c r="D328" s="27" t="n">
        <f aca="false">SUMIFS($H$293:$H$319,$A$293:$A$319,"RBI-1",$C$293:$C$319,$A328)</f>
        <v>0</v>
      </c>
      <c r="E328" s="27" t="n">
        <f aca="false">SUMIFS($I$293:$I$319,$A$293:$A$319,"RBI-1",$C$293:$C$319,$A328)</f>
        <v>210</v>
      </c>
      <c r="F328" s="27" t="n">
        <f aca="false">SUMIFS($K$293:$K$319,$A$293:$A$319,"RBI-1",$C$293:$C$319,$A328)</f>
        <v>0</v>
      </c>
      <c r="G328" s="27" t="n">
        <f aca="false">SUMIFS($F$293:$F$319,$A$293:$A$319,"RBI-2",$C$293:$C$319,$A328)</f>
        <v>210</v>
      </c>
      <c r="H328" s="27" t="n">
        <f aca="false">SUMIFS($H$293:$H$319,$A$293:$A$319,"RBI-2",$C$293:$C$319,$A328)</f>
        <v>0</v>
      </c>
      <c r="I328" s="27" t="n">
        <f aca="false">SUMIFS($I$293:$I$319,$A$293:$A$319,"RBI-2",$C$293:$C$319,$A328)</f>
        <v>210</v>
      </c>
      <c r="J328" s="27" t="n">
        <f aca="false">SUMIFS($K$293:$K$319,$A$293:$A$319,"RBI-2",$C$293:$C$319,$A328)</f>
        <v>0</v>
      </c>
      <c r="K328" s="27" t="n">
        <f aca="false">SUMIFS($F$293:$F$319,$A$293:$A$319,"RBI-3",$C$293:$C$319,$A328)</f>
        <v>210</v>
      </c>
      <c r="L328" s="27" t="n">
        <f aca="false">SUMIFS($H$293:$H$319,$A$293:$A$319,"RBI-3",$C$293:$C$319,$A328)</f>
        <v>0</v>
      </c>
      <c r="M328" s="27" t="n">
        <f aca="false">SUMIFS($I$293:$I$319,$A$293:$A$319,"RBI-3",$C$293:$C$319,$A328)</f>
        <v>210</v>
      </c>
      <c r="N328" s="27" t="n">
        <f aca="false">SUMIFS($K$293:$K$319,$A$293:$A$319,"RBI-3",$C$293:$C$319,$A328)</f>
        <v>0</v>
      </c>
      <c r="O328" s="27" t="n">
        <f aca="false">SUMIFS($F$293:$F$319,$A$293:$A$319,"RBI-4",$C$293:$C$319,$A328)</f>
        <v>210</v>
      </c>
      <c r="P328" s="27" t="n">
        <f aca="false">SUMIFS($H$293:$H$319,$A$293:$A$319,"RBI-4",$C$293:$C$319,$A328)</f>
        <v>0</v>
      </c>
      <c r="Q328" s="27" t="n">
        <f aca="false">SUMIFS($I$293:$I$319,$A$293:$A$319,"RBI-4",$C$293:$C$319,$A328)</f>
        <v>210</v>
      </c>
      <c r="R328" s="27" t="n">
        <f aca="false">SUMIFS($K$293:$K$319,$A$293:$A$319,"RBI-4",$C$293:$C$319,$A328)</f>
        <v>0</v>
      </c>
      <c r="S328" s="27" t="n">
        <f aca="false">SUMIFS($F$293:$F$319,$A$293:$A$319,"TBI",$C$293:$C$319,$A328)</f>
        <v>240</v>
      </c>
      <c r="T328" s="27" t="n">
        <f aca="false">SUMIFS($H$293:$H$319,$A$293:$A$319,"TBI",$C$293:$C$319,$A328)</f>
        <v>0</v>
      </c>
      <c r="U328" s="27" t="n">
        <f aca="false">SUMIFS($I$293:$I$319,$A$293:$A$319,"TBI",$C$293:$C$319,$A328)</f>
        <v>240</v>
      </c>
      <c r="V328" s="27" t="n">
        <f aca="false">SUMIFS($K$293:$K$319,$A$293:$A$319,"TBI",$C$293:$C$319,$A328)</f>
        <v>0</v>
      </c>
      <c r="W328" s="27" t="n">
        <f aca="false">IF(sel_modo="Intrusiva",S328+T328,U328+V328)</f>
        <v>240</v>
      </c>
      <c r="X328" s="27" t="n">
        <f aca="false">IF(sel_modo="Intrusiva",CHOOSE(sel_est,C328+D328,G328+H328,K328+L328,O328+P328),CHOOSE(sel_est,E328+F328,I328+J328,M328+N328,Q328+R328))</f>
        <v>210</v>
      </c>
      <c r="Y328" s="27" t="n">
        <f aca="false">W328-X328</f>
        <v>30</v>
      </c>
      <c r="Z328" s="32" t="n">
        <f aca="false">1/(1+r_o)^B328</f>
        <v>1</v>
      </c>
      <c r="AA328" s="27" t="n">
        <f aca="false">Y328*Z328</f>
        <v>30</v>
      </c>
      <c r="AB328" s="27" t="n">
        <f aca="false">Y328</f>
        <v>30</v>
      </c>
      <c r="AC328" s="27" t="n">
        <f aca="false">W328</f>
        <v>240</v>
      </c>
      <c r="AD328" s="27" t="n">
        <f aca="false">X328</f>
        <v>210</v>
      </c>
      <c r="AE328" s="10" t="n">
        <f aca="false">IF(MIN(AB328:AB$361)&gt;=0,1,0)</f>
        <v>1</v>
      </c>
    </row>
    <row r="329" customFormat="false" ht="15" hidden="false" customHeight="false" outlineLevel="0" collapsed="false">
      <c r="A329" s="10" t="n">
        <v>2024</v>
      </c>
      <c r="B329" s="10" t="n">
        <f aca="false">A329-o_base</f>
        <v>1</v>
      </c>
      <c r="C329" s="27" t="n">
        <f aca="false">SUMIFS($F$293:$F$319,$A$293:$A$319,"RBI-1",$C$293:$C$319,$A329)</f>
        <v>0</v>
      </c>
      <c r="D329" s="27" t="n">
        <f aca="false">SUMIFS($H$293:$H$319,$A$293:$A$319,"RBI-1",$C$293:$C$319,$A329)</f>
        <v>0</v>
      </c>
      <c r="E329" s="27" t="n">
        <f aca="false">SUMIFS($I$293:$I$319,$A$293:$A$319,"RBI-1",$C$293:$C$319,$A329)</f>
        <v>0</v>
      </c>
      <c r="F329" s="27" t="n">
        <f aca="false">SUMIFS($K$293:$K$319,$A$293:$A$319,"RBI-1",$C$293:$C$319,$A329)</f>
        <v>0</v>
      </c>
      <c r="G329" s="27" t="n">
        <f aca="false">SUMIFS($F$293:$F$319,$A$293:$A$319,"RBI-2",$C$293:$C$319,$A329)</f>
        <v>0</v>
      </c>
      <c r="H329" s="27" t="n">
        <f aca="false">SUMIFS($H$293:$H$319,$A$293:$A$319,"RBI-2",$C$293:$C$319,$A329)</f>
        <v>0</v>
      </c>
      <c r="I329" s="27" t="n">
        <f aca="false">SUMIFS($I$293:$I$319,$A$293:$A$319,"RBI-2",$C$293:$C$319,$A329)</f>
        <v>0</v>
      </c>
      <c r="J329" s="27" t="n">
        <f aca="false">SUMIFS($K$293:$K$319,$A$293:$A$319,"RBI-2",$C$293:$C$319,$A329)</f>
        <v>0</v>
      </c>
      <c r="K329" s="27" t="n">
        <f aca="false">SUMIFS($F$293:$F$319,$A$293:$A$319,"RBI-3",$C$293:$C$319,$A329)</f>
        <v>0</v>
      </c>
      <c r="L329" s="27" t="n">
        <f aca="false">SUMIFS($H$293:$H$319,$A$293:$A$319,"RBI-3",$C$293:$C$319,$A329)</f>
        <v>0</v>
      </c>
      <c r="M329" s="27" t="n">
        <f aca="false">SUMIFS($I$293:$I$319,$A$293:$A$319,"RBI-3",$C$293:$C$319,$A329)</f>
        <v>0</v>
      </c>
      <c r="N329" s="27" t="n">
        <f aca="false">SUMIFS($K$293:$K$319,$A$293:$A$319,"RBI-3",$C$293:$C$319,$A329)</f>
        <v>0</v>
      </c>
      <c r="O329" s="27" t="n">
        <f aca="false">SUMIFS($F$293:$F$319,$A$293:$A$319,"RBI-4",$C$293:$C$319,$A329)</f>
        <v>0</v>
      </c>
      <c r="P329" s="27" t="n">
        <f aca="false">SUMIFS($H$293:$H$319,$A$293:$A$319,"RBI-4",$C$293:$C$319,$A329)</f>
        <v>0</v>
      </c>
      <c r="Q329" s="27" t="n">
        <f aca="false">SUMIFS($I$293:$I$319,$A$293:$A$319,"RBI-4",$C$293:$C$319,$A329)</f>
        <v>0</v>
      </c>
      <c r="R329" s="27" t="n">
        <f aca="false">SUMIFS($K$293:$K$319,$A$293:$A$319,"RBI-4",$C$293:$C$319,$A329)</f>
        <v>0</v>
      </c>
      <c r="S329" s="27" t="n">
        <f aca="false">SUMIFS($F$293:$F$319,$A$293:$A$319,"TBI",$C$293:$C$319,$A329)</f>
        <v>0</v>
      </c>
      <c r="T329" s="27" t="n">
        <f aca="false">SUMIFS($H$293:$H$319,$A$293:$A$319,"TBI",$C$293:$C$319,$A329)</f>
        <v>0</v>
      </c>
      <c r="U329" s="27" t="n">
        <f aca="false">SUMIFS($I$293:$I$319,$A$293:$A$319,"TBI",$C$293:$C$319,$A329)</f>
        <v>0</v>
      </c>
      <c r="V329" s="27" t="n">
        <f aca="false">SUMIFS($K$293:$K$319,$A$293:$A$319,"TBI",$C$293:$C$319,$A329)</f>
        <v>0</v>
      </c>
      <c r="W329" s="27" t="n">
        <f aca="false">IF(sel_modo="Intrusiva",S329+T329,U329+V329)</f>
        <v>0</v>
      </c>
      <c r="X329" s="27" t="n">
        <f aca="false">IF(sel_modo="Intrusiva",CHOOSE(sel_est,C329+D329,G329+H329,K329+L329,O329+P329),CHOOSE(sel_est,E329+F329,I329+J329,M329+N329,Q329+R329))</f>
        <v>0</v>
      </c>
      <c r="Y329" s="27" t="n">
        <f aca="false">W329-X329</f>
        <v>0</v>
      </c>
      <c r="Z329" s="32" t="n">
        <f aca="false">1/(1+r_o)^B329</f>
        <v>0.909090909090909</v>
      </c>
      <c r="AA329" s="27" t="n">
        <f aca="false">Y329*Z329</f>
        <v>0</v>
      </c>
      <c r="AB329" s="27" t="n">
        <f aca="false">AB328+Y329</f>
        <v>30</v>
      </c>
      <c r="AC329" s="27" t="n">
        <f aca="false">AC328+W329</f>
        <v>240</v>
      </c>
      <c r="AD329" s="27" t="n">
        <f aca="false">AD328+X329</f>
        <v>210</v>
      </c>
      <c r="AE329" s="10" t="n">
        <f aca="false">IF(MIN(AB329:AB$361)&gt;=0,1,0)</f>
        <v>1</v>
      </c>
    </row>
    <row r="330" customFormat="false" ht="15" hidden="false" customHeight="false" outlineLevel="0" collapsed="false">
      <c r="A330" s="10" t="n">
        <v>2025</v>
      </c>
      <c r="B330" s="10" t="n">
        <f aca="false">A330-o_base</f>
        <v>2</v>
      </c>
      <c r="C330" s="27" t="n">
        <f aca="false">SUMIFS($F$293:$F$319,$A$293:$A$319,"RBI-1",$C$293:$C$319,$A330)</f>
        <v>0</v>
      </c>
      <c r="D330" s="27" t="n">
        <f aca="false">SUMIFS($H$293:$H$319,$A$293:$A$319,"RBI-1",$C$293:$C$319,$A330)</f>
        <v>0</v>
      </c>
      <c r="E330" s="27" t="n">
        <f aca="false">SUMIFS($I$293:$I$319,$A$293:$A$319,"RBI-1",$C$293:$C$319,$A330)</f>
        <v>0</v>
      </c>
      <c r="F330" s="27" t="n">
        <f aca="false">SUMIFS($K$293:$K$319,$A$293:$A$319,"RBI-1",$C$293:$C$319,$A330)</f>
        <v>0</v>
      </c>
      <c r="G330" s="27" t="n">
        <f aca="false">SUMIFS($F$293:$F$319,$A$293:$A$319,"RBI-2",$C$293:$C$319,$A330)</f>
        <v>0</v>
      </c>
      <c r="H330" s="27" t="n">
        <f aca="false">SUMIFS($H$293:$H$319,$A$293:$A$319,"RBI-2",$C$293:$C$319,$A330)</f>
        <v>0</v>
      </c>
      <c r="I330" s="27" t="n">
        <f aca="false">SUMIFS($I$293:$I$319,$A$293:$A$319,"RBI-2",$C$293:$C$319,$A330)</f>
        <v>0</v>
      </c>
      <c r="J330" s="27" t="n">
        <f aca="false">SUMIFS($K$293:$K$319,$A$293:$A$319,"RBI-2",$C$293:$C$319,$A330)</f>
        <v>0</v>
      </c>
      <c r="K330" s="27" t="n">
        <f aca="false">SUMIFS($F$293:$F$319,$A$293:$A$319,"RBI-3",$C$293:$C$319,$A330)</f>
        <v>0</v>
      </c>
      <c r="L330" s="27" t="n">
        <f aca="false">SUMIFS($H$293:$H$319,$A$293:$A$319,"RBI-3",$C$293:$C$319,$A330)</f>
        <v>0</v>
      </c>
      <c r="M330" s="27" t="n">
        <f aca="false">SUMIFS($I$293:$I$319,$A$293:$A$319,"RBI-3",$C$293:$C$319,$A330)</f>
        <v>0</v>
      </c>
      <c r="N330" s="27" t="n">
        <f aca="false">SUMIFS($K$293:$K$319,$A$293:$A$319,"RBI-3",$C$293:$C$319,$A330)</f>
        <v>0</v>
      </c>
      <c r="O330" s="27" t="n">
        <f aca="false">SUMIFS($F$293:$F$319,$A$293:$A$319,"RBI-4",$C$293:$C$319,$A330)</f>
        <v>0</v>
      </c>
      <c r="P330" s="27" t="n">
        <f aca="false">SUMIFS($H$293:$H$319,$A$293:$A$319,"RBI-4",$C$293:$C$319,$A330)</f>
        <v>0</v>
      </c>
      <c r="Q330" s="27" t="n">
        <f aca="false">SUMIFS($I$293:$I$319,$A$293:$A$319,"RBI-4",$C$293:$C$319,$A330)</f>
        <v>0</v>
      </c>
      <c r="R330" s="27" t="n">
        <f aca="false">SUMIFS($K$293:$K$319,$A$293:$A$319,"RBI-4",$C$293:$C$319,$A330)</f>
        <v>0</v>
      </c>
      <c r="S330" s="27" t="n">
        <f aca="false">SUMIFS($F$293:$F$319,$A$293:$A$319,"TBI",$C$293:$C$319,$A330)</f>
        <v>0</v>
      </c>
      <c r="T330" s="27" t="n">
        <f aca="false">SUMIFS($H$293:$H$319,$A$293:$A$319,"TBI",$C$293:$C$319,$A330)</f>
        <v>0</v>
      </c>
      <c r="U330" s="27" t="n">
        <f aca="false">SUMIFS($I$293:$I$319,$A$293:$A$319,"TBI",$C$293:$C$319,$A330)</f>
        <v>0</v>
      </c>
      <c r="V330" s="27" t="n">
        <f aca="false">SUMIFS($K$293:$K$319,$A$293:$A$319,"TBI",$C$293:$C$319,$A330)</f>
        <v>0</v>
      </c>
      <c r="W330" s="27" t="n">
        <f aca="false">IF(sel_modo="Intrusiva",S330+T330,U330+V330)</f>
        <v>0</v>
      </c>
      <c r="X330" s="27" t="n">
        <f aca="false">IF(sel_modo="Intrusiva",CHOOSE(sel_est,C330+D330,G330+H330,K330+L330,O330+P330),CHOOSE(sel_est,E330+F330,I330+J330,M330+N330,Q330+R330))</f>
        <v>0</v>
      </c>
      <c r="Y330" s="27" t="n">
        <f aca="false">W330-X330</f>
        <v>0</v>
      </c>
      <c r="Z330" s="32" t="n">
        <f aca="false">1/(1+r_o)^B330</f>
        <v>0.826446280991735</v>
      </c>
      <c r="AA330" s="27" t="n">
        <f aca="false">Y330*Z330</f>
        <v>0</v>
      </c>
      <c r="AB330" s="27" t="n">
        <f aca="false">AB329+Y330</f>
        <v>30</v>
      </c>
      <c r="AC330" s="27" t="n">
        <f aca="false">AC329+W330</f>
        <v>240</v>
      </c>
      <c r="AD330" s="27" t="n">
        <f aca="false">AD329+X330</f>
        <v>210</v>
      </c>
      <c r="AE330" s="10" t="n">
        <f aca="false">IF(MIN(AB330:AB$361)&gt;=0,1,0)</f>
        <v>1</v>
      </c>
    </row>
    <row r="331" customFormat="false" ht="15" hidden="false" customHeight="false" outlineLevel="0" collapsed="false">
      <c r="A331" s="10" t="n">
        <v>2026</v>
      </c>
      <c r="B331" s="10" t="n">
        <f aca="false">A331-o_base</f>
        <v>3</v>
      </c>
      <c r="C331" s="27" t="n">
        <f aca="false">SUMIFS($F$293:$F$319,$A$293:$A$319,"RBI-1",$C$293:$C$319,$A331)</f>
        <v>0</v>
      </c>
      <c r="D331" s="27" t="n">
        <f aca="false">SUMIFS($H$293:$H$319,$A$293:$A$319,"RBI-1",$C$293:$C$319,$A331)</f>
        <v>0</v>
      </c>
      <c r="E331" s="27" t="n">
        <f aca="false">SUMIFS($I$293:$I$319,$A$293:$A$319,"RBI-1",$C$293:$C$319,$A331)</f>
        <v>0</v>
      </c>
      <c r="F331" s="27" t="n">
        <f aca="false">SUMIFS($K$293:$K$319,$A$293:$A$319,"RBI-1",$C$293:$C$319,$A331)</f>
        <v>0</v>
      </c>
      <c r="G331" s="27" t="n">
        <f aca="false">SUMIFS($F$293:$F$319,$A$293:$A$319,"RBI-2",$C$293:$C$319,$A331)</f>
        <v>0</v>
      </c>
      <c r="H331" s="27" t="n">
        <f aca="false">SUMIFS($H$293:$H$319,$A$293:$A$319,"RBI-2",$C$293:$C$319,$A331)</f>
        <v>0</v>
      </c>
      <c r="I331" s="27" t="n">
        <f aca="false">SUMIFS($I$293:$I$319,$A$293:$A$319,"RBI-2",$C$293:$C$319,$A331)</f>
        <v>0</v>
      </c>
      <c r="J331" s="27" t="n">
        <f aca="false">SUMIFS($K$293:$K$319,$A$293:$A$319,"RBI-2",$C$293:$C$319,$A331)</f>
        <v>0</v>
      </c>
      <c r="K331" s="27" t="n">
        <f aca="false">SUMIFS($F$293:$F$319,$A$293:$A$319,"RBI-3",$C$293:$C$319,$A331)</f>
        <v>0</v>
      </c>
      <c r="L331" s="27" t="n">
        <f aca="false">SUMIFS($H$293:$H$319,$A$293:$A$319,"RBI-3",$C$293:$C$319,$A331)</f>
        <v>0</v>
      </c>
      <c r="M331" s="27" t="n">
        <f aca="false">SUMIFS($I$293:$I$319,$A$293:$A$319,"RBI-3",$C$293:$C$319,$A331)</f>
        <v>0</v>
      </c>
      <c r="N331" s="27" t="n">
        <f aca="false">SUMIFS($K$293:$K$319,$A$293:$A$319,"RBI-3",$C$293:$C$319,$A331)</f>
        <v>0</v>
      </c>
      <c r="O331" s="27" t="n">
        <f aca="false">SUMIFS($F$293:$F$319,$A$293:$A$319,"RBI-4",$C$293:$C$319,$A331)</f>
        <v>0</v>
      </c>
      <c r="P331" s="27" t="n">
        <f aca="false">SUMIFS($H$293:$H$319,$A$293:$A$319,"RBI-4",$C$293:$C$319,$A331)</f>
        <v>0</v>
      </c>
      <c r="Q331" s="27" t="n">
        <f aca="false">SUMIFS($I$293:$I$319,$A$293:$A$319,"RBI-4",$C$293:$C$319,$A331)</f>
        <v>0</v>
      </c>
      <c r="R331" s="27" t="n">
        <f aca="false">SUMIFS($K$293:$K$319,$A$293:$A$319,"RBI-4",$C$293:$C$319,$A331)</f>
        <v>0</v>
      </c>
      <c r="S331" s="27" t="n">
        <f aca="false">SUMIFS($F$293:$F$319,$A$293:$A$319,"TBI",$C$293:$C$319,$A331)</f>
        <v>240</v>
      </c>
      <c r="T331" s="27" t="n">
        <f aca="false">SUMIFS($H$293:$H$319,$A$293:$A$319,"TBI",$C$293:$C$319,$A331)</f>
        <v>0</v>
      </c>
      <c r="U331" s="27" t="n">
        <f aca="false">SUMIFS($I$293:$I$319,$A$293:$A$319,"TBI",$C$293:$C$319,$A331)</f>
        <v>240</v>
      </c>
      <c r="V331" s="27" t="n">
        <f aca="false">SUMIFS($K$293:$K$319,$A$293:$A$319,"TBI",$C$293:$C$319,$A331)</f>
        <v>0</v>
      </c>
      <c r="W331" s="27" t="n">
        <f aca="false">IF(sel_modo="Intrusiva",S331+T331,U331+V331)</f>
        <v>240</v>
      </c>
      <c r="X331" s="27" t="n">
        <f aca="false">IF(sel_modo="Intrusiva",CHOOSE(sel_est,C331+D331,G331+H331,K331+L331,O331+P331),CHOOSE(sel_est,E331+F331,I331+J331,M331+N331,Q331+R331))</f>
        <v>0</v>
      </c>
      <c r="Y331" s="27" t="n">
        <f aca="false">W331-X331</f>
        <v>240</v>
      </c>
      <c r="Z331" s="32" t="n">
        <f aca="false">1/(1+r_o)^B331</f>
        <v>0.751314800901578</v>
      </c>
      <c r="AA331" s="27" t="n">
        <f aca="false">Y331*Z331</f>
        <v>180.315552216379</v>
      </c>
      <c r="AB331" s="27" t="n">
        <f aca="false">AB330+Y331</f>
        <v>270</v>
      </c>
      <c r="AC331" s="27" t="n">
        <f aca="false">AC330+W331</f>
        <v>480</v>
      </c>
      <c r="AD331" s="27" t="n">
        <f aca="false">AD330+X331</f>
        <v>210</v>
      </c>
      <c r="AE331" s="10" t="n">
        <f aca="false">IF(MIN(AB331:AB$361)&gt;=0,1,0)</f>
        <v>1</v>
      </c>
    </row>
    <row r="332" customFormat="false" ht="15" hidden="false" customHeight="false" outlineLevel="0" collapsed="false">
      <c r="A332" s="10" t="n">
        <v>2027</v>
      </c>
      <c r="B332" s="10" t="n">
        <f aca="false">A332-o_base</f>
        <v>4</v>
      </c>
      <c r="C332" s="27" t="n">
        <f aca="false">SUMIFS($F$293:$F$319,$A$293:$A$319,"RBI-1",$C$293:$C$319,$A332)</f>
        <v>0</v>
      </c>
      <c r="D332" s="27" t="n">
        <f aca="false">SUMIFS($H$293:$H$319,$A$293:$A$319,"RBI-1",$C$293:$C$319,$A332)</f>
        <v>0</v>
      </c>
      <c r="E332" s="27" t="n">
        <f aca="false">SUMIFS($I$293:$I$319,$A$293:$A$319,"RBI-1",$C$293:$C$319,$A332)</f>
        <v>0</v>
      </c>
      <c r="F332" s="27" t="n">
        <f aca="false">SUMIFS($K$293:$K$319,$A$293:$A$319,"RBI-1",$C$293:$C$319,$A332)</f>
        <v>0</v>
      </c>
      <c r="G332" s="27" t="n">
        <f aca="false">SUMIFS($F$293:$F$319,$A$293:$A$319,"RBI-2",$C$293:$C$319,$A332)</f>
        <v>0</v>
      </c>
      <c r="H332" s="27" t="n">
        <f aca="false">SUMIFS($H$293:$H$319,$A$293:$A$319,"RBI-2",$C$293:$C$319,$A332)</f>
        <v>0</v>
      </c>
      <c r="I332" s="27" t="n">
        <f aca="false">SUMIFS($I$293:$I$319,$A$293:$A$319,"RBI-2",$C$293:$C$319,$A332)</f>
        <v>0</v>
      </c>
      <c r="J332" s="27" t="n">
        <f aca="false">SUMIFS($K$293:$K$319,$A$293:$A$319,"RBI-2",$C$293:$C$319,$A332)</f>
        <v>0</v>
      </c>
      <c r="K332" s="27" t="n">
        <f aca="false">SUMIFS($F$293:$F$319,$A$293:$A$319,"RBI-3",$C$293:$C$319,$A332)</f>
        <v>0</v>
      </c>
      <c r="L332" s="27" t="n">
        <f aca="false">SUMIFS($H$293:$H$319,$A$293:$A$319,"RBI-3",$C$293:$C$319,$A332)</f>
        <v>0</v>
      </c>
      <c r="M332" s="27" t="n">
        <f aca="false">SUMIFS($I$293:$I$319,$A$293:$A$319,"RBI-3",$C$293:$C$319,$A332)</f>
        <v>0</v>
      </c>
      <c r="N332" s="27" t="n">
        <f aca="false">SUMIFS($K$293:$K$319,$A$293:$A$319,"RBI-3",$C$293:$C$319,$A332)</f>
        <v>0</v>
      </c>
      <c r="O332" s="27" t="n">
        <f aca="false">SUMIFS($F$293:$F$319,$A$293:$A$319,"RBI-4",$C$293:$C$319,$A332)</f>
        <v>0</v>
      </c>
      <c r="P332" s="27" t="n">
        <f aca="false">SUMIFS($H$293:$H$319,$A$293:$A$319,"RBI-4",$C$293:$C$319,$A332)</f>
        <v>0</v>
      </c>
      <c r="Q332" s="27" t="n">
        <f aca="false">SUMIFS($I$293:$I$319,$A$293:$A$319,"RBI-4",$C$293:$C$319,$A332)</f>
        <v>0</v>
      </c>
      <c r="R332" s="27" t="n">
        <f aca="false">SUMIFS($K$293:$K$319,$A$293:$A$319,"RBI-4",$C$293:$C$319,$A332)</f>
        <v>0</v>
      </c>
      <c r="S332" s="27" t="n">
        <f aca="false">SUMIFS($F$293:$F$319,$A$293:$A$319,"TBI",$C$293:$C$319,$A332)</f>
        <v>0</v>
      </c>
      <c r="T332" s="27" t="n">
        <f aca="false">SUMIFS($H$293:$H$319,$A$293:$A$319,"TBI",$C$293:$C$319,$A332)</f>
        <v>0</v>
      </c>
      <c r="U332" s="27" t="n">
        <f aca="false">SUMIFS($I$293:$I$319,$A$293:$A$319,"TBI",$C$293:$C$319,$A332)</f>
        <v>0</v>
      </c>
      <c r="V332" s="27" t="n">
        <f aca="false">SUMIFS($K$293:$K$319,$A$293:$A$319,"TBI",$C$293:$C$319,$A332)</f>
        <v>0</v>
      </c>
      <c r="W332" s="27" t="n">
        <f aca="false">IF(sel_modo="Intrusiva",S332+T332,U332+V332)</f>
        <v>0</v>
      </c>
      <c r="X332" s="27" t="n">
        <f aca="false">IF(sel_modo="Intrusiva",CHOOSE(sel_est,C332+D332,G332+H332,K332+L332,O332+P332),CHOOSE(sel_est,E332+F332,I332+J332,M332+N332,Q332+R332))</f>
        <v>0</v>
      </c>
      <c r="Y332" s="27" t="n">
        <f aca="false">W332-X332</f>
        <v>0</v>
      </c>
      <c r="Z332" s="32" t="n">
        <f aca="false">1/(1+r_o)^B332</f>
        <v>0.683013455365071</v>
      </c>
      <c r="AA332" s="27" t="n">
        <f aca="false">Y332*Z332</f>
        <v>0</v>
      </c>
      <c r="AB332" s="27" t="n">
        <f aca="false">AB331+Y332</f>
        <v>270</v>
      </c>
      <c r="AC332" s="27" t="n">
        <f aca="false">AC331+W332</f>
        <v>480</v>
      </c>
      <c r="AD332" s="27" t="n">
        <f aca="false">AD331+X332</f>
        <v>210</v>
      </c>
      <c r="AE332" s="10" t="n">
        <f aca="false">IF(MIN(AB332:AB$361)&gt;=0,1,0)</f>
        <v>1</v>
      </c>
    </row>
    <row r="333" customFormat="false" ht="15" hidden="false" customHeight="false" outlineLevel="0" collapsed="false">
      <c r="A333" s="10" t="n">
        <v>2028</v>
      </c>
      <c r="B333" s="10" t="n">
        <f aca="false">A333-o_base</f>
        <v>5</v>
      </c>
      <c r="C333" s="27" t="n">
        <f aca="false">SUMIFS($F$293:$F$319,$A$293:$A$319,"RBI-1",$C$293:$C$319,$A333)</f>
        <v>0</v>
      </c>
      <c r="D333" s="27" t="n">
        <f aca="false">SUMIFS($H$293:$H$319,$A$293:$A$319,"RBI-1",$C$293:$C$319,$A333)</f>
        <v>0</v>
      </c>
      <c r="E333" s="27" t="n">
        <f aca="false">SUMIFS($I$293:$I$319,$A$293:$A$319,"RBI-1",$C$293:$C$319,$A333)</f>
        <v>0</v>
      </c>
      <c r="F333" s="27" t="n">
        <f aca="false">SUMIFS($K$293:$K$319,$A$293:$A$319,"RBI-1",$C$293:$C$319,$A333)</f>
        <v>0</v>
      </c>
      <c r="G333" s="27" t="n">
        <f aca="false">SUMIFS($F$293:$F$319,$A$293:$A$319,"RBI-2",$C$293:$C$319,$A333)</f>
        <v>0</v>
      </c>
      <c r="H333" s="27" t="n">
        <f aca="false">SUMIFS($H$293:$H$319,$A$293:$A$319,"RBI-2",$C$293:$C$319,$A333)</f>
        <v>0</v>
      </c>
      <c r="I333" s="27" t="n">
        <f aca="false">SUMIFS($I$293:$I$319,$A$293:$A$319,"RBI-2",$C$293:$C$319,$A333)</f>
        <v>0</v>
      </c>
      <c r="J333" s="27" t="n">
        <f aca="false">SUMIFS($K$293:$K$319,$A$293:$A$319,"RBI-2",$C$293:$C$319,$A333)</f>
        <v>0</v>
      </c>
      <c r="K333" s="27" t="n">
        <f aca="false">SUMIFS($F$293:$F$319,$A$293:$A$319,"RBI-3",$C$293:$C$319,$A333)</f>
        <v>0</v>
      </c>
      <c r="L333" s="27" t="n">
        <f aca="false">SUMIFS($H$293:$H$319,$A$293:$A$319,"RBI-3",$C$293:$C$319,$A333)</f>
        <v>0</v>
      </c>
      <c r="M333" s="27" t="n">
        <f aca="false">SUMIFS($I$293:$I$319,$A$293:$A$319,"RBI-3",$C$293:$C$319,$A333)</f>
        <v>0</v>
      </c>
      <c r="N333" s="27" t="n">
        <f aca="false">SUMIFS($K$293:$K$319,$A$293:$A$319,"RBI-3",$C$293:$C$319,$A333)</f>
        <v>0</v>
      </c>
      <c r="O333" s="27" t="n">
        <f aca="false">SUMIFS($F$293:$F$319,$A$293:$A$319,"RBI-4",$C$293:$C$319,$A333)</f>
        <v>0</v>
      </c>
      <c r="P333" s="27" t="n">
        <f aca="false">SUMIFS($H$293:$H$319,$A$293:$A$319,"RBI-4",$C$293:$C$319,$A333)</f>
        <v>0</v>
      </c>
      <c r="Q333" s="27" t="n">
        <f aca="false">SUMIFS($I$293:$I$319,$A$293:$A$319,"RBI-4",$C$293:$C$319,$A333)</f>
        <v>0</v>
      </c>
      <c r="R333" s="27" t="n">
        <f aca="false">SUMIFS($K$293:$K$319,$A$293:$A$319,"RBI-4",$C$293:$C$319,$A333)</f>
        <v>0</v>
      </c>
      <c r="S333" s="27" t="n">
        <f aca="false">SUMIFS($F$293:$F$319,$A$293:$A$319,"TBI",$C$293:$C$319,$A333)</f>
        <v>0</v>
      </c>
      <c r="T333" s="27" t="n">
        <f aca="false">SUMIFS($H$293:$H$319,$A$293:$A$319,"TBI",$C$293:$C$319,$A333)</f>
        <v>0</v>
      </c>
      <c r="U333" s="27" t="n">
        <f aca="false">SUMIFS($I$293:$I$319,$A$293:$A$319,"TBI",$C$293:$C$319,$A333)</f>
        <v>0</v>
      </c>
      <c r="V333" s="27" t="n">
        <f aca="false">SUMIFS($K$293:$K$319,$A$293:$A$319,"TBI",$C$293:$C$319,$A333)</f>
        <v>0</v>
      </c>
      <c r="W333" s="27" t="n">
        <f aca="false">IF(sel_modo="Intrusiva",S333+T333,U333+V333)</f>
        <v>0</v>
      </c>
      <c r="X333" s="27" t="n">
        <f aca="false">IF(sel_modo="Intrusiva",CHOOSE(sel_est,C333+D333,G333+H333,K333+L333,O333+P333),CHOOSE(sel_est,E333+F333,I333+J333,M333+N333,Q333+R333))</f>
        <v>0</v>
      </c>
      <c r="Y333" s="27" t="n">
        <f aca="false">W333-X333</f>
        <v>0</v>
      </c>
      <c r="Z333" s="32" t="n">
        <f aca="false">1/(1+r_o)^B333</f>
        <v>0.620921323059155</v>
      </c>
      <c r="AA333" s="27" t="n">
        <f aca="false">Y333*Z333</f>
        <v>0</v>
      </c>
      <c r="AB333" s="27" t="n">
        <f aca="false">AB332+Y333</f>
        <v>270</v>
      </c>
      <c r="AC333" s="27" t="n">
        <f aca="false">AC332+W333</f>
        <v>480</v>
      </c>
      <c r="AD333" s="27" t="n">
        <f aca="false">AD332+X333</f>
        <v>210</v>
      </c>
      <c r="AE333" s="10" t="n">
        <f aca="false">IF(MIN(AB333:AB$361)&gt;=0,1,0)</f>
        <v>1</v>
      </c>
    </row>
    <row r="334" customFormat="false" ht="15" hidden="false" customHeight="false" outlineLevel="0" collapsed="false">
      <c r="A334" s="10" t="n">
        <v>2029</v>
      </c>
      <c r="B334" s="10" t="n">
        <f aca="false">A334-o_base</f>
        <v>6</v>
      </c>
      <c r="C334" s="27" t="n">
        <f aca="false">SUMIFS($F$293:$F$319,$A$293:$A$319,"RBI-1",$C$293:$C$319,$A334)</f>
        <v>0</v>
      </c>
      <c r="D334" s="27" t="n">
        <f aca="false">SUMIFS($H$293:$H$319,$A$293:$A$319,"RBI-1",$C$293:$C$319,$A334)</f>
        <v>0</v>
      </c>
      <c r="E334" s="27" t="n">
        <f aca="false">SUMIFS($I$293:$I$319,$A$293:$A$319,"RBI-1",$C$293:$C$319,$A334)</f>
        <v>0</v>
      </c>
      <c r="F334" s="27" t="n">
        <f aca="false">SUMIFS($K$293:$K$319,$A$293:$A$319,"RBI-1",$C$293:$C$319,$A334)</f>
        <v>0</v>
      </c>
      <c r="G334" s="27" t="n">
        <f aca="false">SUMIFS($F$293:$F$319,$A$293:$A$319,"RBI-2",$C$293:$C$319,$A334)</f>
        <v>0</v>
      </c>
      <c r="H334" s="27" t="n">
        <f aca="false">SUMIFS($H$293:$H$319,$A$293:$A$319,"RBI-2",$C$293:$C$319,$A334)</f>
        <v>0</v>
      </c>
      <c r="I334" s="27" t="n">
        <f aca="false">SUMIFS($I$293:$I$319,$A$293:$A$319,"RBI-2",$C$293:$C$319,$A334)</f>
        <v>0</v>
      </c>
      <c r="J334" s="27" t="n">
        <f aca="false">SUMIFS($K$293:$K$319,$A$293:$A$319,"RBI-2",$C$293:$C$319,$A334)</f>
        <v>0</v>
      </c>
      <c r="K334" s="27" t="n">
        <f aca="false">SUMIFS($F$293:$F$319,$A$293:$A$319,"RBI-3",$C$293:$C$319,$A334)</f>
        <v>0</v>
      </c>
      <c r="L334" s="27" t="n">
        <f aca="false">SUMIFS($H$293:$H$319,$A$293:$A$319,"RBI-3",$C$293:$C$319,$A334)</f>
        <v>0</v>
      </c>
      <c r="M334" s="27" t="n">
        <f aca="false">SUMIFS($I$293:$I$319,$A$293:$A$319,"RBI-3",$C$293:$C$319,$A334)</f>
        <v>0</v>
      </c>
      <c r="N334" s="27" t="n">
        <f aca="false">SUMIFS($K$293:$K$319,$A$293:$A$319,"RBI-3",$C$293:$C$319,$A334)</f>
        <v>0</v>
      </c>
      <c r="O334" s="27" t="n">
        <f aca="false">SUMIFS($F$293:$F$319,$A$293:$A$319,"RBI-4",$C$293:$C$319,$A334)</f>
        <v>0</v>
      </c>
      <c r="P334" s="27" t="n">
        <f aca="false">SUMIFS($H$293:$H$319,$A$293:$A$319,"RBI-4",$C$293:$C$319,$A334)</f>
        <v>0</v>
      </c>
      <c r="Q334" s="27" t="n">
        <f aca="false">SUMIFS($I$293:$I$319,$A$293:$A$319,"RBI-4",$C$293:$C$319,$A334)</f>
        <v>0</v>
      </c>
      <c r="R334" s="27" t="n">
        <f aca="false">SUMIFS($K$293:$K$319,$A$293:$A$319,"RBI-4",$C$293:$C$319,$A334)</f>
        <v>0</v>
      </c>
      <c r="S334" s="27" t="n">
        <f aca="false">SUMIFS($F$293:$F$319,$A$293:$A$319,"TBI",$C$293:$C$319,$A334)</f>
        <v>360</v>
      </c>
      <c r="T334" s="27" t="n">
        <f aca="false">SUMIFS($H$293:$H$319,$A$293:$A$319,"TBI",$C$293:$C$319,$A334)</f>
        <v>10000</v>
      </c>
      <c r="U334" s="27" t="n">
        <f aca="false">SUMIFS($I$293:$I$319,$A$293:$A$319,"TBI",$C$293:$C$319,$A334)</f>
        <v>480</v>
      </c>
      <c r="V334" s="27" t="n">
        <f aca="false">SUMIFS($K$293:$K$319,$A$293:$A$319,"TBI",$C$293:$C$319,$A334)</f>
        <v>0</v>
      </c>
      <c r="W334" s="27" t="n">
        <f aca="false">IF(sel_modo="Intrusiva",S334+T334,U334+V334)</f>
        <v>10360</v>
      </c>
      <c r="X334" s="27" t="n">
        <f aca="false">IF(sel_modo="Intrusiva",CHOOSE(sel_est,C334+D334,G334+H334,K334+L334,O334+P334),CHOOSE(sel_est,E334+F334,I334+J334,M334+N334,Q334+R334))</f>
        <v>0</v>
      </c>
      <c r="Y334" s="27" t="n">
        <f aca="false">W334-X334</f>
        <v>10360</v>
      </c>
      <c r="Z334" s="32" t="n">
        <f aca="false">1/(1+r_o)^B334</f>
        <v>0.564473930053777</v>
      </c>
      <c r="AA334" s="27" t="n">
        <f aca="false">Y334*Z334</f>
        <v>5847.94991535713</v>
      </c>
      <c r="AB334" s="27" t="n">
        <f aca="false">AB333+Y334</f>
        <v>10630</v>
      </c>
      <c r="AC334" s="27" t="n">
        <f aca="false">AC333+W334</f>
        <v>10840</v>
      </c>
      <c r="AD334" s="27" t="n">
        <f aca="false">AD333+X334</f>
        <v>210</v>
      </c>
      <c r="AE334" s="10" t="n">
        <f aca="false">IF(MIN(AB334:AB$361)&gt;=0,1,0)</f>
        <v>1</v>
      </c>
    </row>
    <row r="335" customFormat="false" ht="15" hidden="false" customHeight="false" outlineLevel="0" collapsed="false">
      <c r="A335" s="10" t="n">
        <v>2030</v>
      </c>
      <c r="B335" s="10" t="n">
        <f aca="false">A335-o_base</f>
        <v>7</v>
      </c>
      <c r="C335" s="27" t="n">
        <f aca="false">SUMIFS($F$293:$F$319,$A$293:$A$319,"RBI-1",$C$293:$C$319,$A335)</f>
        <v>0</v>
      </c>
      <c r="D335" s="27" t="n">
        <f aca="false">SUMIFS($H$293:$H$319,$A$293:$A$319,"RBI-1",$C$293:$C$319,$A335)</f>
        <v>0</v>
      </c>
      <c r="E335" s="27" t="n">
        <f aca="false">SUMIFS($I$293:$I$319,$A$293:$A$319,"RBI-1",$C$293:$C$319,$A335)</f>
        <v>0</v>
      </c>
      <c r="F335" s="27" t="n">
        <f aca="false">SUMIFS($K$293:$K$319,$A$293:$A$319,"RBI-1",$C$293:$C$319,$A335)</f>
        <v>0</v>
      </c>
      <c r="G335" s="27" t="n">
        <f aca="false">SUMIFS($F$293:$F$319,$A$293:$A$319,"RBI-2",$C$293:$C$319,$A335)</f>
        <v>0</v>
      </c>
      <c r="H335" s="27" t="n">
        <f aca="false">SUMIFS($H$293:$H$319,$A$293:$A$319,"RBI-2",$C$293:$C$319,$A335)</f>
        <v>0</v>
      </c>
      <c r="I335" s="27" t="n">
        <f aca="false">SUMIFS($I$293:$I$319,$A$293:$A$319,"RBI-2",$C$293:$C$319,$A335)</f>
        <v>0</v>
      </c>
      <c r="J335" s="27" t="n">
        <f aca="false">SUMIFS($K$293:$K$319,$A$293:$A$319,"RBI-2",$C$293:$C$319,$A335)</f>
        <v>0</v>
      </c>
      <c r="K335" s="27" t="n">
        <f aca="false">SUMIFS($F$293:$F$319,$A$293:$A$319,"RBI-3",$C$293:$C$319,$A335)</f>
        <v>0</v>
      </c>
      <c r="L335" s="27" t="n">
        <f aca="false">SUMIFS($H$293:$H$319,$A$293:$A$319,"RBI-3",$C$293:$C$319,$A335)</f>
        <v>0</v>
      </c>
      <c r="M335" s="27" t="n">
        <f aca="false">SUMIFS($I$293:$I$319,$A$293:$A$319,"RBI-3",$C$293:$C$319,$A335)</f>
        <v>0</v>
      </c>
      <c r="N335" s="27" t="n">
        <f aca="false">SUMIFS($K$293:$K$319,$A$293:$A$319,"RBI-3",$C$293:$C$319,$A335)</f>
        <v>0</v>
      </c>
      <c r="O335" s="27" t="n">
        <f aca="false">SUMIFS($F$293:$F$319,$A$293:$A$319,"RBI-4",$C$293:$C$319,$A335)</f>
        <v>0</v>
      </c>
      <c r="P335" s="27" t="n">
        <f aca="false">SUMIFS($H$293:$H$319,$A$293:$A$319,"RBI-4",$C$293:$C$319,$A335)</f>
        <v>0</v>
      </c>
      <c r="Q335" s="27" t="n">
        <f aca="false">SUMIFS($I$293:$I$319,$A$293:$A$319,"RBI-4",$C$293:$C$319,$A335)</f>
        <v>0</v>
      </c>
      <c r="R335" s="27" t="n">
        <f aca="false">SUMIFS($K$293:$K$319,$A$293:$A$319,"RBI-4",$C$293:$C$319,$A335)</f>
        <v>0</v>
      </c>
      <c r="S335" s="27" t="n">
        <f aca="false">SUMIFS($F$293:$F$319,$A$293:$A$319,"TBI",$C$293:$C$319,$A335)</f>
        <v>0</v>
      </c>
      <c r="T335" s="27" t="n">
        <f aca="false">SUMIFS($H$293:$H$319,$A$293:$A$319,"TBI",$C$293:$C$319,$A335)</f>
        <v>0</v>
      </c>
      <c r="U335" s="27" t="n">
        <f aca="false">SUMIFS($I$293:$I$319,$A$293:$A$319,"TBI",$C$293:$C$319,$A335)</f>
        <v>0</v>
      </c>
      <c r="V335" s="27" t="n">
        <f aca="false">SUMIFS($K$293:$K$319,$A$293:$A$319,"TBI",$C$293:$C$319,$A335)</f>
        <v>0</v>
      </c>
      <c r="W335" s="27" t="n">
        <f aca="false">IF(sel_modo="Intrusiva",S335+T335,U335+V335)</f>
        <v>0</v>
      </c>
      <c r="X335" s="27" t="n">
        <f aca="false">IF(sel_modo="Intrusiva",CHOOSE(sel_est,C335+D335,G335+H335,K335+L335,O335+P335),CHOOSE(sel_est,E335+F335,I335+J335,M335+N335,Q335+R335))</f>
        <v>0</v>
      </c>
      <c r="Y335" s="27" t="n">
        <f aca="false">W335-X335</f>
        <v>0</v>
      </c>
      <c r="Z335" s="32" t="n">
        <f aca="false">1/(1+r_o)^B335</f>
        <v>0.513158118230707</v>
      </c>
      <c r="AA335" s="27" t="n">
        <f aca="false">Y335*Z335</f>
        <v>0</v>
      </c>
      <c r="AB335" s="27" t="n">
        <f aca="false">AB334+Y335</f>
        <v>10630</v>
      </c>
      <c r="AC335" s="27" t="n">
        <f aca="false">AC334+W335</f>
        <v>10840</v>
      </c>
      <c r="AD335" s="27" t="n">
        <f aca="false">AD334+X335</f>
        <v>210</v>
      </c>
      <c r="AE335" s="10" t="n">
        <f aca="false">IF(MIN(AB335:AB$361)&gt;=0,1,0)</f>
        <v>1</v>
      </c>
    </row>
    <row r="336" customFormat="false" ht="15" hidden="false" customHeight="false" outlineLevel="0" collapsed="false">
      <c r="A336" s="10" t="n">
        <v>2031</v>
      </c>
      <c r="B336" s="10" t="n">
        <f aca="false">A336-o_base</f>
        <v>8</v>
      </c>
      <c r="C336" s="27" t="n">
        <f aca="false">SUMIFS($F$293:$F$319,$A$293:$A$319,"RBI-1",$C$293:$C$319,$A336)</f>
        <v>0</v>
      </c>
      <c r="D336" s="27" t="n">
        <f aca="false">SUMIFS($H$293:$H$319,$A$293:$A$319,"RBI-1",$C$293:$C$319,$A336)</f>
        <v>0</v>
      </c>
      <c r="E336" s="27" t="n">
        <f aca="false">SUMIFS($I$293:$I$319,$A$293:$A$319,"RBI-1",$C$293:$C$319,$A336)</f>
        <v>0</v>
      </c>
      <c r="F336" s="27" t="n">
        <f aca="false">SUMIFS($K$293:$K$319,$A$293:$A$319,"RBI-1",$C$293:$C$319,$A336)</f>
        <v>0</v>
      </c>
      <c r="G336" s="27" t="n">
        <f aca="false">SUMIFS($F$293:$F$319,$A$293:$A$319,"RBI-2",$C$293:$C$319,$A336)</f>
        <v>0</v>
      </c>
      <c r="H336" s="27" t="n">
        <f aca="false">SUMIFS($H$293:$H$319,$A$293:$A$319,"RBI-2",$C$293:$C$319,$A336)</f>
        <v>0</v>
      </c>
      <c r="I336" s="27" t="n">
        <f aca="false">SUMIFS($I$293:$I$319,$A$293:$A$319,"RBI-2",$C$293:$C$319,$A336)</f>
        <v>0</v>
      </c>
      <c r="J336" s="27" t="n">
        <f aca="false">SUMIFS($K$293:$K$319,$A$293:$A$319,"RBI-2",$C$293:$C$319,$A336)</f>
        <v>0</v>
      </c>
      <c r="K336" s="27" t="n">
        <f aca="false">SUMIFS($F$293:$F$319,$A$293:$A$319,"RBI-3",$C$293:$C$319,$A336)</f>
        <v>0</v>
      </c>
      <c r="L336" s="27" t="n">
        <f aca="false">SUMIFS($H$293:$H$319,$A$293:$A$319,"RBI-3",$C$293:$C$319,$A336)</f>
        <v>0</v>
      </c>
      <c r="M336" s="27" t="n">
        <f aca="false">SUMIFS($I$293:$I$319,$A$293:$A$319,"RBI-3",$C$293:$C$319,$A336)</f>
        <v>0</v>
      </c>
      <c r="N336" s="27" t="n">
        <f aca="false">SUMIFS($K$293:$K$319,$A$293:$A$319,"RBI-3",$C$293:$C$319,$A336)</f>
        <v>0</v>
      </c>
      <c r="O336" s="27" t="n">
        <f aca="false">SUMIFS($F$293:$F$319,$A$293:$A$319,"RBI-4",$C$293:$C$319,$A336)</f>
        <v>0</v>
      </c>
      <c r="P336" s="27" t="n">
        <f aca="false">SUMIFS($H$293:$H$319,$A$293:$A$319,"RBI-4",$C$293:$C$319,$A336)</f>
        <v>0</v>
      </c>
      <c r="Q336" s="27" t="n">
        <f aca="false">SUMIFS($I$293:$I$319,$A$293:$A$319,"RBI-4",$C$293:$C$319,$A336)</f>
        <v>0</v>
      </c>
      <c r="R336" s="27" t="n">
        <f aca="false">SUMIFS($K$293:$K$319,$A$293:$A$319,"RBI-4",$C$293:$C$319,$A336)</f>
        <v>0</v>
      </c>
      <c r="S336" s="27" t="n">
        <f aca="false">SUMIFS($F$293:$F$319,$A$293:$A$319,"TBI",$C$293:$C$319,$A336)</f>
        <v>0</v>
      </c>
      <c r="T336" s="27" t="n">
        <f aca="false">SUMIFS($H$293:$H$319,$A$293:$A$319,"TBI",$C$293:$C$319,$A336)</f>
        <v>0</v>
      </c>
      <c r="U336" s="27" t="n">
        <f aca="false">SUMIFS($I$293:$I$319,$A$293:$A$319,"TBI",$C$293:$C$319,$A336)</f>
        <v>0</v>
      </c>
      <c r="V336" s="27" t="n">
        <f aca="false">SUMIFS($K$293:$K$319,$A$293:$A$319,"TBI",$C$293:$C$319,$A336)</f>
        <v>0</v>
      </c>
      <c r="W336" s="27" t="n">
        <f aca="false">IF(sel_modo="Intrusiva",S336+T336,U336+V336)</f>
        <v>0</v>
      </c>
      <c r="X336" s="27" t="n">
        <f aca="false">IF(sel_modo="Intrusiva",CHOOSE(sel_est,C336+D336,G336+H336,K336+L336,O336+P336),CHOOSE(sel_est,E336+F336,I336+J336,M336+N336,Q336+R336))</f>
        <v>0</v>
      </c>
      <c r="Y336" s="27" t="n">
        <f aca="false">W336-X336</f>
        <v>0</v>
      </c>
      <c r="Z336" s="32" t="n">
        <f aca="false">1/(1+r_o)^B336</f>
        <v>0.466507380209733</v>
      </c>
      <c r="AA336" s="27" t="n">
        <f aca="false">Y336*Z336</f>
        <v>0</v>
      </c>
      <c r="AB336" s="27" t="n">
        <f aca="false">AB335+Y336</f>
        <v>10630</v>
      </c>
      <c r="AC336" s="27" t="n">
        <f aca="false">AC335+W336</f>
        <v>10840</v>
      </c>
      <c r="AD336" s="27" t="n">
        <f aca="false">AD335+X336</f>
        <v>210</v>
      </c>
      <c r="AE336" s="10" t="n">
        <f aca="false">IF(MIN(AB336:AB$361)&gt;=0,1,0)</f>
        <v>1</v>
      </c>
    </row>
    <row r="337" customFormat="false" ht="15" hidden="false" customHeight="false" outlineLevel="0" collapsed="false">
      <c r="A337" s="10" t="n">
        <v>2032</v>
      </c>
      <c r="B337" s="10" t="n">
        <f aca="false">A337-o_base</f>
        <v>9</v>
      </c>
      <c r="C337" s="27" t="n">
        <f aca="false">SUMIFS($F$293:$F$319,$A$293:$A$319,"RBI-1",$C$293:$C$319,$A337)</f>
        <v>0</v>
      </c>
      <c r="D337" s="27" t="n">
        <f aca="false">SUMIFS($H$293:$H$319,$A$293:$A$319,"RBI-1",$C$293:$C$319,$A337)</f>
        <v>0</v>
      </c>
      <c r="E337" s="27" t="n">
        <f aca="false">SUMIFS($I$293:$I$319,$A$293:$A$319,"RBI-1",$C$293:$C$319,$A337)</f>
        <v>0</v>
      </c>
      <c r="F337" s="27" t="n">
        <f aca="false">SUMIFS($K$293:$K$319,$A$293:$A$319,"RBI-1",$C$293:$C$319,$A337)</f>
        <v>0</v>
      </c>
      <c r="G337" s="27" t="n">
        <f aca="false">SUMIFS($F$293:$F$319,$A$293:$A$319,"RBI-2",$C$293:$C$319,$A337)</f>
        <v>0</v>
      </c>
      <c r="H337" s="27" t="n">
        <f aca="false">SUMIFS($H$293:$H$319,$A$293:$A$319,"RBI-2",$C$293:$C$319,$A337)</f>
        <v>0</v>
      </c>
      <c r="I337" s="27" t="n">
        <f aca="false">SUMIFS($I$293:$I$319,$A$293:$A$319,"RBI-2",$C$293:$C$319,$A337)</f>
        <v>0</v>
      </c>
      <c r="J337" s="27" t="n">
        <f aca="false">SUMIFS($K$293:$K$319,$A$293:$A$319,"RBI-2",$C$293:$C$319,$A337)</f>
        <v>0</v>
      </c>
      <c r="K337" s="27" t="n">
        <f aca="false">SUMIFS($F$293:$F$319,$A$293:$A$319,"RBI-3",$C$293:$C$319,$A337)</f>
        <v>0</v>
      </c>
      <c r="L337" s="27" t="n">
        <f aca="false">SUMIFS($H$293:$H$319,$A$293:$A$319,"RBI-3",$C$293:$C$319,$A337)</f>
        <v>0</v>
      </c>
      <c r="M337" s="27" t="n">
        <f aca="false">SUMIFS($I$293:$I$319,$A$293:$A$319,"RBI-3",$C$293:$C$319,$A337)</f>
        <v>0</v>
      </c>
      <c r="N337" s="27" t="n">
        <f aca="false">SUMIFS($K$293:$K$319,$A$293:$A$319,"RBI-3",$C$293:$C$319,$A337)</f>
        <v>0</v>
      </c>
      <c r="O337" s="27" t="n">
        <f aca="false">SUMIFS($F$293:$F$319,$A$293:$A$319,"RBI-4",$C$293:$C$319,$A337)</f>
        <v>360</v>
      </c>
      <c r="P337" s="27" t="n">
        <f aca="false">SUMIFS($H$293:$H$319,$A$293:$A$319,"RBI-4",$C$293:$C$319,$A337)</f>
        <v>0</v>
      </c>
      <c r="Q337" s="27" t="n">
        <f aca="false">SUMIFS($I$293:$I$319,$A$293:$A$319,"RBI-4",$C$293:$C$319,$A337)</f>
        <v>360</v>
      </c>
      <c r="R337" s="27" t="n">
        <f aca="false">SUMIFS($K$293:$K$319,$A$293:$A$319,"RBI-4",$C$293:$C$319,$A337)</f>
        <v>0</v>
      </c>
      <c r="S337" s="27" t="n">
        <f aca="false">SUMIFS($F$293:$F$319,$A$293:$A$319,"TBI",$C$293:$C$319,$A337)</f>
        <v>240</v>
      </c>
      <c r="T337" s="27" t="n">
        <f aca="false">SUMIFS($H$293:$H$319,$A$293:$A$319,"TBI",$C$293:$C$319,$A337)</f>
        <v>0</v>
      </c>
      <c r="U337" s="27" t="n">
        <f aca="false">SUMIFS($I$293:$I$319,$A$293:$A$319,"TBI",$C$293:$C$319,$A337)</f>
        <v>240</v>
      </c>
      <c r="V337" s="27" t="n">
        <f aca="false">SUMIFS($K$293:$K$319,$A$293:$A$319,"TBI",$C$293:$C$319,$A337)</f>
        <v>0</v>
      </c>
      <c r="W337" s="27" t="n">
        <f aca="false">IF(sel_modo="Intrusiva",S337+T337,U337+V337)</f>
        <v>240</v>
      </c>
      <c r="X337" s="27" t="n">
        <f aca="false">IF(sel_modo="Intrusiva",CHOOSE(sel_est,C337+D337,G337+H337,K337+L337,O337+P337),CHOOSE(sel_est,E337+F337,I337+J337,M337+N337,Q337+R337))</f>
        <v>0</v>
      </c>
      <c r="Y337" s="27" t="n">
        <f aca="false">W337-X337</f>
        <v>240</v>
      </c>
      <c r="Z337" s="32" t="n">
        <f aca="false">1/(1+r_o)^B337</f>
        <v>0.424097618372485</v>
      </c>
      <c r="AA337" s="27" t="n">
        <f aca="false">Y337*Z337</f>
        <v>101.783428409396</v>
      </c>
      <c r="AB337" s="27" t="n">
        <f aca="false">AB336+Y337</f>
        <v>10870</v>
      </c>
      <c r="AC337" s="27" t="n">
        <f aca="false">AC336+W337</f>
        <v>11080</v>
      </c>
      <c r="AD337" s="27" t="n">
        <f aca="false">AD336+X337</f>
        <v>210</v>
      </c>
      <c r="AE337" s="10" t="n">
        <f aca="false">IF(MIN(AB337:AB$361)&gt;=0,1,0)</f>
        <v>1</v>
      </c>
    </row>
    <row r="338" customFormat="false" ht="15" hidden="false" customHeight="false" outlineLevel="0" collapsed="false">
      <c r="A338" s="10" t="n">
        <v>2033</v>
      </c>
      <c r="B338" s="10" t="n">
        <f aca="false">A338-o_base</f>
        <v>10</v>
      </c>
      <c r="C338" s="27" t="n">
        <f aca="false">SUMIFS($F$293:$F$319,$A$293:$A$319,"RBI-1",$C$293:$C$319,$A338)</f>
        <v>720</v>
      </c>
      <c r="D338" s="27" t="n">
        <f aca="false">SUMIFS($H$293:$H$319,$A$293:$A$319,"RBI-1",$C$293:$C$319,$A338)</f>
        <v>0</v>
      </c>
      <c r="E338" s="27" t="n">
        <f aca="false">SUMIFS($I$293:$I$319,$A$293:$A$319,"RBI-1",$C$293:$C$319,$A338)</f>
        <v>720</v>
      </c>
      <c r="F338" s="27" t="n">
        <f aca="false">SUMIFS($K$293:$K$319,$A$293:$A$319,"RBI-1",$C$293:$C$319,$A338)</f>
        <v>0</v>
      </c>
      <c r="G338" s="27" t="n">
        <f aca="false">SUMIFS($F$293:$F$319,$A$293:$A$319,"RBI-2",$C$293:$C$319,$A338)</f>
        <v>600</v>
      </c>
      <c r="H338" s="27" t="n">
        <f aca="false">SUMIFS($H$293:$H$319,$A$293:$A$319,"RBI-2",$C$293:$C$319,$A338)</f>
        <v>0</v>
      </c>
      <c r="I338" s="27" t="n">
        <f aca="false">SUMIFS($I$293:$I$319,$A$293:$A$319,"RBI-2",$C$293:$C$319,$A338)</f>
        <v>600</v>
      </c>
      <c r="J338" s="27" t="n">
        <f aca="false">SUMIFS($K$293:$K$319,$A$293:$A$319,"RBI-2",$C$293:$C$319,$A338)</f>
        <v>0</v>
      </c>
      <c r="K338" s="27" t="n">
        <f aca="false">SUMIFS($F$293:$F$319,$A$293:$A$319,"RBI-3",$C$293:$C$319,$A338)</f>
        <v>480</v>
      </c>
      <c r="L338" s="27" t="n">
        <f aca="false">SUMIFS($H$293:$H$319,$A$293:$A$319,"RBI-3",$C$293:$C$319,$A338)</f>
        <v>0</v>
      </c>
      <c r="M338" s="27" t="n">
        <f aca="false">SUMIFS($I$293:$I$319,$A$293:$A$319,"RBI-3",$C$293:$C$319,$A338)</f>
        <v>480</v>
      </c>
      <c r="N338" s="27" t="n">
        <f aca="false">SUMIFS($K$293:$K$319,$A$293:$A$319,"RBI-3",$C$293:$C$319,$A338)</f>
        <v>0</v>
      </c>
      <c r="O338" s="27" t="n">
        <f aca="false">SUMIFS($F$293:$F$319,$A$293:$A$319,"RBI-4",$C$293:$C$319,$A338)</f>
        <v>0</v>
      </c>
      <c r="P338" s="27" t="n">
        <f aca="false">SUMIFS($H$293:$H$319,$A$293:$A$319,"RBI-4",$C$293:$C$319,$A338)</f>
        <v>0</v>
      </c>
      <c r="Q338" s="27" t="n">
        <f aca="false">SUMIFS($I$293:$I$319,$A$293:$A$319,"RBI-4",$C$293:$C$319,$A338)</f>
        <v>0</v>
      </c>
      <c r="R338" s="27" t="n">
        <f aca="false">SUMIFS($K$293:$K$319,$A$293:$A$319,"RBI-4",$C$293:$C$319,$A338)</f>
        <v>0</v>
      </c>
      <c r="S338" s="27" t="n">
        <f aca="false">SUMIFS($F$293:$F$319,$A$293:$A$319,"TBI",$C$293:$C$319,$A338)</f>
        <v>0</v>
      </c>
      <c r="T338" s="27" t="n">
        <f aca="false">SUMIFS($H$293:$H$319,$A$293:$A$319,"TBI",$C$293:$C$319,$A338)</f>
        <v>0</v>
      </c>
      <c r="U338" s="27" t="n">
        <f aca="false">SUMIFS($I$293:$I$319,$A$293:$A$319,"TBI",$C$293:$C$319,$A338)</f>
        <v>0</v>
      </c>
      <c r="V338" s="27" t="n">
        <f aca="false">SUMIFS($K$293:$K$319,$A$293:$A$319,"TBI",$C$293:$C$319,$A338)</f>
        <v>0</v>
      </c>
      <c r="W338" s="27" t="n">
        <f aca="false">IF(sel_modo="Intrusiva",S338+T338,U338+V338)</f>
        <v>0</v>
      </c>
      <c r="X338" s="27" t="n">
        <f aca="false">IF(sel_modo="Intrusiva",CHOOSE(sel_est,C338+D338,G338+H338,K338+L338,O338+P338),CHOOSE(sel_est,E338+F338,I338+J338,M338+N338,Q338+R338))</f>
        <v>600</v>
      </c>
      <c r="Y338" s="27" t="n">
        <f aca="false">W338-X338</f>
        <v>-600</v>
      </c>
      <c r="Z338" s="32" t="n">
        <f aca="false">1/(1+r_o)^B338</f>
        <v>0.385543289429531</v>
      </c>
      <c r="AA338" s="27" t="n">
        <f aca="false">Y338*Z338</f>
        <v>-231.325973657719</v>
      </c>
      <c r="AB338" s="27" t="n">
        <f aca="false">AB337+Y338</f>
        <v>10270</v>
      </c>
      <c r="AC338" s="27" t="n">
        <f aca="false">AC337+W338</f>
        <v>11080</v>
      </c>
      <c r="AD338" s="27" t="n">
        <f aca="false">AD337+X338</f>
        <v>810</v>
      </c>
      <c r="AE338" s="10" t="n">
        <f aca="false">IF(MIN(AB338:AB$361)&gt;=0,1,0)</f>
        <v>1</v>
      </c>
    </row>
    <row r="339" customFormat="false" ht="15" hidden="false" customHeight="false" outlineLevel="0" collapsed="false">
      <c r="A339" s="10" t="n">
        <v>2034</v>
      </c>
      <c r="B339" s="10" t="n">
        <f aca="false">A339-o_base</f>
        <v>11</v>
      </c>
      <c r="C339" s="27" t="n">
        <f aca="false">SUMIFS($F$293:$F$319,$A$293:$A$319,"RBI-1",$C$293:$C$319,$A339)</f>
        <v>0</v>
      </c>
      <c r="D339" s="27" t="n">
        <f aca="false">SUMIFS($H$293:$H$319,$A$293:$A$319,"RBI-1",$C$293:$C$319,$A339)</f>
        <v>0</v>
      </c>
      <c r="E339" s="27" t="n">
        <f aca="false">SUMIFS($I$293:$I$319,$A$293:$A$319,"RBI-1",$C$293:$C$319,$A339)</f>
        <v>0</v>
      </c>
      <c r="F339" s="27" t="n">
        <f aca="false">SUMIFS($K$293:$K$319,$A$293:$A$319,"RBI-1",$C$293:$C$319,$A339)</f>
        <v>0</v>
      </c>
      <c r="G339" s="27" t="n">
        <f aca="false">SUMIFS($F$293:$F$319,$A$293:$A$319,"RBI-2",$C$293:$C$319,$A339)</f>
        <v>0</v>
      </c>
      <c r="H339" s="27" t="n">
        <f aca="false">SUMIFS($H$293:$H$319,$A$293:$A$319,"RBI-2",$C$293:$C$319,$A339)</f>
        <v>0</v>
      </c>
      <c r="I339" s="27" t="n">
        <f aca="false">SUMIFS($I$293:$I$319,$A$293:$A$319,"RBI-2",$C$293:$C$319,$A339)</f>
        <v>0</v>
      </c>
      <c r="J339" s="27" t="n">
        <f aca="false">SUMIFS($K$293:$K$319,$A$293:$A$319,"RBI-2",$C$293:$C$319,$A339)</f>
        <v>0</v>
      </c>
      <c r="K339" s="27" t="n">
        <f aca="false">SUMIFS($F$293:$F$319,$A$293:$A$319,"RBI-3",$C$293:$C$319,$A339)</f>
        <v>0</v>
      </c>
      <c r="L339" s="27" t="n">
        <f aca="false">SUMIFS($H$293:$H$319,$A$293:$A$319,"RBI-3",$C$293:$C$319,$A339)</f>
        <v>0</v>
      </c>
      <c r="M339" s="27" t="n">
        <f aca="false">SUMIFS($I$293:$I$319,$A$293:$A$319,"RBI-3",$C$293:$C$319,$A339)</f>
        <v>0</v>
      </c>
      <c r="N339" s="27" t="n">
        <f aca="false">SUMIFS($K$293:$K$319,$A$293:$A$319,"RBI-3",$C$293:$C$319,$A339)</f>
        <v>0</v>
      </c>
      <c r="O339" s="27" t="n">
        <f aca="false">SUMIFS($F$293:$F$319,$A$293:$A$319,"RBI-4",$C$293:$C$319,$A339)</f>
        <v>0</v>
      </c>
      <c r="P339" s="27" t="n">
        <f aca="false">SUMIFS($H$293:$H$319,$A$293:$A$319,"RBI-4",$C$293:$C$319,$A339)</f>
        <v>0</v>
      </c>
      <c r="Q339" s="27" t="n">
        <f aca="false">SUMIFS($I$293:$I$319,$A$293:$A$319,"RBI-4",$C$293:$C$319,$A339)</f>
        <v>0</v>
      </c>
      <c r="R339" s="27" t="n">
        <f aca="false">SUMIFS($K$293:$K$319,$A$293:$A$319,"RBI-4",$C$293:$C$319,$A339)</f>
        <v>0</v>
      </c>
      <c r="S339" s="27" t="n">
        <f aca="false">SUMIFS($F$293:$F$319,$A$293:$A$319,"TBI",$C$293:$C$319,$A339)</f>
        <v>0</v>
      </c>
      <c r="T339" s="27" t="n">
        <f aca="false">SUMIFS($H$293:$H$319,$A$293:$A$319,"TBI",$C$293:$C$319,$A339)</f>
        <v>0</v>
      </c>
      <c r="U339" s="27" t="n">
        <f aca="false">SUMIFS($I$293:$I$319,$A$293:$A$319,"TBI",$C$293:$C$319,$A339)</f>
        <v>0</v>
      </c>
      <c r="V339" s="27" t="n">
        <f aca="false">SUMIFS($K$293:$K$319,$A$293:$A$319,"TBI",$C$293:$C$319,$A339)</f>
        <v>0</v>
      </c>
      <c r="W339" s="27" t="n">
        <f aca="false">IF(sel_modo="Intrusiva",S339+T339,U339+V339)</f>
        <v>0</v>
      </c>
      <c r="X339" s="27" t="n">
        <f aca="false">IF(sel_modo="Intrusiva",CHOOSE(sel_est,C339+D339,G339+H339,K339+L339,O339+P339),CHOOSE(sel_est,E339+F339,I339+J339,M339+N339,Q339+R339))</f>
        <v>0</v>
      </c>
      <c r="Y339" s="27" t="n">
        <f aca="false">W339-X339</f>
        <v>0</v>
      </c>
      <c r="Z339" s="32" t="n">
        <f aca="false">1/(1+r_o)^B339</f>
        <v>0.350493899481392</v>
      </c>
      <c r="AA339" s="27" t="n">
        <f aca="false">Y339*Z339</f>
        <v>0</v>
      </c>
      <c r="AB339" s="27" t="n">
        <f aca="false">AB338+Y339</f>
        <v>10270</v>
      </c>
      <c r="AC339" s="27" t="n">
        <f aca="false">AC338+W339</f>
        <v>11080</v>
      </c>
      <c r="AD339" s="27" t="n">
        <f aca="false">AD338+X339</f>
        <v>810</v>
      </c>
      <c r="AE339" s="10" t="n">
        <f aca="false">IF(MIN(AB339:AB$361)&gt;=0,1,0)</f>
        <v>1</v>
      </c>
    </row>
    <row r="340" customFormat="false" ht="15" hidden="false" customHeight="false" outlineLevel="0" collapsed="false">
      <c r="A340" s="10" t="n">
        <v>2035</v>
      </c>
      <c r="B340" s="10" t="n">
        <f aca="false">A340-o_base</f>
        <v>12</v>
      </c>
      <c r="C340" s="27" t="n">
        <f aca="false">SUMIFS($F$293:$F$319,$A$293:$A$319,"RBI-1",$C$293:$C$319,$A340)</f>
        <v>0</v>
      </c>
      <c r="D340" s="27" t="n">
        <f aca="false">SUMIFS($H$293:$H$319,$A$293:$A$319,"RBI-1",$C$293:$C$319,$A340)</f>
        <v>0</v>
      </c>
      <c r="E340" s="27" t="n">
        <f aca="false">SUMIFS($I$293:$I$319,$A$293:$A$319,"RBI-1",$C$293:$C$319,$A340)</f>
        <v>0</v>
      </c>
      <c r="F340" s="27" t="n">
        <f aca="false">SUMIFS($K$293:$K$319,$A$293:$A$319,"RBI-1",$C$293:$C$319,$A340)</f>
        <v>0</v>
      </c>
      <c r="G340" s="27" t="n">
        <f aca="false">SUMIFS($F$293:$F$319,$A$293:$A$319,"RBI-2",$C$293:$C$319,$A340)</f>
        <v>0</v>
      </c>
      <c r="H340" s="27" t="n">
        <f aca="false">SUMIFS($H$293:$H$319,$A$293:$A$319,"RBI-2",$C$293:$C$319,$A340)</f>
        <v>0</v>
      </c>
      <c r="I340" s="27" t="n">
        <f aca="false">SUMIFS($I$293:$I$319,$A$293:$A$319,"RBI-2",$C$293:$C$319,$A340)</f>
        <v>0</v>
      </c>
      <c r="J340" s="27" t="n">
        <f aca="false">SUMIFS($K$293:$K$319,$A$293:$A$319,"RBI-2",$C$293:$C$319,$A340)</f>
        <v>0</v>
      </c>
      <c r="K340" s="27" t="n">
        <f aca="false">SUMIFS($F$293:$F$319,$A$293:$A$319,"RBI-3",$C$293:$C$319,$A340)</f>
        <v>0</v>
      </c>
      <c r="L340" s="27" t="n">
        <f aca="false">SUMIFS($H$293:$H$319,$A$293:$A$319,"RBI-3",$C$293:$C$319,$A340)</f>
        <v>0</v>
      </c>
      <c r="M340" s="27" t="n">
        <f aca="false">SUMIFS($I$293:$I$319,$A$293:$A$319,"RBI-3",$C$293:$C$319,$A340)</f>
        <v>0</v>
      </c>
      <c r="N340" s="27" t="n">
        <f aca="false">SUMIFS($K$293:$K$319,$A$293:$A$319,"RBI-3",$C$293:$C$319,$A340)</f>
        <v>0</v>
      </c>
      <c r="O340" s="27" t="n">
        <f aca="false">SUMIFS($F$293:$F$319,$A$293:$A$319,"RBI-4",$C$293:$C$319,$A340)</f>
        <v>0</v>
      </c>
      <c r="P340" s="27" t="n">
        <f aca="false">SUMIFS($H$293:$H$319,$A$293:$A$319,"RBI-4",$C$293:$C$319,$A340)</f>
        <v>0</v>
      </c>
      <c r="Q340" s="27" t="n">
        <f aca="false">SUMIFS($I$293:$I$319,$A$293:$A$319,"RBI-4",$C$293:$C$319,$A340)</f>
        <v>0</v>
      </c>
      <c r="R340" s="27" t="n">
        <f aca="false">SUMIFS($K$293:$K$319,$A$293:$A$319,"RBI-4",$C$293:$C$319,$A340)</f>
        <v>0</v>
      </c>
      <c r="S340" s="27" t="n">
        <f aca="false">SUMIFS($F$293:$F$319,$A$293:$A$319,"TBI",$C$293:$C$319,$A340)</f>
        <v>240</v>
      </c>
      <c r="T340" s="27" t="n">
        <f aca="false">SUMIFS($H$293:$H$319,$A$293:$A$319,"TBI",$C$293:$C$319,$A340)</f>
        <v>0</v>
      </c>
      <c r="U340" s="27" t="n">
        <f aca="false">SUMIFS($I$293:$I$319,$A$293:$A$319,"TBI",$C$293:$C$319,$A340)</f>
        <v>240</v>
      </c>
      <c r="V340" s="27" t="n">
        <f aca="false">SUMIFS($K$293:$K$319,$A$293:$A$319,"TBI",$C$293:$C$319,$A340)</f>
        <v>0</v>
      </c>
      <c r="W340" s="27" t="n">
        <f aca="false">IF(sel_modo="Intrusiva",S340+T340,U340+V340)</f>
        <v>240</v>
      </c>
      <c r="X340" s="27" t="n">
        <f aca="false">IF(sel_modo="Intrusiva",CHOOSE(sel_est,C340+D340,G340+H340,K340+L340,O340+P340),CHOOSE(sel_est,E340+F340,I340+J340,M340+N340,Q340+R340))</f>
        <v>0</v>
      </c>
      <c r="Y340" s="27" t="n">
        <f aca="false">W340-X340</f>
        <v>240</v>
      </c>
      <c r="Z340" s="32" t="n">
        <f aca="false">1/(1+r_o)^B340</f>
        <v>0.318630817710357</v>
      </c>
      <c r="AA340" s="27" t="n">
        <f aca="false">Y340*Z340</f>
        <v>76.4713962504856</v>
      </c>
      <c r="AB340" s="27" t="n">
        <f aca="false">AB339+Y340</f>
        <v>10510</v>
      </c>
      <c r="AC340" s="27" t="n">
        <f aca="false">AC339+W340</f>
        <v>11320</v>
      </c>
      <c r="AD340" s="27" t="n">
        <f aca="false">AD339+X340</f>
        <v>810</v>
      </c>
      <c r="AE340" s="10" t="n">
        <f aca="false">IF(MIN(AB340:AB$361)&gt;=0,1,0)</f>
        <v>1</v>
      </c>
    </row>
    <row r="341" customFormat="false" ht="15" hidden="false" customHeight="false" outlineLevel="0" collapsed="false">
      <c r="A341" s="10" t="n">
        <v>2036</v>
      </c>
      <c r="B341" s="10" t="n">
        <f aca="false">A341-o_base</f>
        <v>13</v>
      </c>
      <c r="C341" s="27" t="n">
        <f aca="false">SUMIFS($F$293:$F$319,$A$293:$A$319,"RBI-1",$C$293:$C$319,$A341)</f>
        <v>0</v>
      </c>
      <c r="D341" s="27" t="n">
        <f aca="false">SUMIFS($H$293:$H$319,$A$293:$A$319,"RBI-1",$C$293:$C$319,$A341)</f>
        <v>0</v>
      </c>
      <c r="E341" s="27" t="n">
        <f aca="false">SUMIFS($I$293:$I$319,$A$293:$A$319,"RBI-1",$C$293:$C$319,$A341)</f>
        <v>0</v>
      </c>
      <c r="F341" s="27" t="n">
        <f aca="false">SUMIFS($K$293:$K$319,$A$293:$A$319,"RBI-1",$C$293:$C$319,$A341)</f>
        <v>0</v>
      </c>
      <c r="G341" s="27" t="n">
        <f aca="false">SUMIFS($F$293:$F$319,$A$293:$A$319,"RBI-2",$C$293:$C$319,$A341)</f>
        <v>0</v>
      </c>
      <c r="H341" s="27" t="n">
        <f aca="false">SUMIFS($H$293:$H$319,$A$293:$A$319,"RBI-2",$C$293:$C$319,$A341)</f>
        <v>0</v>
      </c>
      <c r="I341" s="27" t="n">
        <f aca="false">SUMIFS($I$293:$I$319,$A$293:$A$319,"RBI-2",$C$293:$C$319,$A341)</f>
        <v>0</v>
      </c>
      <c r="J341" s="27" t="n">
        <f aca="false">SUMIFS($K$293:$K$319,$A$293:$A$319,"RBI-2",$C$293:$C$319,$A341)</f>
        <v>0</v>
      </c>
      <c r="K341" s="27" t="n">
        <f aca="false">SUMIFS($F$293:$F$319,$A$293:$A$319,"RBI-3",$C$293:$C$319,$A341)</f>
        <v>0</v>
      </c>
      <c r="L341" s="27" t="n">
        <f aca="false">SUMIFS($H$293:$H$319,$A$293:$A$319,"RBI-3",$C$293:$C$319,$A341)</f>
        <v>0</v>
      </c>
      <c r="M341" s="27" t="n">
        <f aca="false">SUMIFS($I$293:$I$319,$A$293:$A$319,"RBI-3",$C$293:$C$319,$A341)</f>
        <v>0</v>
      </c>
      <c r="N341" s="27" t="n">
        <f aca="false">SUMIFS($K$293:$K$319,$A$293:$A$319,"RBI-3",$C$293:$C$319,$A341)</f>
        <v>0</v>
      </c>
      <c r="O341" s="27" t="n">
        <f aca="false">SUMIFS($F$293:$F$319,$A$293:$A$319,"RBI-4",$C$293:$C$319,$A341)</f>
        <v>0</v>
      </c>
      <c r="P341" s="27" t="n">
        <f aca="false">SUMIFS($H$293:$H$319,$A$293:$A$319,"RBI-4",$C$293:$C$319,$A341)</f>
        <v>0</v>
      </c>
      <c r="Q341" s="27" t="n">
        <f aca="false">SUMIFS($I$293:$I$319,$A$293:$A$319,"RBI-4",$C$293:$C$319,$A341)</f>
        <v>0</v>
      </c>
      <c r="R341" s="27" t="n">
        <f aca="false">SUMIFS($K$293:$K$319,$A$293:$A$319,"RBI-4",$C$293:$C$319,$A341)</f>
        <v>0</v>
      </c>
      <c r="S341" s="27" t="n">
        <f aca="false">SUMIFS($F$293:$F$319,$A$293:$A$319,"TBI",$C$293:$C$319,$A341)</f>
        <v>0</v>
      </c>
      <c r="T341" s="27" t="n">
        <f aca="false">SUMIFS($H$293:$H$319,$A$293:$A$319,"TBI",$C$293:$C$319,$A341)</f>
        <v>0</v>
      </c>
      <c r="U341" s="27" t="n">
        <f aca="false">SUMIFS($I$293:$I$319,$A$293:$A$319,"TBI",$C$293:$C$319,$A341)</f>
        <v>0</v>
      </c>
      <c r="V341" s="27" t="n">
        <f aca="false">SUMIFS($K$293:$K$319,$A$293:$A$319,"TBI",$C$293:$C$319,$A341)</f>
        <v>0</v>
      </c>
      <c r="W341" s="27" t="n">
        <f aca="false">IF(sel_modo="Intrusiva",S341+T341,U341+V341)</f>
        <v>0</v>
      </c>
      <c r="X341" s="27" t="n">
        <f aca="false">IF(sel_modo="Intrusiva",CHOOSE(sel_est,C341+D341,G341+H341,K341+L341,O341+P341),CHOOSE(sel_est,E341+F341,I341+J341,M341+N341,Q341+R341))</f>
        <v>0</v>
      </c>
      <c r="Y341" s="27" t="n">
        <f aca="false">W341-X341</f>
        <v>0</v>
      </c>
      <c r="Z341" s="32" t="n">
        <f aca="false">1/(1+r_o)^B341</f>
        <v>0.289664379736688</v>
      </c>
      <c r="AA341" s="27" t="n">
        <f aca="false">Y341*Z341</f>
        <v>0</v>
      </c>
      <c r="AB341" s="27" t="n">
        <f aca="false">AB340+Y341</f>
        <v>10510</v>
      </c>
      <c r="AC341" s="27" t="n">
        <f aca="false">AC340+W341</f>
        <v>11320</v>
      </c>
      <c r="AD341" s="27" t="n">
        <f aca="false">AD340+X341</f>
        <v>810</v>
      </c>
      <c r="AE341" s="10" t="n">
        <f aca="false">IF(MIN(AB341:AB$361)&gt;=0,1,0)</f>
        <v>1</v>
      </c>
    </row>
    <row r="342" customFormat="false" ht="15" hidden="false" customHeight="false" outlineLevel="0" collapsed="false">
      <c r="A342" s="10" t="n">
        <v>2037</v>
      </c>
      <c r="B342" s="10" t="n">
        <f aca="false">A342-o_base</f>
        <v>14</v>
      </c>
      <c r="C342" s="27" t="n">
        <f aca="false">SUMIFS($F$293:$F$319,$A$293:$A$319,"RBI-1",$C$293:$C$319,$A342)</f>
        <v>0</v>
      </c>
      <c r="D342" s="27" t="n">
        <f aca="false">SUMIFS($H$293:$H$319,$A$293:$A$319,"RBI-1",$C$293:$C$319,$A342)</f>
        <v>0</v>
      </c>
      <c r="E342" s="27" t="n">
        <f aca="false">SUMIFS($I$293:$I$319,$A$293:$A$319,"RBI-1",$C$293:$C$319,$A342)</f>
        <v>0</v>
      </c>
      <c r="F342" s="27" t="n">
        <f aca="false">SUMIFS($K$293:$K$319,$A$293:$A$319,"RBI-1",$C$293:$C$319,$A342)</f>
        <v>0</v>
      </c>
      <c r="G342" s="27" t="n">
        <f aca="false">SUMIFS($F$293:$F$319,$A$293:$A$319,"RBI-2",$C$293:$C$319,$A342)</f>
        <v>0</v>
      </c>
      <c r="H342" s="27" t="n">
        <f aca="false">SUMIFS($H$293:$H$319,$A$293:$A$319,"RBI-2",$C$293:$C$319,$A342)</f>
        <v>0</v>
      </c>
      <c r="I342" s="27" t="n">
        <f aca="false">SUMIFS($I$293:$I$319,$A$293:$A$319,"RBI-2",$C$293:$C$319,$A342)</f>
        <v>0</v>
      </c>
      <c r="J342" s="27" t="n">
        <f aca="false">SUMIFS($K$293:$K$319,$A$293:$A$319,"RBI-2",$C$293:$C$319,$A342)</f>
        <v>0</v>
      </c>
      <c r="K342" s="27" t="n">
        <f aca="false">SUMIFS($F$293:$F$319,$A$293:$A$319,"RBI-3",$C$293:$C$319,$A342)</f>
        <v>0</v>
      </c>
      <c r="L342" s="27" t="n">
        <f aca="false">SUMIFS($H$293:$H$319,$A$293:$A$319,"RBI-3",$C$293:$C$319,$A342)</f>
        <v>0</v>
      </c>
      <c r="M342" s="27" t="n">
        <f aca="false">SUMIFS($I$293:$I$319,$A$293:$A$319,"RBI-3",$C$293:$C$319,$A342)</f>
        <v>0</v>
      </c>
      <c r="N342" s="27" t="n">
        <f aca="false">SUMIFS($K$293:$K$319,$A$293:$A$319,"RBI-3",$C$293:$C$319,$A342)</f>
        <v>0</v>
      </c>
      <c r="O342" s="27" t="n">
        <f aca="false">SUMIFS($F$293:$F$319,$A$293:$A$319,"RBI-4",$C$293:$C$319,$A342)</f>
        <v>0</v>
      </c>
      <c r="P342" s="27" t="n">
        <f aca="false">SUMIFS($H$293:$H$319,$A$293:$A$319,"RBI-4",$C$293:$C$319,$A342)</f>
        <v>0</v>
      </c>
      <c r="Q342" s="27" t="n">
        <f aca="false">SUMIFS($I$293:$I$319,$A$293:$A$319,"RBI-4",$C$293:$C$319,$A342)</f>
        <v>0</v>
      </c>
      <c r="R342" s="27" t="n">
        <f aca="false">SUMIFS($K$293:$K$319,$A$293:$A$319,"RBI-4",$C$293:$C$319,$A342)</f>
        <v>0</v>
      </c>
      <c r="S342" s="27" t="n">
        <f aca="false">SUMIFS($F$293:$F$319,$A$293:$A$319,"TBI",$C$293:$C$319,$A342)</f>
        <v>0</v>
      </c>
      <c r="T342" s="27" t="n">
        <f aca="false">SUMIFS($H$293:$H$319,$A$293:$A$319,"TBI",$C$293:$C$319,$A342)</f>
        <v>0</v>
      </c>
      <c r="U342" s="27" t="n">
        <f aca="false">SUMIFS($I$293:$I$319,$A$293:$A$319,"TBI",$C$293:$C$319,$A342)</f>
        <v>0</v>
      </c>
      <c r="V342" s="27" t="n">
        <f aca="false">SUMIFS($K$293:$K$319,$A$293:$A$319,"TBI",$C$293:$C$319,$A342)</f>
        <v>0</v>
      </c>
      <c r="W342" s="27" t="n">
        <f aca="false">IF(sel_modo="Intrusiva",S342+T342,U342+V342)</f>
        <v>0</v>
      </c>
      <c r="X342" s="27" t="n">
        <f aca="false">IF(sel_modo="Intrusiva",CHOOSE(sel_est,C342+D342,G342+H342,K342+L342,O342+P342),CHOOSE(sel_est,E342+F342,I342+J342,M342+N342,Q342+R342))</f>
        <v>0</v>
      </c>
      <c r="Y342" s="27" t="n">
        <f aca="false">W342-X342</f>
        <v>0</v>
      </c>
      <c r="Z342" s="32" t="n">
        <f aca="false">1/(1+r_o)^B342</f>
        <v>0.26333125430608</v>
      </c>
      <c r="AA342" s="27" t="n">
        <f aca="false">Y342*Z342</f>
        <v>0</v>
      </c>
      <c r="AB342" s="27" t="n">
        <f aca="false">AB341+Y342</f>
        <v>10510</v>
      </c>
      <c r="AC342" s="27" t="n">
        <f aca="false">AC341+W342</f>
        <v>11320</v>
      </c>
      <c r="AD342" s="27" t="n">
        <f aca="false">AD341+X342</f>
        <v>810</v>
      </c>
      <c r="AE342" s="10" t="n">
        <f aca="false">IF(MIN(AB342:AB$361)&gt;=0,1,0)</f>
        <v>1</v>
      </c>
    </row>
    <row r="343" customFormat="false" ht="15" hidden="false" customHeight="false" outlineLevel="0" collapsed="false">
      <c r="A343" s="10" t="n">
        <v>2038</v>
      </c>
      <c r="B343" s="10" t="n">
        <f aca="false">A343-o_base</f>
        <v>15</v>
      </c>
      <c r="C343" s="27" t="n">
        <f aca="false">SUMIFS($F$293:$F$319,$A$293:$A$319,"RBI-1",$C$293:$C$319,$A343)</f>
        <v>0</v>
      </c>
      <c r="D343" s="27" t="n">
        <f aca="false">SUMIFS($H$293:$H$319,$A$293:$A$319,"RBI-1",$C$293:$C$319,$A343)</f>
        <v>0</v>
      </c>
      <c r="E343" s="27" t="n">
        <f aca="false">SUMIFS($I$293:$I$319,$A$293:$A$319,"RBI-1",$C$293:$C$319,$A343)</f>
        <v>0</v>
      </c>
      <c r="F343" s="27" t="n">
        <f aca="false">SUMIFS($K$293:$K$319,$A$293:$A$319,"RBI-1",$C$293:$C$319,$A343)</f>
        <v>0</v>
      </c>
      <c r="G343" s="27" t="n">
        <f aca="false">SUMIFS($F$293:$F$319,$A$293:$A$319,"RBI-2",$C$293:$C$319,$A343)</f>
        <v>0</v>
      </c>
      <c r="H343" s="27" t="n">
        <f aca="false">SUMIFS($H$293:$H$319,$A$293:$A$319,"RBI-2",$C$293:$C$319,$A343)</f>
        <v>0</v>
      </c>
      <c r="I343" s="27" t="n">
        <f aca="false">SUMIFS($I$293:$I$319,$A$293:$A$319,"RBI-2",$C$293:$C$319,$A343)</f>
        <v>0</v>
      </c>
      <c r="J343" s="27" t="n">
        <f aca="false">SUMIFS($K$293:$K$319,$A$293:$A$319,"RBI-2",$C$293:$C$319,$A343)</f>
        <v>0</v>
      </c>
      <c r="K343" s="27" t="n">
        <f aca="false">SUMIFS($F$293:$F$319,$A$293:$A$319,"RBI-3",$C$293:$C$319,$A343)</f>
        <v>0</v>
      </c>
      <c r="L343" s="27" t="n">
        <f aca="false">SUMIFS($H$293:$H$319,$A$293:$A$319,"RBI-3",$C$293:$C$319,$A343)</f>
        <v>0</v>
      </c>
      <c r="M343" s="27" t="n">
        <f aca="false">SUMIFS($I$293:$I$319,$A$293:$A$319,"RBI-3",$C$293:$C$319,$A343)</f>
        <v>0</v>
      </c>
      <c r="N343" s="27" t="n">
        <f aca="false">SUMIFS($K$293:$K$319,$A$293:$A$319,"RBI-3",$C$293:$C$319,$A343)</f>
        <v>0</v>
      </c>
      <c r="O343" s="27" t="n">
        <f aca="false">SUMIFS($F$293:$F$319,$A$293:$A$319,"RBI-4",$C$293:$C$319,$A343)</f>
        <v>0</v>
      </c>
      <c r="P343" s="27" t="n">
        <f aca="false">SUMIFS($H$293:$H$319,$A$293:$A$319,"RBI-4",$C$293:$C$319,$A343)</f>
        <v>0</v>
      </c>
      <c r="Q343" s="27" t="n">
        <f aca="false">SUMIFS($I$293:$I$319,$A$293:$A$319,"RBI-4",$C$293:$C$319,$A343)</f>
        <v>0</v>
      </c>
      <c r="R343" s="27" t="n">
        <f aca="false">SUMIFS($K$293:$K$319,$A$293:$A$319,"RBI-4",$C$293:$C$319,$A343)</f>
        <v>0</v>
      </c>
      <c r="S343" s="27" t="n">
        <f aca="false">SUMIFS($F$293:$F$319,$A$293:$A$319,"TBI",$C$293:$C$319,$A343)</f>
        <v>360</v>
      </c>
      <c r="T343" s="27" t="n">
        <f aca="false">SUMIFS($H$293:$H$319,$A$293:$A$319,"TBI",$C$293:$C$319,$A343)</f>
        <v>10000</v>
      </c>
      <c r="U343" s="27" t="n">
        <f aca="false">SUMIFS($I$293:$I$319,$A$293:$A$319,"TBI",$C$293:$C$319,$A343)</f>
        <v>480</v>
      </c>
      <c r="V343" s="27" t="n">
        <f aca="false">SUMIFS($K$293:$K$319,$A$293:$A$319,"TBI",$C$293:$C$319,$A343)</f>
        <v>0</v>
      </c>
      <c r="W343" s="27" t="n">
        <f aca="false">IF(sel_modo="Intrusiva",S343+T343,U343+V343)</f>
        <v>10360</v>
      </c>
      <c r="X343" s="27" t="n">
        <f aca="false">IF(sel_modo="Intrusiva",CHOOSE(sel_est,C343+D343,G343+H343,K343+L343,O343+P343),CHOOSE(sel_est,E343+F343,I343+J343,M343+N343,Q343+R343))</f>
        <v>0</v>
      </c>
      <c r="Y343" s="27" t="n">
        <f aca="false">W343-X343</f>
        <v>10360</v>
      </c>
      <c r="Z343" s="32" t="n">
        <f aca="false">1/(1+r_o)^B343</f>
        <v>0.239392049369163</v>
      </c>
      <c r="AA343" s="27" t="n">
        <f aca="false">Y343*Z343</f>
        <v>2480.10163146453</v>
      </c>
      <c r="AB343" s="27" t="n">
        <f aca="false">AB342+Y343</f>
        <v>20870</v>
      </c>
      <c r="AC343" s="27" t="n">
        <f aca="false">AC342+W343</f>
        <v>21680</v>
      </c>
      <c r="AD343" s="27" t="n">
        <f aca="false">AD342+X343</f>
        <v>810</v>
      </c>
      <c r="AE343" s="10" t="n">
        <f aca="false">IF(MIN(AB343:AB$361)&gt;=0,1,0)</f>
        <v>1</v>
      </c>
    </row>
    <row r="344" customFormat="false" ht="15" hidden="false" customHeight="false" outlineLevel="0" collapsed="false">
      <c r="A344" s="10" t="n">
        <v>2039</v>
      </c>
      <c r="B344" s="10" t="n">
        <f aca="false">A344-o_base</f>
        <v>16</v>
      </c>
      <c r="C344" s="27" t="n">
        <f aca="false">SUMIFS($F$293:$F$319,$A$293:$A$319,"RBI-1",$C$293:$C$319,$A344)</f>
        <v>0</v>
      </c>
      <c r="D344" s="27" t="n">
        <f aca="false">SUMIFS($H$293:$H$319,$A$293:$A$319,"RBI-1",$C$293:$C$319,$A344)</f>
        <v>0</v>
      </c>
      <c r="E344" s="27" t="n">
        <f aca="false">SUMIFS($I$293:$I$319,$A$293:$A$319,"RBI-1",$C$293:$C$319,$A344)</f>
        <v>0</v>
      </c>
      <c r="F344" s="27" t="n">
        <f aca="false">SUMIFS($K$293:$K$319,$A$293:$A$319,"RBI-1",$C$293:$C$319,$A344)</f>
        <v>0</v>
      </c>
      <c r="G344" s="27" t="n">
        <f aca="false">SUMIFS($F$293:$F$319,$A$293:$A$319,"RBI-2",$C$293:$C$319,$A344)</f>
        <v>0</v>
      </c>
      <c r="H344" s="27" t="n">
        <f aca="false">SUMIFS($H$293:$H$319,$A$293:$A$319,"RBI-2",$C$293:$C$319,$A344)</f>
        <v>0</v>
      </c>
      <c r="I344" s="27" t="n">
        <f aca="false">SUMIFS($I$293:$I$319,$A$293:$A$319,"RBI-2",$C$293:$C$319,$A344)</f>
        <v>0</v>
      </c>
      <c r="J344" s="27" t="n">
        <f aca="false">SUMIFS($K$293:$K$319,$A$293:$A$319,"RBI-2",$C$293:$C$319,$A344)</f>
        <v>0</v>
      </c>
      <c r="K344" s="27" t="n">
        <f aca="false">SUMIFS($F$293:$F$319,$A$293:$A$319,"RBI-3",$C$293:$C$319,$A344)</f>
        <v>0</v>
      </c>
      <c r="L344" s="27" t="n">
        <f aca="false">SUMIFS($H$293:$H$319,$A$293:$A$319,"RBI-3",$C$293:$C$319,$A344)</f>
        <v>0</v>
      </c>
      <c r="M344" s="27" t="n">
        <f aca="false">SUMIFS($I$293:$I$319,$A$293:$A$319,"RBI-3",$C$293:$C$319,$A344)</f>
        <v>0</v>
      </c>
      <c r="N344" s="27" t="n">
        <f aca="false">SUMIFS($K$293:$K$319,$A$293:$A$319,"RBI-3",$C$293:$C$319,$A344)</f>
        <v>0</v>
      </c>
      <c r="O344" s="27" t="n">
        <f aca="false">SUMIFS($F$293:$F$319,$A$293:$A$319,"RBI-4",$C$293:$C$319,$A344)</f>
        <v>0</v>
      </c>
      <c r="P344" s="27" t="n">
        <f aca="false">SUMIFS($H$293:$H$319,$A$293:$A$319,"RBI-4",$C$293:$C$319,$A344)</f>
        <v>0</v>
      </c>
      <c r="Q344" s="27" t="n">
        <f aca="false">SUMIFS($I$293:$I$319,$A$293:$A$319,"RBI-4",$C$293:$C$319,$A344)</f>
        <v>0</v>
      </c>
      <c r="R344" s="27" t="n">
        <f aca="false">SUMIFS($K$293:$K$319,$A$293:$A$319,"RBI-4",$C$293:$C$319,$A344)</f>
        <v>0</v>
      </c>
      <c r="S344" s="27" t="n">
        <f aca="false">SUMIFS($F$293:$F$319,$A$293:$A$319,"TBI",$C$293:$C$319,$A344)</f>
        <v>0</v>
      </c>
      <c r="T344" s="27" t="n">
        <f aca="false">SUMIFS($H$293:$H$319,$A$293:$A$319,"TBI",$C$293:$C$319,$A344)</f>
        <v>0</v>
      </c>
      <c r="U344" s="27" t="n">
        <f aca="false">SUMIFS($I$293:$I$319,$A$293:$A$319,"TBI",$C$293:$C$319,$A344)</f>
        <v>0</v>
      </c>
      <c r="V344" s="27" t="n">
        <f aca="false">SUMIFS($K$293:$K$319,$A$293:$A$319,"TBI",$C$293:$C$319,$A344)</f>
        <v>0</v>
      </c>
      <c r="W344" s="27" t="n">
        <f aca="false">IF(sel_modo="Intrusiva",S344+T344,U344+V344)</f>
        <v>0</v>
      </c>
      <c r="X344" s="27" t="n">
        <f aca="false">IF(sel_modo="Intrusiva",CHOOSE(sel_est,C344+D344,G344+H344,K344+L344,O344+P344),CHOOSE(sel_est,E344+F344,I344+J344,M344+N344,Q344+R344))</f>
        <v>0</v>
      </c>
      <c r="Y344" s="27" t="n">
        <f aca="false">W344-X344</f>
        <v>0</v>
      </c>
      <c r="Z344" s="32" t="n">
        <f aca="false">1/(1+r_o)^B344</f>
        <v>0.217629135790149</v>
      </c>
      <c r="AA344" s="27" t="n">
        <f aca="false">Y344*Z344</f>
        <v>0</v>
      </c>
      <c r="AB344" s="27" t="n">
        <f aca="false">AB343+Y344</f>
        <v>20870</v>
      </c>
      <c r="AC344" s="27" t="n">
        <f aca="false">AC343+W344</f>
        <v>21680</v>
      </c>
      <c r="AD344" s="27" t="n">
        <f aca="false">AD343+X344</f>
        <v>810</v>
      </c>
      <c r="AE344" s="10" t="n">
        <f aca="false">IF(MIN(AB344:AB$361)&gt;=0,1,0)</f>
        <v>1</v>
      </c>
    </row>
    <row r="345" customFormat="false" ht="15" hidden="false" customHeight="false" outlineLevel="0" collapsed="false">
      <c r="A345" s="10" t="n">
        <v>2040</v>
      </c>
      <c r="B345" s="10" t="n">
        <f aca="false">A345-o_base</f>
        <v>17</v>
      </c>
      <c r="C345" s="27" t="n">
        <f aca="false">SUMIFS($F$293:$F$319,$A$293:$A$319,"RBI-1",$C$293:$C$319,$A345)</f>
        <v>0</v>
      </c>
      <c r="D345" s="27" t="n">
        <f aca="false">SUMIFS($H$293:$H$319,$A$293:$A$319,"RBI-1",$C$293:$C$319,$A345)</f>
        <v>0</v>
      </c>
      <c r="E345" s="27" t="n">
        <f aca="false">SUMIFS($I$293:$I$319,$A$293:$A$319,"RBI-1",$C$293:$C$319,$A345)</f>
        <v>0</v>
      </c>
      <c r="F345" s="27" t="n">
        <f aca="false">SUMIFS($K$293:$K$319,$A$293:$A$319,"RBI-1",$C$293:$C$319,$A345)</f>
        <v>0</v>
      </c>
      <c r="G345" s="27" t="n">
        <f aca="false">SUMIFS($F$293:$F$319,$A$293:$A$319,"RBI-2",$C$293:$C$319,$A345)</f>
        <v>0</v>
      </c>
      <c r="H345" s="27" t="n">
        <f aca="false">SUMIFS($H$293:$H$319,$A$293:$A$319,"RBI-2",$C$293:$C$319,$A345)</f>
        <v>0</v>
      </c>
      <c r="I345" s="27" t="n">
        <f aca="false">SUMIFS($I$293:$I$319,$A$293:$A$319,"RBI-2",$C$293:$C$319,$A345)</f>
        <v>0</v>
      </c>
      <c r="J345" s="27" t="n">
        <f aca="false">SUMIFS($K$293:$K$319,$A$293:$A$319,"RBI-2",$C$293:$C$319,$A345)</f>
        <v>0</v>
      </c>
      <c r="K345" s="27" t="n">
        <f aca="false">SUMIFS($F$293:$F$319,$A$293:$A$319,"RBI-3",$C$293:$C$319,$A345)</f>
        <v>0</v>
      </c>
      <c r="L345" s="27" t="n">
        <f aca="false">SUMIFS($H$293:$H$319,$A$293:$A$319,"RBI-3",$C$293:$C$319,$A345)</f>
        <v>0</v>
      </c>
      <c r="M345" s="27" t="n">
        <f aca="false">SUMIFS($I$293:$I$319,$A$293:$A$319,"RBI-3",$C$293:$C$319,$A345)</f>
        <v>0</v>
      </c>
      <c r="N345" s="27" t="n">
        <f aca="false">SUMIFS($K$293:$K$319,$A$293:$A$319,"RBI-3",$C$293:$C$319,$A345)</f>
        <v>0</v>
      </c>
      <c r="O345" s="27" t="n">
        <f aca="false">SUMIFS($F$293:$F$319,$A$293:$A$319,"RBI-4",$C$293:$C$319,$A345)</f>
        <v>0</v>
      </c>
      <c r="P345" s="27" t="n">
        <f aca="false">SUMIFS($H$293:$H$319,$A$293:$A$319,"RBI-4",$C$293:$C$319,$A345)</f>
        <v>0</v>
      </c>
      <c r="Q345" s="27" t="n">
        <f aca="false">SUMIFS($I$293:$I$319,$A$293:$A$319,"RBI-4",$C$293:$C$319,$A345)</f>
        <v>0</v>
      </c>
      <c r="R345" s="27" t="n">
        <f aca="false">SUMIFS($K$293:$K$319,$A$293:$A$319,"RBI-4",$C$293:$C$319,$A345)</f>
        <v>0</v>
      </c>
      <c r="S345" s="27" t="n">
        <f aca="false">SUMIFS($F$293:$F$319,$A$293:$A$319,"TBI",$C$293:$C$319,$A345)</f>
        <v>0</v>
      </c>
      <c r="T345" s="27" t="n">
        <f aca="false">SUMIFS($H$293:$H$319,$A$293:$A$319,"TBI",$C$293:$C$319,$A345)</f>
        <v>0</v>
      </c>
      <c r="U345" s="27" t="n">
        <f aca="false">SUMIFS($I$293:$I$319,$A$293:$A$319,"TBI",$C$293:$C$319,$A345)</f>
        <v>0</v>
      </c>
      <c r="V345" s="27" t="n">
        <f aca="false">SUMIFS($K$293:$K$319,$A$293:$A$319,"TBI",$C$293:$C$319,$A345)</f>
        <v>0</v>
      </c>
      <c r="W345" s="27" t="n">
        <f aca="false">IF(sel_modo="Intrusiva",S345+T345,U345+V345)</f>
        <v>0</v>
      </c>
      <c r="X345" s="27" t="n">
        <f aca="false">IF(sel_modo="Intrusiva",CHOOSE(sel_est,C345+D345,G345+H345,K345+L345,O345+P345),CHOOSE(sel_est,E345+F345,I345+J345,M345+N345,Q345+R345))</f>
        <v>0</v>
      </c>
      <c r="Y345" s="27" t="n">
        <f aca="false">W345-X345</f>
        <v>0</v>
      </c>
      <c r="Z345" s="32" t="n">
        <f aca="false">1/(1+r_o)^B345</f>
        <v>0.197844668900135</v>
      </c>
      <c r="AA345" s="27" t="n">
        <f aca="false">Y345*Z345</f>
        <v>0</v>
      </c>
      <c r="AB345" s="27" t="n">
        <f aca="false">AB344+Y345</f>
        <v>20870</v>
      </c>
      <c r="AC345" s="27" t="n">
        <f aca="false">AC344+W345</f>
        <v>21680</v>
      </c>
      <c r="AD345" s="27" t="n">
        <f aca="false">AD344+X345</f>
        <v>810</v>
      </c>
      <c r="AE345" s="10" t="n">
        <f aca="false">IF(MIN(AB345:AB$361)&gt;=0,1,0)</f>
        <v>1</v>
      </c>
    </row>
    <row r="346" customFormat="false" ht="15" hidden="false" customHeight="false" outlineLevel="0" collapsed="false">
      <c r="A346" s="10" t="n">
        <v>2041</v>
      </c>
      <c r="B346" s="10" t="n">
        <f aca="false">A346-o_base</f>
        <v>18</v>
      </c>
      <c r="C346" s="27" t="n">
        <f aca="false">SUMIFS($F$293:$F$319,$A$293:$A$319,"RBI-1",$C$293:$C$319,$A346)</f>
        <v>0</v>
      </c>
      <c r="D346" s="27" t="n">
        <f aca="false">SUMIFS($H$293:$H$319,$A$293:$A$319,"RBI-1",$C$293:$C$319,$A346)</f>
        <v>0</v>
      </c>
      <c r="E346" s="27" t="n">
        <f aca="false">SUMIFS($I$293:$I$319,$A$293:$A$319,"RBI-1",$C$293:$C$319,$A346)</f>
        <v>0</v>
      </c>
      <c r="F346" s="27" t="n">
        <f aca="false">SUMIFS($K$293:$K$319,$A$293:$A$319,"RBI-1",$C$293:$C$319,$A346)</f>
        <v>0</v>
      </c>
      <c r="G346" s="27" t="n">
        <f aca="false">SUMIFS($F$293:$F$319,$A$293:$A$319,"RBI-2",$C$293:$C$319,$A346)</f>
        <v>0</v>
      </c>
      <c r="H346" s="27" t="n">
        <f aca="false">SUMIFS($H$293:$H$319,$A$293:$A$319,"RBI-2",$C$293:$C$319,$A346)</f>
        <v>0</v>
      </c>
      <c r="I346" s="27" t="n">
        <f aca="false">SUMIFS($I$293:$I$319,$A$293:$A$319,"RBI-2",$C$293:$C$319,$A346)</f>
        <v>0</v>
      </c>
      <c r="J346" s="27" t="n">
        <f aca="false">SUMIFS($K$293:$K$319,$A$293:$A$319,"RBI-2",$C$293:$C$319,$A346)</f>
        <v>0</v>
      </c>
      <c r="K346" s="27" t="n">
        <f aca="false">SUMIFS($F$293:$F$319,$A$293:$A$319,"RBI-3",$C$293:$C$319,$A346)</f>
        <v>0</v>
      </c>
      <c r="L346" s="27" t="n">
        <f aca="false">SUMIFS($H$293:$H$319,$A$293:$A$319,"RBI-3",$C$293:$C$319,$A346)</f>
        <v>0</v>
      </c>
      <c r="M346" s="27" t="n">
        <f aca="false">SUMIFS($I$293:$I$319,$A$293:$A$319,"RBI-3",$C$293:$C$319,$A346)</f>
        <v>0</v>
      </c>
      <c r="N346" s="27" t="n">
        <f aca="false">SUMIFS($K$293:$K$319,$A$293:$A$319,"RBI-3",$C$293:$C$319,$A346)</f>
        <v>0</v>
      </c>
      <c r="O346" s="27" t="n">
        <f aca="false">SUMIFS($F$293:$F$319,$A$293:$A$319,"RBI-4",$C$293:$C$319,$A346)</f>
        <v>0</v>
      </c>
      <c r="P346" s="27" t="n">
        <f aca="false">SUMIFS($H$293:$H$319,$A$293:$A$319,"RBI-4",$C$293:$C$319,$A346)</f>
        <v>0</v>
      </c>
      <c r="Q346" s="27" t="n">
        <f aca="false">SUMIFS($I$293:$I$319,$A$293:$A$319,"RBI-4",$C$293:$C$319,$A346)</f>
        <v>0</v>
      </c>
      <c r="R346" s="27" t="n">
        <f aca="false">SUMIFS($K$293:$K$319,$A$293:$A$319,"RBI-4",$C$293:$C$319,$A346)</f>
        <v>0</v>
      </c>
      <c r="S346" s="27" t="n">
        <f aca="false">SUMIFS($F$293:$F$319,$A$293:$A$319,"TBI",$C$293:$C$319,$A346)</f>
        <v>240</v>
      </c>
      <c r="T346" s="27" t="n">
        <f aca="false">SUMIFS($H$293:$H$319,$A$293:$A$319,"TBI",$C$293:$C$319,$A346)</f>
        <v>0</v>
      </c>
      <c r="U346" s="27" t="n">
        <f aca="false">SUMIFS($I$293:$I$319,$A$293:$A$319,"TBI",$C$293:$C$319,$A346)</f>
        <v>240</v>
      </c>
      <c r="V346" s="27" t="n">
        <f aca="false">SUMIFS($K$293:$K$319,$A$293:$A$319,"TBI",$C$293:$C$319,$A346)</f>
        <v>0</v>
      </c>
      <c r="W346" s="27" t="n">
        <f aca="false">IF(sel_modo="Intrusiva",S346+T346,U346+V346)</f>
        <v>240</v>
      </c>
      <c r="X346" s="27" t="n">
        <f aca="false">IF(sel_modo="Intrusiva",CHOOSE(sel_est,C346+D346,G346+H346,K346+L346,O346+P346),CHOOSE(sel_est,E346+F346,I346+J346,M346+N346,Q346+R346))</f>
        <v>0</v>
      </c>
      <c r="Y346" s="27" t="n">
        <f aca="false">W346-X346</f>
        <v>240</v>
      </c>
      <c r="Z346" s="32" t="n">
        <f aca="false">1/(1+r_o)^B346</f>
        <v>0.179858789909214</v>
      </c>
      <c r="AA346" s="27" t="n">
        <f aca="false">Y346*Z346</f>
        <v>43.1661095782113</v>
      </c>
      <c r="AB346" s="27" t="n">
        <f aca="false">AB345+Y346</f>
        <v>21110</v>
      </c>
      <c r="AC346" s="27" t="n">
        <f aca="false">AC345+W346</f>
        <v>21920</v>
      </c>
      <c r="AD346" s="27" t="n">
        <f aca="false">AD345+X346</f>
        <v>810</v>
      </c>
      <c r="AE346" s="10" t="n">
        <f aca="false">IF(MIN(AB346:AB$361)&gt;=0,1,0)</f>
        <v>1</v>
      </c>
    </row>
    <row r="347" customFormat="false" ht="15" hidden="false" customHeight="false" outlineLevel="0" collapsed="false">
      <c r="A347" s="10" t="n">
        <v>2042</v>
      </c>
      <c r="B347" s="10" t="n">
        <f aca="false">A347-o_base</f>
        <v>19</v>
      </c>
      <c r="C347" s="27" t="n">
        <f aca="false">SUMIFS($F$293:$F$319,$A$293:$A$319,"RBI-1",$C$293:$C$319,$A347)</f>
        <v>0</v>
      </c>
      <c r="D347" s="27" t="n">
        <f aca="false">SUMIFS($H$293:$H$319,$A$293:$A$319,"RBI-1",$C$293:$C$319,$A347)</f>
        <v>0</v>
      </c>
      <c r="E347" s="27" t="n">
        <f aca="false">SUMIFS($I$293:$I$319,$A$293:$A$319,"RBI-1",$C$293:$C$319,$A347)</f>
        <v>0</v>
      </c>
      <c r="F347" s="27" t="n">
        <f aca="false">SUMIFS($K$293:$K$319,$A$293:$A$319,"RBI-1",$C$293:$C$319,$A347)</f>
        <v>0</v>
      </c>
      <c r="G347" s="27" t="n">
        <f aca="false">SUMIFS($F$293:$F$319,$A$293:$A$319,"RBI-2",$C$293:$C$319,$A347)</f>
        <v>0</v>
      </c>
      <c r="H347" s="27" t="n">
        <f aca="false">SUMIFS($H$293:$H$319,$A$293:$A$319,"RBI-2",$C$293:$C$319,$A347)</f>
        <v>0</v>
      </c>
      <c r="I347" s="27" t="n">
        <f aca="false">SUMIFS($I$293:$I$319,$A$293:$A$319,"RBI-2",$C$293:$C$319,$A347)</f>
        <v>0</v>
      </c>
      <c r="J347" s="27" t="n">
        <f aca="false">SUMIFS($K$293:$K$319,$A$293:$A$319,"RBI-2",$C$293:$C$319,$A347)</f>
        <v>0</v>
      </c>
      <c r="K347" s="27" t="n">
        <f aca="false">SUMIFS($F$293:$F$319,$A$293:$A$319,"RBI-3",$C$293:$C$319,$A347)</f>
        <v>0</v>
      </c>
      <c r="L347" s="27" t="n">
        <f aca="false">SUMIFS($H$293:$H$319,$A$293:$A$319,"RBI-3",$C$293:$C$319,$A347)</f>
        <v>0</v>
      </c>
      <c r="M347" s="27" t="n">
        <f aca="false">SUMIFS($I$293:$I$319,$A$293:$A$319,"RBI-3",$C$293:$C$319,$A347)</f>
        <v>0</v>
      </c>
      <c r="N347" s="27" t="n">
        <f aca="false">SUMIFS($K$293:$K$319,$A$293:$A$319,"RBI-3",$C$293:$C$319,$A347)</f>
        <v>0</v>
      </c>
      <c r="O347" s="27" t="n">
        <f aca="false">SUMIFS($F$293:$F$319,$A$293:$A$319,"RBI-4",$C$293:$C$319,$A347)</f>
        <v>0</v>
      </c>
      <c r="P347" s="27" t="n">
        <f aca="false">SUMIFS($H$293:$H$319,$A$293:$A$319,"RBI-4",$C$293:$C$319,$A347)</f>
        <v>0</v>
      </c>
      <c r="Q347" s="27" t="n">
        <f aca="false">SUMIFS($I$293:$I$319,$A$293:$A$319,"RBI-4",$C$293:$C$319,$A347)</f>
        <v>0</v>
      </c>
      <c r="R347" s="27" t="n">
        <f aca="false">SUMIFS($K$293:$K$319,$A$293:$A$319,"RBI-4",$C$293:$C$319,$A347)</f>
        <v>0</v>
      </c>
      <c r="S347" s="27" t="n">
        <f aca="false">SUMIFS($F$293:$F$319,$A$293:$A$319,"TBI",$C$293:$C$319,$A347)</f>
        <v>0</v>
      </c>
      <c r="T347" s="27" t="n">
        <f aca="false">SUMIFS($H$293:$H$319,$A$293:$A$319,"TBI",$C$293:$C$319,$A347)</f>
        <v>0</v>
      </c>
      <c r="U347" s="27" t="n">
        <f aca="false">SUMIFS($I$293:$I$319,$A$293:$A$319,"TBI",$C$293:$C$319,$A347)</f>
        <v>0</v>
      </c>
      <c r="V347" s="27" t="n">
        <f aca="false">SUMIFS($K$293:$K$319,$A$293:$A$319,"TBI",$C$293:$C$319,$A347)</f>
        <v>0</v>
      </c>
      <c r="W347" s="27" t="n">
        <f aca="false">IF(sel_modo="Intrusiva",S347+T347,U347+V347)</f>
        <v>0</v>
      </c>
      <c r="X347" s="27" t="n">
        <f aca="false">IF(sel_modo="Intrusiva",CHOOSE(sel_est,C347+D347,G347+H347,K347+L347,O347+P347),CHOOSE(sel_est,E347+F347,I347+J347,M347+N347,Q347+R347))</f>
        <v>0</v>
      </c>
      <c r="Y347" s="27" t="n">
        <f aca="false">W347-X347</f>
        <v>0</v>
      </c>
      <c r="Z347" s="32" t="n">
        <f aca="false">1/(1+r_o)^B347</f>
        <v>0.163507990826558</v>
      </c>
      <c r="AA347" s="27" t="n">
        <f aca="false">Y347*Z347</f>
        <v>0</v>
      </c>
      <c r="AB347" s="27" t="n">
        <f aca="false">AB346+Y347</f>
        <v>21110</v>
      </c>
      <c r="AC347" s="27" t="n">
        <f aca="false">AC346+W347</f>
        <v>21920</v>
      </c>
      <c r="AD347" s="27" t="n">
        <f aca="false">AD346+X347</f>
        <v>810</v>
      </c>
      <c r="AE347" s="10" t="n">
        <f aca="false">IF(MIN(AB347:AB$361)&gt;=0,1,0)</f>
        <v>1</v>
      </c>
    </row>
    <row r="348" customFormat="false" ht="15" hidden="false" customHeight="false" outlineLevel="0" collapsed="false">
      <c r="A348" s="10" t="n">
        <v>2043</v>
      </c>
      <c r="B348" s="10" t="n">
        <f aca="false">A348-o_base</f>
        <v>20</v>
      </c>
      <c r="C348" s="27" t="n">
        <f aca="false">SUMIFS($F$293:$F$319,$A$293:$A$319,"RBI-1",$C$293:$C$319,$A348)</f>
        <v>0</v>
      </c>
      <c r="D348" s="27" t="n">
        <f aca="false">SUMIFS($H$293:$H$319,$A$293:$A$319,"RBI-1",$C$293:$C$319,$A348)</f>
        <v>0</v>
      </c>
      <c r="E348" s="27" t="n">
        <f aca="false">SUMIFS($I$293:$I$319,$A$293:$A$319,"RBI-1",$C$293:$C$319,$A348)</f>
        <v>0</v>
      </c>
      <c r="F348" s="27" t="n">
        <f aca="false">SUMIFS($K$293:$K$319,$A$293:$A$319,"RBI-1",$C$293:$C$319,$A348)</f>
        <v>0</v>
      </c>
      <c r="G348" s="27" t="n">
        <f aca="false">SUMIFS($F$293:$F$319,$A$293:$A$319,"RBI-2",$C$293:$C$319,$A348)</f>
        <v>0</v>
      </c>
      <c r="H348" s="27" t="n">
        <f aca="false">SUMIFS($H$293:$H$319,$A$293:$A$319,"RBI-2",$C$293:$C$319,$A348)</f>
        <v>0</v>
      </c>
      <c r="I348" s="27" t="n">
        <f aca="false">SUMIFS($I$293:$I$319,$A$293:$A$319,"RBI-2",$C$293:$C$319,$A348)</f>
        <v>0</v>
      </c>
      <c r="J348" s="27" t="n">
        <f aca="false">SUMIFS($K$293:$K$319,$A$293:$A$319,"RBI-2",$C$293:$C$319,$A348)</f>
        <v>0</v>
      </c>
      <c r="K348" s="27" t="n">
        <f aca="false">SUMIFS($F$293:$F$319,$A$293:$A$319,"RBI-3",$C$293:$C$319,$A348)</f>
        <v>0</v>
      </c>
      <c r="L348" s="27" t="n">
        <f aca="false">SUMIFS($H$293:$H$319,$A$293:$A$319,"RBI-3",$C$293:$C$319,$A348)</f>
        <v>0</v>
      </c>
      <c r="M348" s="27" t="n">
        <f aca="false">SUMIFS($I$293:$I$319,$A$293:$A$319,"RBI-3",$C$293:$C$319,$A348)</f>
        <v>0</v>
      </c>
      <c r="N348" s="27" t="n">
        <f aca="false">SUMIFS($K$293:$K$319,$A$293:$A$319,"RBI-3",$C$293:$C$319,$A348)</f>
        <v>0</v>
      </c>
      <c r="O348" s="27" t="n">
        <f aca="false">SUMIFS($F$293:$F$319,$A$293:$A$319,"RBI-4",$C$293:$C$319,$A348)</f>
        <v>0</v>
      </c>
      <c r="P348" s="27" t="n">
        <f aca="false">SUMIFS($H$293:$H$319,$A$293:$A$319,"RBI-4",$C$293:$C$319,$A348)</f>
        <v>0</v>
      </c>
      <c r="Q348" s="27" t="n">
        <f aca="false">SUMIFS($I$293:$I$319,$A$293:$A$319,"RBI-4",$C$293:$C$319,$A348)</f>
        <v>0</v>
      </c>
      <c r="R348" s="27" t="n">
        <f aca="false">SUMIFS($K$293:$K$319,$A$293:$A$319,"RBI-4",$C$293:$C$319,$A348)</f>
        <v>0</v>
      </c>
      <c r="S348" s="27" t="n">
        <f aca="false">SUMIFS($F$293:$F$319,$A$293:$A$319,"TBI",$C$293:$C$319,$A348)</f>
        <v>0</v>
      </c>
      <c r="T348" s="27" t="n">
        <f aca="false">SUMIFS($H$293:$H$319,$A$293:$A$319,"TBI",$C$293:$C$319,$A348)</f>
        <v>0</v>
      </c>
      <c r="U348" s="27" t="n">
        <f aca="false">SUMIFS($I$293:$I$319,$A$293:$A$319,"TBI",$C$293:$C$319,$A348)</f>
        <v>0</v>
      </c>
      <c r="V348" s="27" t="n">
        <f aca="false">SUMIFS($K$293:$K$319,$A$293:$A$319,"TBI",$C$293:$C$319,$A348)</f>
        <v>0</v>
      </c>
      <c r="W348" s="27" t="n">
        <f aca="false">IF(sel_modo="Intrusiva",S348+T348,U348+V348)</f>
        <v>0</v>
      </c>
      <c r="X348" s="27" t="n">
        <f aca="false">IF(sel_modo="Intrusiva",CHOOSE(sel_est,C348+D348,G348+H348,K348+L348,O348+P348),CHOOSE(sel_est,E348+F348,I348+J348,M348+N348,Q348+R348))</f>
        <v>0</v>
      </c>
      <c r="Y348" s="27" t="n">
        <f aca="false">W348-X348</f>
        <v>0</v>
      </c>
      <c r="Z348" s="32" t="n">
        <f aca="false">1/(1+r_o)^B348</f>
        <v>0.148643628024143</v>
      </c>
      <c r="AA348" s="27" t="n">
        <f aca="false">Y348*Z348</f>
        <v>0</v>
      </c>
      <c r="AB348" s="27" t="n">
        <f aca="false">AB347+Y348</f>
        <v>21110</v>
      </c>
      <c r="AC348" s="27" t="n">
        <f aca="false">AC347+W348</f>
        <v>21920</v>
      </c>
      <c r="AD348" s="27" t="n">
        <f aca="false">AD347+X348</f>
        <v>810</v>
      </c>
      <c r="AE348" s="10" t="n">
        <f aca="false">IF(MIN(AB348:AB$361)&gt;=0,1,0)</f>
        <v>1</v>
      </c>
    </row>
    <row r="349" customFormat="false" ht="15" hidden="false" customHeight="false" outlineLevel="0" collapsed="false">
      <c r="A349" s="10" t="n">
        <v>2044</v>
      </c>
      <c r="B349" s="10" t="n">
        <f aca="false">A349-o_base</f>
        <v>21</v>
      </c>
      <c r="C349" s="27" t="n">
        <f aca="false">SUMIFS($F$293:$F$319,$A$293:$A$319,"RBI-1",$C$293:$C$319,$A349)</f>
        <v>0</v>
      </c>
      <c r="D349" s="27" t="n">
        <f aca="false">SUMIFS($H$293:$H$319,$A$293:$A$319,"RBI-1",$C$293:$C$319,$A349)</f>
        <v>0</v>
      </c>
      <c r="E349" s="27" t="n">
        <f aca="false">SUMIFS($I$293:$I$319,$A$293:$A$319,"RBI-1",$C$293:$C$319,$A349)</f>
        <v>0</v>
      </c>
      <c r="F349" s="27" t="n">
        <f aca="false">SUMIFS($K$293:$K$319,$A$293:$A$319,"RBI-1",$C$293:$C$319,$A349)</f>
        <v>0</v>
      </c>
      <c r="G349" s="27" t="n">
        <f aca="false">SUMIFS($F$293:$F$319,$A$293:$A$319,"RBI-2",$C$293:$C$319,$A349)</f>
        <v>0</v>
      </c>
      <c r="H349" s="27" t="n">
        <f aca="false">SUMIFS($H$293:$H$319,$A$293:$A$319,"RBI-2",$C$293:$C$319,$A349)</f>
        <v>0</v>
      </c>
      <c r="I349" s="27" t="n">
        <f aca="false">SUMIFS($I$293:$I$319,$A$293:$A$319,"RBI-2",$C$293:$C$319,$A349)</f>
        <v>0</v>
      </c>
      <c r="J349" s="27" t="n">
        <f aca="false">SUMIFS($K$293:$K$319,$A$293:$A$319,"RBI-2",$C$293:$C$319,$A349)</f>
        <v>0</v>
      </c>
      <c r="K349" s="27" t="n">
        <f aca="false">SUMIFS($F$293:$F$319,$A$293:$A$319,"RBI-3",$C$293:$C$319,$A349)</f>
        <v>0</v>
      </c>
      <c r="L349" s="27" t="n">
        <f aca="false">SUMIFS($H$293:$H$319,$A$293:$A$319,"RBI-3",$C$293:$C$319,$A349)</f>
        <v>0</v>
      </c>
      <c r="M349" s="27" t="n">
        <f aca="false">SUMIFS($I$293:$I$319,$A$293:$A$319,"RBI-3",$C$293:$C$319,$A349)</f>
        <v>0</v>
      </c>
      <c r="N349" s="27" t="n">
        <f aca="false">SUMIFS($K$293:$K$319,$A$293:$A$319,"RBI-3",$C$293:$C$319,$A349)</f>
        <v>0</v>
      </c>
      <c r="O349" s="27" t="n">
        <f aca="false">SUMIFS($F$293:$F$319,$A$293:$A$319,"RBI-4",$C$293:$C$319,$A349)</f>
        <v>480</v>
      </c>
      <c r="P349" s="27" t="n">
        <f aca="false">SUMIFS($H$293:$H$319,$A$293:$A$319,"RBI-4",$C$293:$C$319,$A349)</f>
        <v>0</v>
      </c>
      <c r="Q349" s="27" t="n">
        <f aca="false">SUMIFS($I$293:$I$319,$A$293:$A$319,"RBI-4",$C$293:$C$319,$A349)</f>
        <v>480</v>
      </c>
      <c r="R349" s="27" t="n">
        <f aca="false">SUMIFS($K$293:$K$319,$A$293:$A$319,"RBI-4",$C$293:$C$319,$A349)</f>
        <v>0</v>
      </c>
      <c r="S349" s="27" t="n">
        <f aca="false">SUMIFS($F$293:$F$319,$A$293:$A$319,"TBI",$C$293:$C$319,$A349)</f>
        <v>240</v>
      </c>
      <c r="T349" s="27" t="n">
        <f aca="false">SUMIFS($H$293:$H$319,$A$293:$A$319,"TBI",$C$293:$C$319,$A349)</f>
        <v>0</v>
      </c>
      <c r="U349" s="27" t="n">
        <f aca="false">SUMIFS($I$293:$I$319,$A$293:$A$319,"TBI",$C$293:$C$319,$A349)</f>
        <v>240</v>
      </c>
      <c r="V349" s="27" t="n">
        <f aca="false">SUMIFS($K$293:$K$319,$A$293:$A$319,"TBI",$C$293:$C$319,$A349)</f>
        <v>0</v>
      </c>
      <c r="W349" s="27" t="n">
        <f aca="false">IF(sel_modo="Intrusiva",S349+T349,U349+V349)</f>
        <v>240</v>
      </c>
      <c r="X349" s="27" t="n">
        <f aca="false">IF(sel_modo="Intrusiva",CHOOSE(sel_est,C349+D349,G349+H349,K349+L349,O349+P349),CHOOSE(sel_est,E349+F349,I349+J349,M349+N349,Q349+R349))</f>
        <v>0</v>
      </c>
      <c r="Y349" s="27" t="n">
        <f aca="false">W349-X349</f>
        <v>240</v>
      </c>
      <c r="Z349" s="32" t="n">
        <f aca="false">1/(1+r_o)^B349</f>
        <v>0.135130570931039</v>
      </c>
      <c r="AA349" s="27" t="n">
        <f aca="false">Y349*Z349</f>
        <v>32.4313370234495</v>
      </c>
      <c r="AB349" s="27" t="n">
        <f aca="false">AB348+Y349</f>
        <v>21350</v>
      </c>
      <c r="AC349" s="27" t="n">
        <f aca="false">AC348+W349</f>
        <v>22160</v>
      </c>
      <c r="AD349" s="27" t="n">
        <f aca="false">AD348+X349</f>
        <v>810</v>
      </c>
      <c r="AE349" s="10" t="n">
        <f aca="false">IF(MIN(AB349:AB$361)&gt;=0,1,0)</f>
        <v>1</v>
      </c>
    </row>
    <row r="350" customFormat="false" ht="15" hidden="false" customHeight="false" outlineLevel="0" collapsed="false">
      <c r="A350" s="10" t="n">
        <v>2045</v>
      </c>
      <c r="B350" s="10" t="n">
        <f aca="false">A350-o_base</f>
        <v>22</v>
      </c>
      <c r="C350" s="27" t="n">
        <f aca="false">SUMIFS($F$293:$F$319,$A$293:$A$319,"RBI-1",$C$293:$C$319,$A350)</f>
        <v>0</v>
      </c>
      <c r="D350" s="27" t="n">
        <f aca="false">SUMIFS($H$293:$H$319,$A$293:$A$319,"RBI-1",$C$293:$C$319,$A350)</f>
        <v>0</v>
      </c>
      <c r="E350" s="27" t="n">
        <f aca="false">SUMIFS($I$293:$I$319,$A$293:$A$319,"RBI-1",$C$293:$C$319,$A350)</f>
        <v>0</v>
      </c>
      <c r="F350" s="27" t="n">
        <f aca="false">SUMIFS($K$293:$K$319,$A$293:$A$319,"RBI-1",$C$293:$C$319,$A350)</f>
        <v>0</v>
      </c>
      <c r="G350" s="27" t="n">
        <f aca="false">SUMIFS($F$293:$F$319,$A$293:$A$319,"RBI-2",$C$293:$C$319,$A350)</f>
        <v>0</v>
      </c>
      <c r="H350" s="27" t="n">
        <f aca="false">SUMIFS($H$293:$H$319,$A$293:$A$319,"RBI-2",$C$293:$C$319,$A350)</f>
        <v>0</v>
      </c>
      <c r="I350" s="27" t="n">
        <f aca="false">SUMIFS($I$293:$I$319,$A$293:$A$319,"RBI-2",$C$293:$C$319,$A350)</f>
        <v>0</v>
      </c>
      <c r="J350" s="27" t="n">
        <f aca="false">SUMIFS($K$293:$K$319,$A$293:$A$319,"RBI-2",$C$293:$C$319,$A350)</f>
        <v>0</v>
      </c>
      <c r="K350" s="27" t="n">
        <f aca="false">SUMIFS($F$293:$F$319,$A$293:$A$319,"RBI-3",$C$293:$C$319,$A350)</f>
        <v>480</v>
      </c>
      <c r="L350" s="27" t="n">
        <f aca="false">SUMIFS($H$293:$H$319,$A$293:$A$319,"RBI-3",$C$293:$C$319,$A350)</f>
        <v>0</v>
      </c>
      <c r="M350" s="27" t="n">
        <f aca="false">SUMIFS($I$293:$I$319,$A$293:$A$319,"RBI-3",$C$293:$C$319,$A350)</f>
        <v>480</v>
      </c>
      <c r="N350" s="27" t="n">
        <f aca="false">SUMIFS($K$293:$K$319,$A$293:$A$319,"RBI-3",$C$293:$C$319,$A350)</f>
        <v>0</v>
      </c>
      <c r="O350" s="27" t="n">
        <f aca="false">SUMIFS($F$293:$F$319,$A$293:$A$319,"RBI-4",$C$293:$C$319,$A350)</f>
        <v>0</v>
      </c>
      <c r="P350" s="27" t="n">
        <f aca="false">SUMIFS($H$293:$H$319,$A$293:$A$319,"RBI-4",$C$293:$C$319,$A350)</f>
        <v>0</v>
      </c>
      <c r="Q350" s="27" t="n">
        <f aca="false">SUMIFS($I$293:$I$319,$A$293:$A$319,"RBI-4",$C$293:$C$319,$A350)</f>
        <v>0</v>
      </c>
      <c r="R350" s="27" t="n">
        <f aca="false">SUMIFS($K$293:$K$319,$A$293:$A$319,"RBI-4",$C$293:$C$319,$A350)</f>
        <v>0</v>
      </c>
      <c r="S350" s="27" t="n">
        <f aca="false">SUMIFS($F$293:$F$319,$A$293:$A$319,"TBI",$C$293:$C$319,$A350)</f>
        <v>0</v>
      </c>
      <c r="T350" s="27" t="n">
        <f aca="false">SUMIFS($H$293:$H$319,$A$293:$A$319,"TBI",$C$293:$C$319,$A350)</f>
        <v>0</v>
      </c>
      <c r="U350" s="27" t="n">
        <f aca="false">SUMIFS($I$293:$I$319,$A$293:$A$319,"TBI",$C$293:$C$319,$A350)</f>
        <v>0</v>
      </c>
      <c r="V350" s="27" t="n">
        <f aca="false">SUMIFS($K$293:$K$319,$A$293:$A$319,"TBI",$C$293:$C$319,$A350)</f>
        <v>0</v>
      </c>
      <c r="W350" s="27" t="n">
        <f aca="false">IF(sel_modo="Intrusiva",S350+T350,U350+V350)</f>
        <v>0</v>
      </c>
      <c r="X350" s="27" t="n">
        <f aca="false">IF(sel_modo="Intrusiva",CHOOSE(sel_est,C350+D350,G350+H350,K350+L350,O350+P350),CHOOSE(sel_est,E350+F350,I350+J350,M350+N350,Q350+R350))</f>
        <v>0</v>
      </c>
      <c r="Y350" s="27" t="n">
        <f aca="false">W350-X350</f>
        <v>0</v>
      </c>
      <c r="Z350" s="32" t="n">
        <f aca="false">1/(1+r_o)^B350</f>
        <v>0.122845973573672</v>
      </c>
      <c r="AA350" s="27" t="n">
        <f aca="false">Y350*Z350</f>
        <v>0</v>
      </c>
      <c r="AB350" s="27" t="n">
        <f aca="false">AB349+Y350</f>
        <v>21350</v>
      </c>
      <c r="AC350" s="27" t="n">
        <f aca="false">AC349+W350</f>
        <v>22160</v>
      </c>
      <c r="AD350" s="27" t="n">
        <f aca="false">AD349+X350</f>
        <v>810</v>
      </c>
      <c r="AE350" s="10" t="n">
        <f aca="false">IF(MIN(AB350:AB$361)&gt;=0,1,0)</f>
        <v>1</v>
      </c>
    </row>
    <row r="351" customFormat="false" ht="15" hidden="false" customHeight="false" outlineLevel="0" collapsed="false">
      <c r="A351" s="10" t="n">
        <v>2046</v>
      </c>
      <c r="B351" s="10" t="n">
        <f aca="false">A351-o_base</f>
        <v>23</v>
      </c>
      <c r="C351" s="27" t="n">
        <f aca="false">SUMIFS($F$293:$F$319,$A$293:$A$319,"RBI-1",$C$293:$C$319,$A351)</f>
        <v>0</v>
      </c>
      <c r="D351" s="27" t="n">
        <f aca="false">SUMIFS($H$293:$H$319,$A$293:$A$319,"RBI-1",$C$293:$C$319,$A351)</f>
        <v>0</v>
      </c>
      <c r="E351" s="27" t="n">
        <f aca="false">SUMIFS($I$293:$I$319,$A$293:$A$319,"RBI-1",$C$293:$C$319,$A351)</f>
        <v>0</v>
      </c>
      <c r="F351" s="27" t="n">
        <f aca="false">SUMIFS($K$293:$K$319,$A$293:$A$319,"RBI-1",$C$293:$C$319,$A351)</f>
        <v>0</v>
      </c>
      <c r="G351" s="27" t="n">
        <f aca="false">SUMIFS($F$293:$F$319,$A$293:$A$319,"RBI-2",$C$293:$C$319,$A351)</f>
        <v>0</v>
      </c>
      <c r="H351" s="27" t="n">
        <f aca="false">SUMIFS($H$293:$H$319,$A$293:$A$319,"RBI-2",$C$293:$C$319,$A351)</f>
        <v>0</v>
      </c>
      <c r="I351" s="27" t="n">
        <f aca="false">SUMIFS($I$293:$I$319,$A$293:$A$319,"RBI-2",$C$293:$C$319,$A351)</f>
        <v>0</v>
      </c>
      <c r="J351" s="27" t="n">
        <f aca="false">SUMIFS($K$293:$K$319,$A$293:$A$319,"RBI-2",$C$293:$C$319,$A351)</f>
        <v>0</v>
      </c>
      <c r="K351" s="27" t="n">
        <f aca="false">SUMIFS($F$293:$F$319,$A$293:$A$319,"RBI-3",$C$293:$C$319,$A351)</f>
        <v>0</v>
      </c>
      <c r="L351" s="27" t="n">
        <f aca="false">SUMIFS($H$293:$H$319,$A$293:$A$319,"RBI-3",$C$293:$C$319,$A351)</f>
        <v>0</v>
      </c>
      <c r="M351" s="27" t="n">
        <f aca="false">SUMIFS($I$293:$I$319,$A$293:$A$319,"RBI-3",$C$293:$C$319,$A351)</f>
        <v>0</v>
      </c>
      <c r="N351" s="27" t="n">
        <f aca="false">SUMIFS($K$293:$K$319,$A$293:$A$319,"RBI-3",$C$293:$C$319,$A351)</f>
        <v>0</v>
      </c>
      <c r="O351" s="27" t="n">
        <f aca="false">SUMIFS($F$293:$F$319,$A$293:$A$319,"RBI-4",$C$293:$C$319,$A351)</f>
        <v>0</v>
      </c>
      <c r="P351" s="27" t="n">
        <f aca="false">SUMIFS($H$293:$H$319,$A$293:$A$319,"RBI-4",$C$293:$C$319,$A351)</f>
        <v>0</v>
      </c>
      <c r="Q351" s="27" t="n">
        <f aca="false">SUMIFS($I$293:$I$319,$A$293:$A$319,"RBI-4",$C$293:$C$319,$A351)</f>
        <v>0</v>
      </c>
      <c r="R351" s="27" t="n">
        <f aca="false">SUMIFS($K$293:$K$319,$A$293:$A$319,"RBI-4",$C$293:$C$319,$A351)</f>
        <v>0</v>
      </c>
      <c r="S351" s="27" t="n">
        <f aca="false">SUMIFS($F$293:$F$319,$A$293:$A$319,"TBI",$C$293:$C$319,$A351)</f>
        <v>0</v>
      </c>
      <c r="T351" s="27" t="n">
        <f aca="false">SUMIFS($H$293:$H$319,$A$293:$A$319,"TBI",$C$293:$C$319,$A351)</f>
        <v>0</v>
      </c>
      <c r="U351" s="27" t="n">
        <f aca="false">SUMIFS($I$293:$I$319,$A$293:$A$319,"TBI",$C$293:$C$319,$A351)</f>
        <v>0</v>
      </c>
      <c r="V351" s="27" t="n">
        <f aca="false">SUMIFS($K$293:$K$319,$A$293:$A$319,"TBI",$C$293:$C$319,$A351)</f>
        <v>0</v>
      </c>
      <c r="W351" s="27" t="n">
        <f aca="false">IF(sel_modo="Intrusiva",S351+T351,U351+V351)</f>
        <v>0</v>
      </c>
      <c r="X351" s="27" t="n">
        <f aca="false">IF(sel_modo="Intrusiva",CHOOSE(sel_est,C351+D351,G351+H351,K351+L351,O351+P351),CHOOSE(sel_est,E351+F351,I351+J351,M351+N351,Q351+R351))</f>
        <v>0</v>
      </c>
      <c r="Y351" s="27" t="n">
        <f aca="false">W351-X351</f>
        <v>0</v>
      </c>
      <c r="Z351" s="32" t="n">
        <f aca="false">1/(1+r_o)^B351</f>
        <v>0.111678157794247</v>
      </c>
      <c r="AA351" s="27" t="n">
        <f aca="false">Y351*Z351</f>
        <v>0</v>
      </c>
      <c r="AB351" s="27" t="n">
        <f aca="false">AB350+Y351</f>
        <v>21350</v>
      </c>
      <c r="AC351" s="27" t="n">
        <f aca="false">AC350+W351</f>
        <v>22160</v>
      </c>
      <c r="AD351" s="27" t="n">
        <f aca="false">AD350+X351</f>
        <v>810</v>
      </c>
      <c r="AE351" s="10" t="n">
        <f aca="false">IF(MIN(AB351:AB$361)&gt;=0,1,0)</f>
        <v>1</v>
      </c>
    </row>
    <row r="352" customFormat="false" ht="15" hidden="false" customHeight="false" outlineLevel="0" collapsed="false">
      <c r="A352" s="10" t="n">
        <v>2047</v>
      </c>
      <c r="B352" s="10" t="n">
        <f aca="false">A352-o_base</f>
        <v>24</v>
      </c>
      <c r="C352" s="27" t="n">
        <f aca="false">SUMIFS($F$293:$F$319,$A$293:$A$319,"RBI-1",$C$293:$C$319,$A352)</f>
        <v>0</v>
      </c>
      <c r="D352" s="27" t="n">
        <f aca="false">SUMIFS($H$293:$H$319,$A$293:$A$319,"RBI-1",$C$293:$C$319,$A352)</f>
        <v>0</v>
      </c>
      <c r="E352" s="27" t="n">
        <f aca="false">SUMIFS($I$293:$I$319,$A$293:$A$319,"RBI-1",$C$293:$C$319,$A352)</f>
        <v>0</v>
      </c>
      <c r="F352" s="27" t="n">
        <f aca="false">SUMIFS($K$293:$K$319,$A$293:$A$319,"RBI-1",$C$293:$C$319,$A352)</f>
        <v>0</v>
      </c>
      <c r="G352" s="27" t="n">
        <f aca="false">SUMIFS($F$293:$F$319,$A$293:$A$319,"RBI-2",$C$293:$C$319,$A352)</f>
        <v>0</v>
      </c>
      <c r="H352" s="27" t="n">
        <f aca="false">SUMIFS($H$293:$H$319,$A$293:$A$319,"RBI-2",$C$293:$C$319,$A352)</f>
        <v>0</v>
      </c>
      <c r="I352" s="27" t="n">
        <f aca="false">SUMIFS($I$293:$I$319,$A$293:$A$319,"RBI-2",$C$293:$C$319,$A352)</f>
        <v>0</v>
      </c>
      <c r="J352" s="27" t="n">
        <f aca="false">SUMIFS($K$293:$K$319,$A$293:$A$319,"RBI-2",$C$293:$C$319,$A352)</f>
        <v>0</v>
      </c>
      <c r="K352" s="27" t="n">
        <f aca="false">SUMIFS($F$293:$F$319,$A$293:$A$319,"RBI-3",$C$293:$C$319,$A352)</f>
        <v>0</v>
      </c>
      <c r="L352" s="27" t="n">
        <f aca="false">SUMIFS($H$293:$H$319,$A$293:$A$319,"RBI-3",$C$293:$C$319,$A352)</f>
        <v>0</v>
      </c>
      <c r="M352" s="27" t="n">
        <f aca="false">SUMIFS($I$293:$I$319,$A$293:$A$319,"RBI-3",$C$293:$C$319,$A352)</f>
        <v>0</v>
      </c>
      <c r="N352" s="27" t="n">
        <f aca="false">SUMIFS($K$293:$K$319,$A$293:$A$319,"RBI-3",$C$293:$C$319,$A352)</f>
        <v>0</v>
      </c>
      <c r="O352" s="27" t="n">
        <f aca="false">SUMIFS($F$293:$F$319,$A$293:$A$319,"RBI-4",$C$293:$C$319,$A352)</f>
        <v>0</v>
      </c>
      <c r="P352" s="27" t="n">
        <f aca="false">SUMIFS($H$293:$H$319,$A$293:$A$319,"RBI-4",$C$293:$C$319,$A352)</f>
        <v>0</v>
      </c>
      <c r="Q352" s="27" t="n">
        <f aca="false">SUMIFS($I$293:$I$319,$A$293:$A$319,"RBI-4",$C$293:$C$319,$A352)</f>
        <v>0</v>
      </c>
      <c r="R352" s="27" t="n">
        <f aca="false">SUMIFS($K$293:$K$319,$A$293:$A$319,"RBI-4",$C$293:$C$319,$A352)</f>
        <v>0</v>
      </c>
      <c r="S352" s="27" t="n">
        <f aca="false">SUMIFS($F$293:$F$319,$A$293:$A$319,"TBI",$C$293:$C$319,$A352)</f>
        <v>360</v>
      </c>
      <c r="T352" s="27" t="n">
        <f aca="false">SUMIFS($H$293:$H$319,$A$293:$A$319,"TBI",$C$293:$C$319,$A352)</f>
        <v>10000</v>
      </c>
      <c r="U352" s="27" t="n">
        <f aca="false">SUMIFS($I$293:$I$319,$A$293:$A$319,"TBI",$C$293:$C$319,$A352)</f>
        <v>480</v>
      </c>
      <c r="V352" s="27" t="n">
        <f aca="false">SUMIFS($K$293:$K$319,$A$293:$A$319,"TBI",$C$293:$C$319,$A352)</f>
        <v>0</v>
      </c>
      <c r="W352" s="27" t="n">
        <f aca="false">IF(sel_modo="Intrusiva",S352+T352,U352+V352)</f>
        <v>10360</v>
      </c>
      <c r="X352" s="27" t="n">
        <f aca="false">IF(sel_modo="Intrusiva",CHOOSE(sel_est,C352+D352,G352+H352,K352+L352,O352+P352),CHOOSE(sel_est,E352+F352,I352+J352,M352+N352,Q352+R352))</f>
        <v>0</v>
      </c>
      <c r="Y352" s="27" t="n">
        <f aca="false">W352-X352</f>
        <v>10360</v>
      </c>
      <c r="Z352" s="32" t="n">
        <f aca="false">1/(1+r_o)^B352</f>
        <v>0.10152559799477</v>
      </c>
      <c r="AA352" s="27" t="n">
        <f aca="false">Y352*Z352</f>
        <v>1051.80519522582</v>
      </c>
      <c r="AB352" s="27" t="n">
        <f aca="false">AB351+Y352</f>
        <v>31710</v>
      </c>
      <c r="AC352" s="27" t="n">
        <f aca="false">AC351+W352</f>
        <v>32520</v>
      </c>
      <c r="AD352" s="27" t="n">
        <f aca="false">AD351+X352</f>
        <v>810</v>
      </c>
      <c r="AE352" s="10" t="n">
        <f aca="false">IF(MIN(AB352:AB$361)&gt;=0,1,0)</f>
        <v>1</v>
      </c>
    </row>
    <row r="353" customFormat="false" ht="15" hidden="false" customHeight="false" outlineLevel="0" collapsed="false">
      <c r="A353" s="10" t="n">
        <v>2048</v>
      </c>
      <c r="B353" s="10" t="n">
        <f aca="false">A353-o_base</f>
        <v>25</v>
      </c>
      <c r="C353" s="27" t="n">
        <f aca="false">SUMIFS($F$293:$F$319,$A$293:$A$319,"RBI-1",$C$293:$C$319,$A353)</f>
        <v>0</v>
      </c>
      <c r="D353" s="27" t="n">
        <f aca="false">SUMIFS($H$293:$H$319,$A$293:$A$319,"RBI-1",$C$293:$C$319,$A353)</f>
        <v>0</v>
      </c>
      <c r="E353" s="27" t="n">
        <f aca="false">SUMIFS($I$293:$I$319,$A$293:$A$319,"RBI-1",$C$293:$C$319,$A353)</f>
        <v>0</v>
      </c>
      <c r="F353" s="27" t="n">
        <f aca="false">SUMIFS($K$293:$K$319,$A$293:$A$319,"RBI-1",$C$293:$C$319,$A353)</f>
        <v>0</v>
      </c>
      <c r="G353" s="27" t="n">
        <f aca="false">SUMIFS($F$293:$F$319,$A$293:$A$319,"RBI-2",$C$293:$C$319,$A353)</f>
        <v>0</v>
      </c>
      <c r="H353" s="27" t="n">
        <f aca="false">SUMIFS($H$293:$H$319,$A$293:$A$319,"RBI-2",$C$293:$C$319,$A353)</f>
        <v>0</v>
      </c>
      <c r="I353" s="27" t="n">
        <f aca="false">SUMIFS($I$293:$I$319,$A$293:$A$319,"RBI-2",$C$293:$C$319,$A353)</f>
        <v>0</v>
      </c>
      <c r="J353" s="27" t="n">
        <f aca="false">SUMIFS($K$293:$K$319,$A$293:$A$319,"RBI-2",$C$293:$C$319,$A353)</f>
        <v>0</v>
      </c>
      <c r="K353" s="27" t="n">
        <f aca="false">SUMIFS($F$293:$F$319,$A$293:$A$319,"RBI-3",$C$293:$C$319,$A353)</f>
        <v>0</v>
      </c>
      <c r="L353" s="27" t="n">
        <f aca="false">SUMIFS($H$293:$H$319,$A$293:$A$319,"RBI-3",$C$293:$C$319,$A353)</f>
        <v>0</v>
      </c>
      <c r="M353" s="27" t="n">
        <f aca="false">SUMIFS($I$293:$I$319,$A$293:$A$319,"RBI-3",$C$293:$C$319,$A353)</f>
        <v>0</v>
      </c>
      <c r="N353" s="27" t="n">
        <f aca="false">SUMIFS($K$293:$K$319,$A$293:$A$319,"RBI-3",$C$293:$C$319,$A353)</f>
        <v>0</v>
      </c>
      <c r="O353" s="27" t="n">
        <f aca="false">SUMIFS($F$293:$F$319,$A$293:$A$319,"RBI-4",$C$293:$C$319,$A353)</f>
        <v>0</v>
      </c>
      <c r="P353" s="27" t="n">
        <f aca="false">SUMIFS($H$293:$H$319,$A$293:$A$319,"RBI-4",$C$293:$C$319,$A353)</f>
        <v>0</v>
      </c>
      <c r="Q353" s="27" t="n">
        <f aca="false">SUMIFS($I$293:$I$319,$A$293:$A$319,"RBI-4",$C$293:$C$319,$A353)</f>
        <v>0</v>
      </c>
      <c r="R353" s="27" t="n">
        <f aca="false">SUMIFS($K$293:$K$319,$A$293:$A$319,"RBI-4",$C$293:$C$319,$A353)</f>
        <v>0</v>
      </c>
      <c r="S353" s="27" t="n">
        <f aca="false">SUMIFS($F$293:$F$319,$A$293:$A$319,"TBI",$C$293:$C$319,$A353)</f>
        <v>0</v>
      </c>
      <c r="T353" s="27" t="n">
        <f aca="false">SUMIFS($H$293:$H$319,$A$293:$A$319,"TBI",$C$293:$C$319,$A353)</f>
        <v>0</v>
      </c>
      <c r="U353" s="27" t="n">
        <f aca="false">SUMIFS($I$293:$I$319,$A$293:$A$319,"TBI",$C$293:$C$319,$A353)</f>
        <v>0</v>
      </c>
      <c r="V353" s="27" t="n">
        <f aca="false">SUMIFS($K$293:$K$319,$A$293:$A$319,"TBI",$C$293:$C$319,$A353)</f>
        <v>0</v>
      </c>
      <c r="W353" s="27" t="n">
        <f aca="false">IF(sel_modo="Intrusiva",S353+T353,U353+V353)</f>
        <v>0</v>
      </c>
      <c r="X353" s="27" t="n">
        <f aca="false">IF(sel_modo="Intrusiva",CHOOSE(sel_est,C353+D353,G353+H353,K353+L353,O353+P353),CHOOSE(sel_est,E353+F353,I353+J353,M353+N353,Q353+R353))</f>
        <v>0</v>
      </c>
      <c r="Y353" s="27" t="n">
        <f aca="false">W353-X353</f>
        <v>0</v>
      </c>
      <c r="Z353" s="32" t="n">
        <f aca="false">1/(1+r_o)^B353</f>
        <v>0.092295998177064</v>
      </c>
      <c r="AA353" s="27" t="n">
        <f aca="false">Y353*Z353</f>
        <v>0</v>
      </c>
      <c r="AB353" s="27" t="n">
        <f aca="false">AB352+Y353</f>
        <v>31710</v>
      </c>
      <c r="AC353" s="27" t="n">
        <f aca="false">AC352+W353</f>
        <v>32520</v>
      </c>
      <c r="AD353" s="27" t="n">
        <f aca="false">AD352+X353</f>
        <v>810</v>
      </c>
      <c r="AE353" s="10" t="n">
        <f aca="false">IF(MIN(AB353:AB$361)&gt;=0,1,0)</f>
        <v>1</v>
      </c>
    </row>
    <row r="354" customFormat="false" ht="15" hidden="false" customHeight="false" outlineLevel="0" collapsed="false">
      <c r="A354" s="10" t="n">
        <v>2049</v>
      </c>
      <c r="B354" s="10" t="n">
        <f aca="false">A354-o_base</f>
        <v>26</v>
      </c>
      <c r="C354" s="27" t="n">
        <f aca="false">SUMIFS($F$293:$F$319,$A$293:$A$319,"RBI-1",$C$293:$C$319,$A354)</f>
        <v>0</v>
      </c>
      <c r="D354" s="27" t="n">
        <f aca="false">SUMIFS($H$293:$H$319,$A$293:$A$319,"RBI-1",$C$293:$C$319,$A354)</f>
        <v>0</v>
      </c>
      <c r="E354" s="27" t="n">
        <f aca="false">SUMIFS($I$293:$I$319,$A$293:$A$319,"RBI-1",$C$293:$C$319,$A354)</f>
        <v>0</v>
      </c>
      <c r="F354" s="27" t="n">
        <f aca="false">SUMIFS($K$293:$K$319,$A$293:$A$319,"RBI-1",$C$293:$C$319,$A354)</f>
        <v>0</v>
      </c>
      <c r="G354" s="27" t="n">
        <f aca="false">SUMIFS($F$293:$F$319,$A$293:$A$319,"RBI-2",$C$293:$C$319,$A354)</f>
        <v>0</v>
      </c>
      <c r="H354" s="27" t="n">
        <f aca="false">SUMIFS($H$293:$H$319,$A$293:$A$319,"RBI-2",$C$293:$C$319,$A354)</f>
        <v>0</v>
      </c>
      <c r="I354" s="27" t="n">
        <f aca="false">SUMIFS($I$293:$I$319,$A$293:$A$319,"RBI-2",$C$293:$C$319,$A354)</f>
        <v>0</v>
      </c>
      <c r="J354" s="27" t="n">
        <f aca="false">SUMIFS($K$293:$K$319,$A$293:$A$319,"RBI-2",$C$293:$C$319,$A354)</f>
        <v>0</v>
      </c>
      <c r="K354" s="27" t="n">
        <f aca="false">SUMIFS($F$293:$F$319,$A$293:$A$319,"RBI-3",$C$293:$C$319,$A354)</f>
        <v>0</v>
      </c>
      <c r="L354" s="27" t="n">
        <f aca="false">SUMIFS($H$293:$H$319,$A$293:$A$319,"RBI-3",$C$293:$C$319,$A354)</f>
        <v>0</v>
      </c>
      <c r="M354" s="27" t="n">
        <f aca="false">SUMIFS($I$293:$I$319,$A$293:$A$319,"RBI-3",$C$293:$C$319,$A354)</f>
        <v>0</v>
      </c>
      <c r="N354" s="27" t="n">
        <f aca="false">SUMIFS($K$293:$K$319,$A$293:$A$319,"RBI-3",$C$293:$C$319,$A354)</f>
        <v>0</v>
      </c>
      <c r="O354" s="27" t="n">
        <f aca="false">SUMIFS($F$293:$F$319,$A$293:$A$319,"RBI-4",$C$293:$C$319,$A354)</f>
        <v>0</v>
      </c>
      <c r="P354" s="27" t="n">
        <f aca="false">SUMIFS($H$293:$H$319,$A$293:$A$319,"RBI-4",$C$293:$C$319,$A354)</f>
        <v>0</v>
      </c>
      <c r="Q354" s="27" t="n">
        <f aca="false">SUMIFS($I$293:$I$319,$A$293:$A$319,"RBI-4",$C$293:$C$319,$A354)</f>
        <v>0</v>
      </c>
      <c r="R354" s="27" t="n">
        <f aca="false">SUMIFS($K$293:$K$319,$A$293:$A$319,"RBI-4",$C$293:$C$319,$A354)</f>
        <v>0</v>
      </c>
      <c r="S354" s="27" t="n">
        <f aca="false">SUMIFS($F$293:$F$319,$A$293:$A$319,"TBI",$C$293:$C$319,$A354)</f>
        <v>0</v>
      </c>
      <c r="T354" s="27" t="n">
        <f aca="false">SUMIFS($H$293:$H$319,$A$293:$A$319,"TBI",$C$293:$C$319,$A354)</f>
        <v>0</v>
      </c>
      <c r="U354" s="27" t="n">
        <f aca="false">SUMIFS($I$293:$I$319,$A$293:$A$319,"TBI",$C$293:$C$319,$A354)</f>
        <v>0</v>
      </c>
      <c r="V354" s="27" t="n">
        <f aca="false">SUMIFS($K$293:$K$319,$A$293:$A$319,"TBI",$C$293:$C$319,$A354)</f>
        <v>0</v>
      </c>
      <c r="W354" s="27" t="n">
        <f aca="false">IF(sel_modo="Intrusiva",S354+T354,U354+V354)</f>
        <v>0</v>
      </c>
      <c r="X354" s="27" t="n">
        <f aca="false">IF(sel_modo="Intrusiva",CHOOSE(sel_est,C354+D354,G354+H354,K354+L354,O354+P354),CHOOSE(sel_est,E354+F354,I354+J354,M354+N354,Q354+R354))</f>
        <v>0</v>
      </c>
      <c r="Y354" s="27" t="n">
        <f aca="false">W354-X354</f>
        <v>0</v>
      </c>
      <c r="Z354" s="32" t="n">
        <f aca="false">1/(1+r_o)^B354</f>
        <v>0.08390545288824</v>
      </c>
      <c r="AA354" s="27" t="n">
        <f aca="false">Y354*Z354</f>
        <v>0</v>
      </c>
      <c r="AB354" s="27" t="n">
        <f aca="false">AB353+Y354</f>
        <v>31710</v>
      </c>
      <c r="AC354" s="27" t="n">
        <f aca="false">AC353+W354</f>
        <v>32520</v>
      </c>
      <c r="AD354" s="27" t="n">
        <f aca="false">AD353+X354</f>
        <v>810</v>
      </c>
      <c r="AE354" s="10" t="n">
        <f aca="false">IF(MIN(AB354:AB$361)&gt;=0,1,0)</f>
        <v>1</v>
      </c>
    </row>
    <row r="355" customFormat="false" ht="15" hidden="false" customHeight="false" outlineLevel="0" collapsed="false">
      <c r="A355" s="10" t="n">
        <v>2050</v>
      </c>
      <c r="B355" s="10" t="n">
        <f aca="false">A355-o_base</f>
        <v>27</v>
      </c>
      <c r="C355" s="27" t="n">
        <f aca="false">SUMIFS($F$293:$F$319,$A$293:$A$319,"RBI-1",$C$293:$C$319,$A355)</f>
        <v>0</v>
      </c>
      <c r="D355" s="27" t="n">
        <f aca="false">SUMIFS($H$293:$H$319,$A$293:$A$319,"RBI-1",$C$293:$C$319,$A355)</f>
        <v>0</v>
      </c>
      <c r="E355" s="27" t="n">
        <f aca="false">SUMIFS($I$293:$I$319,$A$293:$A$319,"RBI-1",$C$293:$C$319,$A355)</f>
        <v>0</v>
      </c>
      <c r="F355" s="27" t="n">
        <f aca="false">SUMIFS($K$293:$K$319,$A$293:$A$319,"RBI-1",$C$293:$C$319,$A355)</f>
        <v>0</v>
      </c>
      <c r="G355" s="27" t="n">
        <f aca="false">SUMIFS($F$293:$F$319,$A$293:$A$319,"RBI-2",$C$293:$C$319,$A355)</f>
        <v>600</v>
      </c>
      <c r="H355" s="27" t="n">
        <f aca="false">SUMIFS($H$293:$H$319,$A$293:$A$319,"RBI-2",$C$293:$C$319,$A355)</f>
        <v>0</v>
      </c>
      <c r="I355" s="27" t="n">
        <f aca="false">SUMIFS($I$293:$I$319,$A$293:$A$319,"RBI-2",$C$293:$C$319,$A355)</f>
        <v>600</v>
      </c>
      <c r="J355" s="27" t="n">
        <f aca="false">SUMIFS($K$293:$K$319,$A$293:$A$319,"RBI-2",$C$293:$C$319,$A355)</f>
        <v>0</v>
      </c>
      <c r="K355" s="27" t="n">
        <f aca="false">SUMIFS($F$293:$F$319,$A$293:$A$319,"RBI-3",$C$293:$C$319,$A355)</f>
        <v>0</v>
      </c>
      <c r="L355" s="27" t="n">
        <f aca="false">SUMIFS($H$293:$H$319,$A$293:$A$319,"RBI-3",$C$293:$C$319,$A355)</f>
        <v>0</v>
      </c>
      <c r="M355" s="27" t="n">
        <f aca="false">SUMIFS($I$293:$I$319,$A$293:$A$319,"RBI-3",$C$293:$C$319,$A355)</f>
        <v>0</v>
      </c>
      <c r="N355" s="27" t="n">
        <f aca="false">SUMIFS($K$293:$K$319,$A$293:$A$319,"RBI-3",$C$293:$C$319,$A355)</f>
        <v>0</v>
      </c>
      <c r="O355" s="27" t="n">
        <f aca="false">SUMIFS($F$293:$F$319,$A$293:$A$319,"RBI-4",$C$293:$C$319,$A355)</f>
        <v>0</v>
      </c>
      <c r="P355" s="27" t="n">
        <f aca="false">SUMIFS($H$293:$H$319,$A$293:$A$319,"RBI-4",$C$293:$C$319,$A355)</f>
        <v>0</v>
      </c>
      <c r="Q355" s="27" t="n">
        <f aca="false">SUMIFS($I$293:$I$319,$A$293:$A$319,"RBI-4",$C$293:$C$319,$A355)</f>
        <v>0</v>
      </c>
      <c r="R355" s="27" t="n">
        <f aca="false">SUMIFS($K$293:$K$319,$A$293:$A$319,"RBI-4",$C$293:$C$319,$A355)</f>
        <v>0</v>
      </c>
      <c r="S355" s="27" t="n">
        <f aca="false">SUMIFS($F$293:$F$319,$A$293:$A$319,"TBI",$C$293:$C$319,$A355)</f>
        <v>240</v>
      </c>
      <c r="T355" s="27" t="n">
        <f aca="false">SUMIFS($H$293:$H$319,$A$293:$A$319,"TBI",$C$293:$C$319,$A355)</f>
        <v>0</v>
      </c>
      <c r="U355" s="27" t="n">
        <f aca="false">SUMIFS($I$293:$I$319,$A$293:$A$319,"TBI",$C$293:$C$319,$A355)</f>
        <v>240</v>
      </c>
      <c r="V355" s="27" t="n">
        <f aca="false">SUMIFS($K$293:$K$319,$A$293:$A$319,"TBI",$C$293:$C$319,$A355)</f>
        <v>0</v>
      </c>
      <c r="W355" s="27" t="n">
        <f aca="false">IF(sel_modo="Intrusiva",S355+T355,U355+V355)</f>
        <v>240</v>
      </c>
      <c r="X355" s="27" t="n">
        <f aca="false">IF(sel_modo="Intrusiva",CHOOSE(sel_est,C355+D355,G355+H355,K355+L355,O355+P355),CHOOSE(sel_est,E355+F355,I355+J355,M355+N355,Q355+R355))</f>
        <v>600</v>
      </c>
      <c r="Y355" s="27" t="n">
        <f aca="false">W355-X355</f>
        <v>-360</v>
      </c>
      <c r="Z355" s="32" t="n">
        <f aca="false">1/(1+r_o)^B355</f>
        <v>0.0762776844438546</v>
      </c>
      <c r="AA355" s="27" t="n">
        <f aca="false">Y355*Z355</f>
        <v>-27.4599663997876</v>
      </c>
      <c r="AB355" s="27" t="n">
        <f aca="false">AB354+Y355</f>
        <v>31350</v>
      </c>
      <c r="AC355" s="27" t="n">
        <f aca="false">AC354+W355</f>
        <v>32760</v>
      </c>
      <c r="AD355" s="27" t="n">
        <f aca="false">AD354+X355</f>
        <v>1410</v>
      </c>
      <c r="AE355" s="10" t="n">
        <f aca="false">IF(MIN(AB355:AB$361)&gt;=0,1,0)</f>
        <v>1</v>
      </c>
    </row>
    <row r="356" customFormat="false" ht="15" hidden="false" customHeight="false" outlineLevel="0" collapsed="false">
      <c r="A356" s="10" t="n">
        <v>2051</v>
      </c>
      <c r="B356" s="10" t="n">
        <f aca="false">A356-o_base</f>
        <v>28</v>
      </c>
      <c r="C356" s="27" t="n">
        <f aca="false">SUMIFS($F$293:$F$319,$A$293:$A$319,"RBI-1",$C$293:$C$319,$A356)</f>
        <v>0</v>
      </c>
      <c r="D356" s="27" t="n">
        <f aca="false">SUMIFS($H$293:$H$319,$A$293:$A$319,"RBI-1",$C$293:$C$319,$A356)</f>
        <v>0</v>
      </c>
      <c r="E356" s="27" t="n">
        <f aca="false">SUMIFS($I$293:$I$319,$A$293:$A$319,"RBI-1",$C$293:$C$319,$A356)</f>
        <v>0</v>
      </c>
      <c r="F356" s="27" t="n">
        <f aca="false">SUMIFS($K$293:$K$319,$A$293:$A$319,"RBI-1",$C$293:$C$319,$A356)</f>
        <v>0</v>
      </c>
      <c r="G356" s="27" t="n">
        <f aca="false">SUMIFS($F$293:$F$319,$A$293:$A$319,"RBI-2",$C$293:$C$319,$A356)</f>
        <v>0</v>
      </c>
      <c r="H356" s="27" t="n">
        <f aca="false">SUMIFS($H$293:$H$319,$A$293:$A$319,"RBI-2",$C$293:$C$319,$A356)</f>
        <v>0</v>
      </c>
      <c r="I356" s="27" t="n">
        <f aca="false">SUMIFS($I$293:$I$319,$A$293:$A$319,"RBI-2",$C$293:$C$319,$A356)</f>
        <v>0</v>
      </c>
      <c r="J356" s="27" t="n">
        <f aca="false">SUMIFS($K$293:$K$319,$A$293:$A$319,"RBI-2",$C$293:$C$319,$A356)</f>
        <v>0</v>
      </c>
      <c r="K356" s="27" t="n">
        <f aca="false">SUMIFS($F$293:$F$319,$A$293:$A$319,"RBI-3",$C$293:$C$319,$A356)</f>
        <v>0</v>
      </c>
      <c r="L356" s="27" t="n">
        <f aca="false">SUMIFS($H$293:$H$319,$A$293:$A$319,"RBI-3",$C$293:$C$319,$A356)</f>
        <v>0</v>
      </c>
      <c r="M356" s="27" t="n">
        <f aca="false">SUMIFS($I$293:$I$319,$A$293:$A$319,"RBI-3",$C$293:$C$319,$A356)</f>
        <v>0</v>
      </c>
      <c r="N356" s="27" t="n">
        <f aca="false">SUMIFS($K$293:$K$319,$A$293:$A$319,"RBI-3",$C$293:$C$319,$A356)</f>
        <v>0</v>
      </c>
      <c r="O356" s="27" t="n">
        <f aca="false">SUMIFS($F$293:$F$319,$A$293:$A$319,"RBI-4",$C$293:$C$319,$A356)</f>
        <v>0</v>
      </c>
      <c r="P356" s="27" t="n">
        <f aca="false">SUMIFS($H$293:$H$319,$A$293:$A$319,"RBI-4",$C$293:$C$319,$A356)</f>
        <v>0</v>
      </c>
      <c r="Q356" s="27" t="n">
        <f aca="false">SUMIFS($I$293:$I$319,$A$293:$A$319,"RBI-4",$C$293:$C$319,$A356)</f>
        <v>0</v>
      </c>
      <c r="R356" s="27" t="n">
        <f aca="false">SUMIFS($K$293:$K$319,$A$293:$A$319,"RBI-4",$C$293:$C$319,$A356)</f>
        <v>0</v>
      </c>
      <c r="S356" s="27" t="n">
        <f aca="false">SUMIFS($F$293:$F$319,$A$293:$A$319,"TBI",$C$293:$C$319,$A356)</f>
        <v>0</v>
      </c>
      <c r="T356" s="27" t="n">
        <f aca="false">SUMIFS($H$293:$H$319,$A$293:$A$319,"TBI",$C$293:$C$319,$A356)</f>
        <v>0</v>
      </c>
      <c r="U356" s="27" t="n">
        <f aca="false">SUMIFS($I$293:$I$319,$A$293:$A$319,"TBI",$C$293:$C$319,$A356)</f>
        <v>0</v>
      </c>
      <c r="V356" s="27" t="n">
        <f aca="false">SUMIFS($K$293:$K$319,$A$293:$A$319,"TBI",$C$293:$C$319,$A356)</f>
        <v>0</v>
      </c>
      <c r="W356" s="27" t="n">
        <f aca="false">IF(sel_modo="Intrusiva",S356+T356,U356+V356)</f>
        <v>0</v>
      </c>
      <c r="X356" s="27" t="n">
        <f aca="false">IF(sel_modo="Intrusiva",CHOOSE(sel_est,C356+D356,G356+H356,K356+L356,O356+P356),CHOOSE(sel_est,E356+F356,I356+J356,M356+N356,Q356+R356))</f>
        <v>0</v>
      </c>
      <c r="Y356" s="27" t="n">
        <f aca="false">W356-X356</f>
        <v>0</v>
      </c>
      <c r="Z356" s="32" t="n">
        <f aca="false">1/(1+r_o)^B356</f>
        <v>0.0693433494944132</v>
      </c>
      <c r="AA356" s="27" t="n">
        <f aca="false">Y356*Z356</f>
        <v>0</v>
      </c>
      <c r="AB356" s="27" t="n">
        <f aca="false">AB355+Y356</f>
        <v>31350</v>
      </c>
      <c r="AC356" s="27" t="n">
        <f aca="false">AC355+W356</f>
        <v>32760</v>
      </c>
      <c r="AD356" s="27" t="n">
        <f aca="false">AD355+X356</f>
        <v>1410</v>
      </c>
      <c r="AE356" s="10" t="n">
        <f aca="false">IF(MIN(AB356:AB$361)&gt;=0,1,0)</f>
        <v>1</v>
      </c>
    </row>
    <row r="357" customFormat="false" ht="15" hidden="false" customHeight="false" outlineLevel="0" collapsed="false">
      <c r="A357" s="10" t="n">
        <v>2052</v>
      </c>
      <c r="B357" s="10" t="n">
        <f aca="false">A357-o_base</f>
        <v>29</v>
      </c>
      <c r="C357" s="27" t="n">
        <f aca="false">SUMIFS($F$293:$F$319,$A$293:$A$319,"RBI-1",$C$293:$C$319,$A357)</f>
        <v>0</v>
      </c>
      <c r="D357" s="27" t="n">
        <f aca="false">SUMIFS($H$293:$H$319,$A$293:$A$319,"RBI-1",$C$293:$C$319,$A357)</f>
        <v>0</v>
      </c>
      <c r="E357" s="27" t="n">
        <f aca="false">SUMIFS($I$293:$I$319,$A$293:$A$319,"RBI-1",$C$293:$C$319,$A357)</f>
        <v>0</v>
      </c>
      <c r="F357" s="27" t="n">
        <f aca="false">SUMIFS($K$293:$K$319,$A$293:$A$319,"RBI-1",$C$293:$C$319,$A357)</f>
        <v>0</v>
      </c>
      <c r="G357" s="27" t="n">
        <f aca="false">SUMIFS($F$293:$F$319,$A$293:$A$319,"RBI-2",$C$293:$C$319,$A357)</f>
        <v>0</v>
      </c>
      <c r="H357" s="27" t="n">
        <f aca="false">SUMIFS($H$293:$H$319,$A$293:$A$319,"RBI-2",$C$293:$C$319,$A357)</f>
        <v>0</v>
      </c>
      <c r="I357" s="27" t="n">
        <f aca="false">SUMIFS($I$293:$I$319,$A$293:$A$319,"RBI-2",$C$293:$C$319,$A357)</f>
        <v>0</v>
      </c>
      <c r="J357" s="27" t="n">
        <f aca="false">SUMIFS($K$293:$K$319,$A$293:$A$319,"RBI-2",$C$293:$C$319,$A357)</f>
        <v>0</v>
      </c>
      <c r="K357" s="27" t="n">
        <f aca="false">SUMIFS($F$293:$F$319,$A$293:$A$319,"RBI-3",$C$293:$C$319,$A357)</f>
        <v>0</v>
      </c>
      <c r="L357" s="27" t="n">
        <f aca="false">SUMIFS($H$293:$H$319,$A$293:$A$319,"RBI-3",$C$293:$C$319,$A357)</f>
        <v>0</v>
      </c>
      <c r="M357" s="27" t="n">
        <f aca="false">SUMIFS($I$293:$I$319,$A$293:$A$319,"RBI-3",$C$293:$C$319,$A357)</f>
        <v>0</v>
      </c>
      <c r="N357" s="27" t="n">
        <f aca="false">SUMIFS($K$293:$K$319,$A$293:$A$319,"RBI-3",$C$293:$C$319,$A357)</f>
        <v>0</v>
      </c>
      <c r="O357" s="27" t="n">
        <f aca="false">SUMIFS($F$293:$F$319,$A$293:$A$319,"RBI-4",$C$293:$C$319,$A357)</f>
        <v>0</v>
      </c>
      <c r="P357" s="27" t="n">
        <f aca="false">SUMIFS($H$293:$H$319,$A$293:$A$319,"RBI-4",$C$293:$C$319,$A357)</f>
        <v>0</v>
      </c>
      <c r="Q357" s="27" t="n">
        <f aca="false">SUMIFS($I$293:$I$319,$A$293:$A$319,"RBI-4",$C$293:$C$319,$A357)</f>
        <v>0</v>
      </c>
      <c r="R357" s="27" t="n">
        <f aca="false">SUMIFS($K$293:$K$319,$A$293:$A$319,"RBI-4",$C$293:$C$319,$A357)</f>
        <v>0</v>
      </c>
      <c r="S357" s="27" t="n">
        <f aca="false">SUMIFS($F$293:$F$319,$A$293:$A$319,"TBI",$C$293:$C$319,$A357)</f>
        <v>0</v>
      </c>
      <c r="T357" s="27" t="n">
        <f aca="false">SUMIFS($H$293:$H$319,$A$293:$A$319,"TBI",$C$293:$C$319,$A357)</f>
        <v>0</v>
      </c>
      <c r="U357" s="27" t="n">
        <f aca="false">SUMIFS($I$293:$I$319,$A$293:$A$319,"TBI",$C$293:$C$319,$A357)</f>
        <v>0</v>
      </c>
      <c r="V357" s="27" t="n">
        <f aca="false">SUMIFS($K$293:$K$319,$A$293:$A$319,"TBI",$C$293:$C$319,$A357)</f>
        <v>0</v>
      </c>
      <c r="W357" s="27" t="n">
        <f aca="false">IF(sel_modo="Intrusiva",S357+T357,U357+V357)</f>
        <v>0</v>
      </c>
      <c r="X357" s="27" t="n">
        <f aca="false">IF(sel_modo="Intrusiva",CHOOSE(sel_est,C357+D357,G357+H357,K357+L357,O357+P357),CHOOSE(sel_est,E357+F357,I357+J357,M357+N357,Q357+R357))</f>
        <v>0</v>
      </c>
      <c r="Y357" s="27" t="n">
        <f aca="false">W357-X357</f>
        <v>0</v>
      </c>
      <c r="Z357" s="32" t="n">
        <f aca="false">1/(1+r_o)^B357</f>
        <v>0.0630394086312848</v>
      </c>
      <c r="AA357" s="27" t="n">
        <f aca="false">Y357*Z357</f>
        <v>0</v>
      </c>
      <c r="AB357" s="27" t="n">
        <f aca="false">AB356+Y357</f>
        <v>31350</v>
      </c>
      <c r="AC357" s="27" t="n">
        <f aca="false">AC356+W357</f>
        <v>32760</v>
      </c>
      <c r="AD357" s="27" t="n">
        <f aca="false">AD356+X357</f>
        <v>1410</v>
      </c>
      <c r="AE357" s="10" t="n">
        <f aca="false">IF(MIN(AB357:AB$361)&gt;=0,1,0)</f>
        <v>1</v>
      </c>
    </row>
    <row r="358" customFormat="false" ht="15" hidden="false" customHeight="false" outlineLevel="0" collapsed="false">
      <c r="A358" s="10" t="n">
        <v>2053</v>
      </c>
      <c r="B358" s="10" t="n">
        <f aca="false">A358-o_base</f>
        <v>30</v>
      </c>
      <c r="C358" s="27" t="n">
        <f aca="false">SUMIFS($F$293:$F$319,$A$293:$A$319,"RBI-1",$C$293:$C$319,$A358)</f>
        <v>0</v>
      </c>
      <c r="D358" s="27" t="n">
        <f aca="false">SUMIFS($H$293:$H$319,$A$293:$A$319,"RBI-1",$C$293:$C$319,$A358)</f>
        <v>0</v>
      </c>
      <c r="E358" s="27" t="n">
        <f aca="false">SUMIFS($I$293:$I$319,$A$293:$A$319,"RBI-1",$C$293:$C$319,$A358)</f>
        <v>0</v>
      </c>
      <c r="F358" s="27" t="n">
        <f aca="false">SUMIFS($K$293:$K$319,$A$293:$A$319,"RBI-1",$C$293:$C$319,$A358)</f>
        <v>0</v>
      </c>
      <c r="G358" s="27" t="n">
        <f aca="false">SUMIFS($F$293:$F$319,$A$293:$A$319,"RBI-2",$C$293:$C$319,$A358)</f>
        <v>0</v>
      </c>
      <c r="H358" s="27" t="n">
        <f aca="false">SUMIFS($H$293:$H$319,$A$293:$A$319,"RBI-2",$C$293:$C$319,$A358)</f>
        <v>0</v>
      </c>
      <c r="I358" s="27" t="n">
        <f aca="false">SUMIFS($I$293:$I$319,$A$293:$A$319,"RBI-2",$C$293:$C$319,$A358)</f>
        <v>0</v>
      </c>
      <c r="J358" s="27" t="n">
        <f aca="false">SUMIFS($K$293:$K$319,$A$293:$A$319,"RBI-2",$C$293:$C$319,$A358)</f>
        <v>0</v>
      </c>
      <c r="K358" s="27" t="n">
        <f aca="false">SUMIFS($F$293:$F$319,$A$293:$A$319,"RBI-3",$C$293:$C$319,$A358)</f>
        <v>0</v>
      </c>
      <c r="L358" s="27" t="n">
        <f aca="false">SUMIFS($H$293:$H$319,$A$293:$A$319,"RBI-3",$C$293:$C$319,$A358)</f>
        <v>0</v>
      </c>
      <c r="M358" s="27" t="n">
        <f aca="false">SUMIFS($I$293:$I$319,$A$293:$A$319,"RBI-3",$C$293:$C$319,$A358)</f>
        <v>0</v>
      </c>
      <c r="N358" s="27" t="n">
        <f aca="false">SUMIFS($K$293:$K$319,$A$293:$A$319,"RBI-3",$C$293:$C$319,$A358)</f>
        <v>0</v>
      </c>
      <c r="O358" s="27" t="n">
        <f aca="false">SUMIFS($F$293:$F$319,$A$293:$A$319,"RBI-4",$C$293:$C$319,$A358)</f>
        <v>360</v>
      </c>
      <c r="P358" s="27" t="n">
        <f aca="false">SUMIFS($H$293:$H$319,$A$293:$A$319,"RBI-4",$C$293:$C$319,$A358)</f>
        <v>0</v>
      </c>
      <c r="Q358" s="27" t="n">
        <f aca="false">SUMIFS($I$293:$I$319,$A$293:$A$319,"RBI-4",$C$293:$C$319,$A358)</f>
        <v>360</v>
      </c>
      <c r="R358" s="27" t="n">
        <f aca="false">SUMIFS($K$293:$K$319,$A$293:$A$319,"RBI-4",$C$293:$C$319,$A358)</f>
        <v>0</v>
      </c>
      <c r="S358" s="27" t="n">
        <f aca="false">SUMIFS($F$293:$F$319,$A$293:$A$319,"TBI",$C$293:$C$319,$A358)</f>
        <v>240</v>
      </c>
      <c r="T358" s="27" t="n">
        <f aca="false">SUMIFS($H$293:$H$319,$A$293:$A$319,"TBI",$C$293:$C$319,$A358)</f>
        <v>0</v>
      </c>
      <c r="U358" s="27" t="n">
        <f aca="false">SUMIFS($I$293:$I$319,$A$293:$A$319,"TBI",$C$293:$C$319,$A358)</f>
        <v>240</v>
      </c>
      <c r="V358" s="27" t="n">
        <f aca="false">SUMIFS($K$293:$K$319,$A$293:$A$319,"TBI",$C$293:$C$319,$A358)</f>
        <v>0</v>
      </c>
      <c r="W358" s="27" t="n">
        <f aca="false">IF(sel_modo="Intrusiva",S358+T358,U358+V358)</f>
        <v>240</v>
      </c>
      <c r="X358" s="27" t="n">
        <f aca="false">IF(sel_modo="Intrusiva",CHOOSE(sel_est,C358+D358,G358+H358,K358+L358,O358+P358),CHOOSE(sel_est,E358+F358,I358+J358,M358+N358,Q358+R358))</f>
        <v>0</v>
      </c>
      <c r="Y358" s="27" t="n">
        <f aca="false">W358-X358</f>
        <v>240</v>
      </c>
      <c r="Z358" s="32" t="n">
        <f aca="false">1/(1+r_o)^B358</f>
        <v>0.057308553301168</v>
      </c>
      <c r="AA358" s="27" t="n">
        <f aca="false">Y358*Z358</f>
        <v>13.7540527922803</v>
      </c>
      <c r="AB358" s="27" t="n">
        <f aca="false">AB357+Y358</f>
        <v>31590</v>
      </c>
      <c r="AC358" s="27" t="n">
        <f aca="false">AC357+W358</f>
        <v>33000</v>
      </c>
      <c r="AD358" s="27" t="n">
        <f aca="false">AD357+X358</f>
        <v>1410</v>
      </c>
      <c r="AE358" s="10" t="n">
        <f aca="false">IF(MIN(AB358:AB$361)&gt;=0,1,0)</f>
        <v>1</v>
      </c>
    </row>
    <row r="359" customFormat="false" ht="15" hidden="false" customHeight="false" outlineLevel="0" collapsed="false">
      <c r="A359" s="10" t="n">
        <v>2054</v>
      </c>
      <c r="B359" s="10" t="n">
        <f aca="false">A359-o_base</f>
        <v>31</v>
      </c>
      <c r="C359" s="27" t="n">
        <f aca="false">SUMIFS($F$293:$F$319,$A$293:$A$319,"RBI-1",$C$293:$C$319,$A359)</f>
        <v>0</v>
      </c>
      <c r="D359" s="27" t="n">
        <f aca="false">SUMIFS($H$293:$H$319,$A$293:$A$319,"RBI-1",$C$293:$C$319,$A359)</f>
        <v>0</v>
      </c>
      <c r="E359" s="27" t="n">
        <f aca="false">SUMIFS($I$293:$I$319,$A$293:$A$319,"RBI-1",$C$293:$C$319,$A359)</f>
        <v>0</v>
      </c>
      <c r="F359" s="27" t="n">
        <f aca="false">SUMIFS($K$293:$K$319,$A$293:$A$319,"RBI-1",$C$293:$C$319,$A359)</f>
        <v>0</v>
      </c>
      <c r="G359" s="27" t="n">
        <f aca="false">SUMIFS($F$293:$F$319,$A$293:$A$319,"RBI-2",$C$293:$C$319,$A359)</f>
        <v>0</v>
      </c>
      <c r="H359" s="27" t="n">
        <f aca="false">SUMIFS($H$293:$H$319,$A$293:$A$319,"RBI-2",$C$293:$C$319,$A359)</f>
        <v>0</v>
      </c>
      <c r="I359" s="27" t="n">
        <f aca="false">SUMIFS($I$293:$I$319,$A$293:$A$319,"RBI-2",$C$293:$C$319,$A359)</f>
        <v>0</v>
      </c>
      <c r="J359" s="27" t="n">
        <f aca="false">SUMIFS($K$293:$K$319,$A$293:$A$319,"RBI-2",$C$293:$C$319,$A359)</f>
        <v>0</v>
      </c>
      <c r="K359" s="27" t="n">
        <f aca="false">SUMIFS($F$293:$F$319,$A$293:$A$319,"RBI-3",$C$293:$C$319,$A359)</f>
        <v>0</v>
      </c>
      <c r="L359" s="27" t="n">
        <f aca="false">SUMIFS($H$293:$H$319,$A$293:$A$319,"RBI-3",$C$293:$C$319,$A359)</f>
        <v>0</v>
      </c>
      <c r="M359" s="27" t="n">
        <f aca="false">SUMIFS($I$293:$I$319,$A$293:$A$319,"RBI-3",$C$293:$C$319,$A359)</f>
        <v>0</v>
      </c>
      <c r="N359" s="27" t="n">
        <f aca="false">SUMIFS($K$293:$K$319,$A$293:$A$319,"RBI-3",$C$293:$C$319,$A359)</f>
        <v>0</v>
      </c>
      <c r="O359" s="27" t="n">
        <f aca="false">SUMIFS($F$293:$F$319,$A$293:$A$319,"RBI-4",$C$293:$C$319,$A359)</f>
        <v>0</v>
      </c>
      <c r="P359" s="27" t="n">
        <f aca="false">SUMIFS($H$293:$H$319,$A$293:$A$319,"RBI-4",$C$293:$C$319,$A359)</f>
        <v>0</v>
      </c>
      <c r="Q359" s="27" t="n">
        <f aca="false">SUMIFS($I$293:$I$319,$A$293:$A$319,"RBI-4",$C$293:$C$319,$A359)</f>
        <v>0</v>
      </c>
      <c r="R359" s="27" t="n">
        <f aca="false">SUMIFS($K$293:$K$319,$A$293:$A$319,"RBI-4",$C$293:$C$319,$A359)</f>
        <v>0</v>
      </c>
      <c r="S359" s="27" t="n">
        <f aca="false">SUMIFS($F$293:$F$319,$A$293:$A$319,"TBI",$C$293:$C$319,$A359)</f>
        <v>0</v>
      </c>
      <c r="T359" s="27" t="n">
        <f aca="false">SUMIFS($H$293:$H$319,$A$293:$A$319,"TBI",$C$293:$C$319,$A359)</f>
        <v>0</v>
      </c>
      <c r="U359" s="27" t="n">
        <f aca="false">SUMIFS($I$293:$I$319,$A$293:$A$319,"TBI",$C$293:$C$319,$A359)</f>
        <v>0</v>
      </c>
      <c r="V359" s="27" t="n">
        <f aca="false">SUMIFS($K$293:$K$319,$A$293:$A$319,"TBI",$C$293:$C$319,$A359)</f>
        <v>0</v>
      </c>
      <c r="W359" s="27" t="n">
        <f aca="false">IF(sel_modo="Intrusiva",S359+T359,U359+V359)</f>
        <v>0</v>
      </c>
      <c r="X359" s="27" t="n">
        <f aca="false">IF(sel_modo="Intrusiva",CHOOSE(sel_est,C359+D359,G359+H359,K359+L359,O359+P359),CHOOSE(sel_est,E359+F359,I359+J359,M359+N359,Q359+R359))</f>
        <v>0</v>
      </c>
      <c r="Y359" s="27" t="n">
        <f aca="false">W359-X359</f>
        <v>0</v>
      </c>
      <c r="Z359" s="32" t="n">
        <f aca="false">1/(1+r_o)^B359</f>
        <v>0.0520986848192436</v>
      </c>
      <c r="AA359" s="27" t="n">
        <f aca="false">Y359*Z359</f>
        <v>0</v>
      </c>
      <c r="AB359" s="27" t="n">
        <f aca="false">AB358+Y359</f>
        <v>31590</v>
      </c>
      <c r="AC359" s="27" t="n">
        <f aca="false">AC358+W359</f>
        <v>33000</v>
      </c>
      <c r="AD359" s="27" t="n">
        <f aca="false">AD358+X359</f>
        <v>1410</v>
      </c>
      <c r="AE359" s="10" t="n">
        <f aca="false">IF(MIN(AB359:AB$361)&gt;=0,1,0)</f>
        <v>1</v>
      </c>
    </row>
    <row r="360" customFormat="false" ht="15" hidden="false" customHeight="false" outlineLevel="0" collapsed="false">
      <c r="A360" s="10" t="n">
        <v>2055</v>
      </c>
      <c r="B360" s="10" t="n">
        <f aca="false">A360-o_base</f>
        <v>32</v>
      </c>
      <c r="C360" s="27" t="n">
        <f aca="false">SUMIFS($F$293:$F$319,$A$293:$A$319,"RBI-1",$C$293:$C$319,$A360)</f>
        <v>0</v>
      </c>
      <c r="D360" s="27" t="n">
        <f aca="false">SUMIFS($H$293:$H$319,$A$293:$A$319,"RBI-1",$C$293:$C$319,$A360)</f>
        <v>0</v>
      </c>
      <c r="E360" s="27" t="n">
        <f aca="false">SUMIFS($I$293:$I$319,$A$293:$A$319,"RBI-1",$C$293:$C$319,$A360)</f>
        <v>0</v>
      </c>
      <c r="F360" s="27" t="n">
        <f aca="false">SUMIFS($K$293:$K$319,$A$293:$A$319,"RBI-1",$C$293:$C$319,$A360)</f>
        <v>0</v>
      </c>
      <c r="G360" s="27" t="n">
        <f aca="false">SUMIFS($F$293:$F$319,$A$293:$A$319,"RBI-2",$C$293:$C$319,$A360)</f>
        <v>0</v>
      </c>
      <c r="H360" s="27" t="n">
        <f aca="false">SUMIFS($H$293:$H$319,$A$293:$A$319,"RBI-2",$C$293:$C$319,$A360)</f>
        <v>0</v>
      </c>
      <c r="I360" s="27" t="n">
        <f aca="false">SUMIFS($I$293:$I$319,$A$293:$A$319,"RBI-2",$C$293:$C$319,$A360)</f>
        <v>0</v>
      </c>
      <c r="J360" s="27" t="n">
        <f aca="false">SUMIFS($K$293:$K$319,$A$293:$A$319,"RBI-2",$C$293:$C$319,$A360)</f>
        <v>0</v>
      </c>
      <c r="K360" s="27" t="n">
        <f aca="false">SUMIFS($F$293:$F$319,$A$293:$A$319,"RBI-3",$C$293:$C$319,$A360)</f>
        <v>0</v>
      </c>
      <c r="L360" s="27" t="n">
        <f aca="false">SUMIFS($H$293:$H$319,$A$293:$A$319,"RBI-3",$C$293:$C$319,$A360)</f>
        <v>0</v>
      </c>
      <c r="M360" s="27" t="n">
        <f aca="false">SUMIFS($I$293:$I$319,$A$293:$A$319,"RBI-3",$C$293:$C$319,$A360)</f>
        <v>0</v>
      </c>
      <c r="N360" s="27" t="n">
        <f aca="false">SUMIFS($K$293:$K$319,$A$293:$A$319,"RBI-3",$C$293:$C$319,$A360)</f>
        <v>0</v>
      </c>
      <c r="O360" s="27" t="n">
        <f aca="false">SUMIFS($F$293:$F$319,$A$293:$A$319,"RBI-4",$C$293:$C$319,$A360)</f>
        <v>0</v>
      </c>
      <c r="P360" s="27" t="n">
        <f aca="false">SUMIFS($H$293:$H$319,$A$293:$A$319,"RBI-4",$C$293:$C$319,$A360)</f>
        <v>0</v>
      </c>
      <c r="Q360" s="27" t="n">
        <f aca="false">SUMIFS($I$293:$I$319,$A$293:$A$319,"RBI-4",$C$293:$C$319,$A360)</f>
        <v>0</v>
      </c>
      <c r="R360" s="27" t="n">
        <f aca="false">SUMIFS($K$293:$K$319,$A$293:$A$319,"RBI-4",$C$293:$C$319,$A360)</f>
        <v>0</v>
      </c>
      <c r="S360" s="27" t="n">
        <f aca="false">SUMIFS($F$293:$F$319,$A$293:$A$319,"TBI",$C$293:$C$319,$A360)</f>
        <v>0</v>
      </c>
      <c r="T360" s="27" t="n">
        <f aca="false">SUMIFS($H$293:$H$319,$A$293:$A$319,"TBI",$C$293:$C$319,$A360)</f>
        <v>0</v>
      </c>
      <c r="U360" s="27" t="n">
        <f aca="false">SUMIFS($I$293:$I$319,$A$293:$A$319,"TBI",$C$293:$C$319,$A360)</f>
        <v>0</v>
      </c>
      <c r="V360" s="27" t="n">
        <f aca="false">SUMIFS($K$293:$K$319,$A$293:$A$319,"TBI",$C$293:$C$319,$A360)</f>
        <v>0</v>
      </c>
      <c r="W360" s="27" t="n">
        <f aca="false">IF(sel_modo="Intrusiva",S360+T360,U360+V360)</f>
        <v>0</v>
      </c>
      <c r="X360" s="27" t="n">
        <f aca="false">IF(sel_modo="Intrusiva",CHOOSE(sel_est,C360+D360,G360+H360,K360+L360,O360+P360),CHOOSE(sel_est,E360+F360,I360+J360,M360+N360,Q360+R360))</f>
        <v>0</v>
      </c>
      <c r="Y360" s="27" t="n">
        <f aca="false">W360-X360</f>
        <v>0</v>
      </c>
      <c r="Z360" s="32" t="n">
        <f aca="false">1/(1+r_o)^B360</f>
        <v>0.0473624407447669</v>
      </c>
      <c r="AA360" s="27" t="n">
        <f aca="false">Y360*Z360</f>
        <v>0</v>
      </c>
      <c r="AB360" s="27" t="n">
        <f aca="false">AB359+Y360</f>
        <v>31590</v>
      </c>
      <c r="AC360" s="27" t="n">
        <f aca="false">AC359+W360</f>
        <v>33000</v>
      </c>
      <c r="AD360" s="27" t="n">
        <f aca="false">AD359+X360</f>
        <v>1410</v>
      </c>
      <c r="AE360" s="10" t="n">
        <f aca="false">IF(MIN(AB360:AB$361)&gt;=0,1,0)</f>
        <v>1</v>
      </c>
    </row>
    <row r="361" customFormat="false" ht="15" hidden="false" customHeight="false" outlineLevel="0" collapsed="false">
      <c r="A361" s="10" t="n">
        <v>2056</v>
      </c>
      <c r="B361" s="10" t="n">
        <f aca="false">A361-o_base</f>
        <v>33</v>
      </c>
      <c r="C361" s="27" t="n">
        <f aca="false">SUMIFS($F$293:$F$319,$A$293:$A$319,"RBI-1",$C$293:$C$319,$A361)</f>
        <v>720</v>
      </c>
      <c r="D361" s="27" t="n">
        <f aca="false">SUMIFS($H$293:$H$319,$A$293:$A$319,"RBI-1",$C$293:$C$319,$A361)</f>
        <v>10000</v>
      </c>
      <c r="E361" s="27" t="n">
        <f aca="false">SUMIFS($I$293:$I$319,$A$293:$A$319,"RBI-1",$C$293:$C$319,$A361)</f>
        <v>1080</v>
      </c>
      <c r="F361" s="27" t="n">
        <f aca="false">SUMIFS($K$293:$K$319,$A$293:$A$319,"RBI-1",$C$293:$C$319,$A361)</f>
        <v>0</v>
      </c>
      <c r="G361" s="27" t="n">
        <f aca="false">SUMIFS($F$293:$F$319,$A$293:$A$319,"RBI-2",$C$293:$C$319,$A361)</f>
        <v>0</v>
      </c>
      <c r="H361" s="27" t="n">
        <f aca="false">SUMIFS($H$293:$H$319,$A$293:$A$319,"RBI-2",$C$293:$C$319,$A361)</f>
        <v>0</v>
      </c>
      <c r="I361" s="27" t="n">
        <f aca="false">SUMIFS($I$293:$I$319,$A$293:$A$319,"RBI-2",$C$293:$C$319,$A361)</f>
        <v>0</v>
      </c>
      <c r="J361" s="27" t="n">
        <f aca="false">SUMIFS($K$293:$K$319,$A$293:$A$319,"RBI-2",$C$293:$C$319,$A361)</f>
        <v>0</v>
      </c>
      <c r="K361" s="27" t="n">
        <f aca="false">SUMIFS($F$293:$F$319,$A$293:$A$319,"RBI-3",$C$293:$C$319,$A361)</f>
        <v>600</v>
      </c>
      <c r="L361" s="27" t="n">
        <f aca="false">SUMIFS($H$293:$H$319,$A$293:$A$319,"RBI-3",$C$293:$C$319,$A361)</f>
        <v>0</v>
      </c>
      <c r="M361" s="27" t="n">
        <f aca="false">SUMIFS($I$293:$I$319,$A$293:$A$319,"RBI-3",$C$293:$C$319,$A361)</f>
        <v>600</v>
      </c>
      <c r="N361" s="27" t="n">
        <f aca="false">SUMIFS($K$293:$K$319,$A$293:$A$319,"RBI-3",$C$293:$C$319,$A361)</f>
        <v>0</v>
      </c>
      <c r="O361" s="27" t="n">
        <f aca="false">SUMIFS($F$293:$F$319,$A$293:$A$319,"RBI-4",$C$293:$C$319,$A361)</f>
        <v>0</v>
      </c>
      <c r="P361" s="27" t="n">
        <f aca="false">SUMIFS($H$293:$H$319,$A$293:$A$319,"RBI-4",$C$293:$C$319,$A361)</f>
        <v>0</v>
      </c>
      <c r="Q361" s="27" t="n">
        <f aca="false">SUMIFS($I$293:$I$319,$A$293:$A$319,"RBI-4",$C$293:$C$319,$A361)</f>
        <v>0</v>
      </c>
      <c r="R361" s="27" t="n">
        <f aca="false">SUMIFS($K$293:$K$319,$A$293:$A$319,"RBI-4",$C$293:$C$319,$A361)</f>
        <v>0</v>
      </c>
      <c r="S361" s="27" t="n">
        <f aca="false">SUMIFS($F$293:$F$319,$A$293:$A$319,"TBI",$C$293:$C$319,$A361)</f>
        <v>360</v>
      </c>
      <c r="T361" s="27" t="n">
        <f aca="false">SUMIFS($H$293:$H$319,$A$293:$A$319,"TBI",$C$293:$C$319,$A361)</f>
        <v>10000</v>
      </c>
      <c r="U361" s="27" t="n">
        <f aca="false">SUMIFS($I$293:$I$319,$A$293:$A$319,"TBI",$C$293:$C$319,$A361)</f>
        <v>480</v>
      </c>
      <c r="V361" s="27" t="n">
        <f aca="false">SUMIFS($K$293:$K$319,$A$293:$A$319,"TBI",$C$293:$C$319,$A361)</f>
        <v>0</v>
      </c>
      <c r="W361" s="27" t="n">
        <f aca="false">IF(sel_modo="Intrusiva",S361+T361,U361+V361)</f>
        <v>10360</v>
      </c>
      <c r="X361" s="27" t="n">
        <f aca="false">IF(sel_modo="Intrusiva",CHOOSE(sel_est,C361+D361,G361+H361,K361+L361,O361+P361),CHOOSE(sel_est,E361+F361,I361+J361,M361+N361,Q361+R361))</f>
        <v>0</v>
      </c>
      <c r="Y361" s="27" t="n">
        <f aca="false">W361-X361</f>
        <v>10360</v>
      </c>
      <c r="Z361" s="32" t="n">
        <f aca="false">1/(1+r_o)^B361</f>
        <v>0.0430567643134244</v>
      </c>
      <c r="AA361" s="27" t="n">
        <f aca="false">Y361*Z361</f>
        <v>446.068078287077</v>
      </c>
      <c r="AB361" s="27" t="n">
        <f aca="false">AB360+Y361</f>
        <v>41950</v>
      </c>
      <c r="AC361" s="27" t="n">
        <f aca="false">AC360+W361</f>
        <v>43360</v>
      </c>
      <c r="AD361" s="27" t="n">
        <f aca="false">AD360+X361</f>
        <v>1410</v>
      </c>
      <c r="AE361" s="10" t="n">
        <f aca="false">IF(MIN(AB361:AB$361)&gt;=0,1,0)</f>
        <v>1</v>
      </c>
    </row>
    <row r="362" customFormat="false" ht="15" hidden="false" customHeight="false" outlineLevel="0" collapsed="false">
      <c r="A362" s="17" t="s">
        <v>453</v>
      </c>
      <c r="C362" s="34" t="n">
        <f aca="false">SUM(C328:C361)</f>
        <v>1650</v>
      </c>
      <c r="D362" s="34" t="n">
        <f aca="false">SUM(D328:D361)</f>
        <v>10000</v>
      </c>
      <c r="E362" s="34" t="n">
        <f aca="false">SUM(E328:E361)</f>
        <v>2010</v>
      </c>
      <c r="F362" s="34" t="n">
        <f aca="false">SUM(F328:F361)</f>
        <v>0</v>
      </c>
      <c r="G362" s="34" t="n">
        <f aca="false">SUM(G328:G361)</f>
        <v>1410</v>
      </c>
      <c r="H362" s="34" t="n">
        <f aca="false">SUM(H328:H361)</f>
        <v>0</v>
      </c>
      <c r="I362" s="34" t="n">
        <f aca="false">SUM(I328:I361)</f>
        <v>1410</v>
      </c>
      <c r="J362" s="34" t="n">
        <f aca="false">SUM(J328:J361)</f>
        <v>0</v>
      </c>
      <c r="K362" s="34" t="n">
        <f aca="false">SUM(K328:K361)</f>
        <v>1770</v>
      </c>
      <c r="L362" s="34" t="n">
        <f aca="false">SUM(L328:L361)</f>
        <v>0</v>
      </c>
      <c r="M362" s="34" t="n">
        <f aca="false">SUM(M328:M361)</f>
        <v>1770</v>
      </c>
      <c r="N362" s="34" t="n">
        <f aca="false">SUM(N328:N361)</f>
        <v>0</v>
      </c>
      <c r="O362" s="34" t="n">
        <f aca="false">SUM(O328:O361)</f>
        <v>1410</v>
      </c>
      <c r="P362" s="34" t="n">
        <f aca="false">SUM(P328:P361)</f>
        <v>0</v>
      </c>
      <c r="Q362" s="34" t="n">
        <f aca="false">SUM(Q328:Q361)</f>
        <v>1410</v>
      </c>
      <c r="R362" s="34" t="n">
        <f aca="false">SUM(R328:R361)</f>
        <v>0</v>
      </c>
      <c r="S362" s="34" t="n">
        <f aca="false">SUM(S328:S361)</f>
        <v>3360</v>
      </c>
      <c r="T362" s="34" t="n">
        <f aca="false">SUM(T328:T361)</f>
        <v>40000</v>
      </c>
      <c r="U362" s="34" t="n">
        <f aca="false">SUM(U328:U361)</f>
        <v>3840</v>
      </c>
      <c r="V362" s="34" t="n">
        <f aca="false">SUM(V328:V361)</f>
        <v>0</v>
      </c>
      <c r="W362" s="34" t="n">
        <f aca="false">SUM(W328:W361)</f>
        <v>43360</v>
      </c>
    </row>
    <row r="365" customFormat="false" ht="15" hidden="false" customHeight="false" outlineLevel="0" collapsed="false">
      <c r="A365" s="17" t="s">
        <v>454</v>
      </c>
    </row>
    <row r="366" customFormat="false" ht="41.75" hidden="false" customHeight="false" outlineLevel="0" collapsed="false">
      <c r="A366" s="9" t="s">
        <v>455</v>
      </c>
      <c r="B366" s="9" t="s">
        <v>456</v>
      </c>
      <c r="C366" s="9" t="s">
        <v>457</v>
      </c>
      <c r="D366" s="9" t="s">
        <v>458</v>
      </c>
      <c r="E366" s="9" t="s">
        <v>459</v>
      </c>
      <c r="F366" s="9" t="s">
        <v>460</v>
      </c>
      <c r="G366" s="9" t="s">
        <v>461</v>
      </c>
      <c r="H366" s="9" t="s">
        <v>27</v>
      </c>
    </row>
    <row r="367" customFormat="false" ht="15" hidden="false" customHeight="false" outlineLevel="0" collapsed="false">
      <c r="A367" s="10" t="s">
        <v>413</v>
      </c>
      <c r="B367" s="27" t="n">
        <f aca="false">C362+D362</f>
        <v>11650</v>
      </c>
      <c r="C367" s="24" t="n">
        <v>11650</v>
      </c>
      <c r="D367" s="27" t="n">
        <f aca="false">B367-C367</f>
        <v>0</v>
      </c>
      <c r="E367" s="27" t="n">
        <f aca="false">E362+F362</f>
        <v>2010</v>
      </c>
      <c r="F367" s="24" t="n">
        <v>1080</v>
      </c>
      <c r="G367" s="27" t="n">
        <f aca="false">E367-F367</f>
        <v>930</v>
      </c>
      <c r="H367" s="28" t="str">
        <f aca="false">IF(AND(ABS(D367)&lt;0.5,ABS(G367)&lt;0.5),"Coincide","DISCREPANCIA")</f>
        <v>DISCREPANCIA</v>
      </c>
    </row>
    <row r="368" customFormat="false" ht="15" hidden="false" customHeight="false" outlineLevel="0" collapsed="false">
      <c r="A368" s="10" t="s">
        <v>416</v>
      </c>
      <c r="B368" s="27" t="n">
        <f aca="false">G362+H362</f>
        <v>1410</v>
      </c>
      <c r="C368" s="24" t="n">
        <v>1170</v>
      </c>
      <c r="D368" s="27" t="n">
        <f aca="false">B368-C368</f>
        <v>240</v>
      </c>
      <c r="E368" s="27" t="n">
        <f aca="false">I362+J362</f>
        <v>1410</v>
      </c>
      <c r="F368" s="24" t="n">
        <v>1170</v>
      </c>
      <c r="G368" s="27" t="n">
        <f aca="false">E368-F368</f>
        <v>240</v>
      </c>
      <c r="H368" s="28" t="str">
        <f aca="false">IF(AND(ABS(D368)&lt;0.5,ABS(G368)&lt;0.5),"Coincide","DISCREPANCIA")</f>
        <v>DISCREPANCIA</v>
      </c>
    </row>
    <row r="369" customFormat="false" ht="15" hidden="false" customHeight="false" outlineLevel="0" collapsed="false">
      <c r="A369" s="10" t="s">
        <v>417</v>
      </c>
      <c r="B369" s="27" t="n">
        <f aca="false">K362+L362</f>
        <v>1770</v>
      </c>
      <c r="C369" s="24" t="n">
        <v>1770</v>
      </c>
      <c r="D369" s="27" t="n">
        <f aca="false">B369-C369</f>
        <v>0</v>
      </c>
      <c r="E369" s="27" t="n">
        <f aca="false">M362+N362</f>
        <v>1770</v>
      </c>
      <c r="F369" s="24" t="n">
        <v>1770</v>
      </c>
      <c r="G369" s="27" t="n">
        <f aca="false">E369-F369</f>
        <v>0</v>
      </c>
      <c r="H369" s="28" t="str">
        <f aca="false">IF(AND(ABS(D369)&lt;0.5,ABS(G369)&lt;0.5),"Coincide","DISCREPANCIA")</f>
        <v>Coincide</v>
      </c>
    </row>
    <row r="370" customFormat="false" ht="15" hidden="false" customHeight="false" outlineLevel="0" collapsed="false">
      <c r="A370" s="10" t="s">
        <v>418</v>
      </c>
      <c r="B370" s="27" t="n">
        <f aca="false">O362+P362</f>
        <v>1410</v>
      </c>
      <c r="C370" s="24" t="n">
        <v>1410</v>
      </c>
      <c r="D370" s="27" t="n">
        <f aca="false">B370-C370</f>
        <v>0</v>
      </c>
      <c r="E370" s="27" t="n">
        <f aca="false">Q362+R362</f>
        <v>1410</v>
      </c>
      <c r="F370" s="24" t="n">
        <v>1410</v>
      </c>
      <c r="G370" s="27" t="n">
        <f aca="false">E370-F370</f>
        <v>0</v>
      </c>
      <c r="H370" s="28" t="str">
        <f aca="false">IF(AND(ABS(D370)&lt;0.5,ABS(G370)&lt;0.5),"Coincide","DISCREPANCIA")</f>
        <v>Coincide</v>
      </c>
    </row>
    <row r="371" customFormat="false" ht="15" hidden="false" customHeight="false" outlineLevel="0" collapsed="false">
      <c r="A371" s="10" t="s">
        <v>419</v>
      </c>
      <c r="B371" s="27" t="n">
        <f aca="false">S362+T362</f>
        <v>43360</v>
      </c>
      <c r="C371" s="24" t="n">
        <v>43360</v>
      </c>
      <c r="D371" s="27" t="n">
        <f aca="false">B371-C371</f>
        <v>0</v>
      </c>
      <c r="E371" s="27" t="n">
        <f aca="false">U362+V362</f>
        <v>3840</v>
      </c>
      <c r="F371" s="24" t="n">
        <v>3840</v>
      </c>
      <c r="G371" s="27" t="n">
        <f aca="false">E371-F371</f>
        <v>0</v>
      </c>
      <c r="H371" s="28" t="str">
        <f aca="false">IF(AND(ABS(D371)&lt;0.5,ABS(G371)&lt;0.5),"Coincide","DISCREPANCIA")</f>
        <v>Coincide</v>
      </c>
    </row>
    <row r="373" customFormat="false" ht="15" hidden="false" customHeight="false" outlineLevel="0" collapsed="false">
      <c r="A373" s="17" t="s">
        <v>462</v>
      </c>
      <c r="B373" s="10" t="str">
        <f aca="false">INDEX($A$367:$A$370,MATCH(MIN($B$367:$B$370),$B$367:$B$370,0))</f>
        <v>RBI-2</v>
      </c>
      <c r="C373" s="10" t="s">
        <v>463</v>
      </c>
      <c r="D373" s="10" t="n">
        <f aca="false">COUNTIF($B$367:$B$370,MIN($B$367:$B$370))</f>
        <v>2</v>
      </c>
    </row>
    <row r="374" customFormat="false" ht="15" hidden="false" customHeight="false" outlineLevel="0" collapsed="false">
      <c r="A374" s="17" t="s">
        <v>464</v>
      </c>
      <c r="B374" s="10" t="str">
        <f aca="false">INDEX($A$367:$A$370,MATCH(MIN($E$367:$E$370),$E$367:$E$370,0))</f>
        <v>RBI-2</v>
      </c>
      <c r="C374" s="10" t="s">
        <v>463</v>
      </c>
      <c r="D374" s="10" t="n">
        <f aca="false">COUNTIF($E$367:$E$370,MIN($E$367:$E$370))</f>
        <v>2</v>
      </c>
    </row>
    <row r="375" customFormat="false" ht="15" hidden="false" customHeight="false" outlineLevel="0" collapsed="false">
      <c r="A375" s="10" t="s">
        <v>465</v>
      </c>
      <c r="B375" s="10" t="s">
        <v>466</v>
      </c>
    </row>
    <row r="376" customFormat="false" ht="15" hidden="false" customHeight="false" outlineLevel="0" collapsed="false">
      <c r="A376" s="17" t="s">
        <v>467</v>
      </c>
      <c r="B376" s="10" t="str">
        <f aca="false">IF(AND(MAX(B367:B370)&lt;B371,MAX(E367:E370)&lt;E371),"Sí","No")</f>
        <v>Sí</v>
      </c>
    </row>
    <row r="378" customFormat="false" ht="15" hidden="false" customHeight="false" outlineLevel="0" collapsed="false">
      <c r="A378" s="17" t="s">
        <v>468</v>
      </c>
    </row>
    <row r="379" customFormat="false" ht="41.75" hidden="false" customHeight="false" outlineLevel="0" collapsed="false">
      <c r="A379" s="9" t="s">
        <v>291</v>
      </c>
      <c r="B379" s="9" t="s">
        <v>292</v>
      </c>
      <c r="C379" s="9" t="s">
        <v>293</v>
      </c>
      <c r="D379" s="9" t="s">
        <v>469</v>
      </c>
      <c r="E379" s="9" t="s">
        <v>345</v>
      </c>
    </row>
    <row r="380" customFormat="false" ht="15" hidden="false" customHeight="false" outlineLevel="0" collapsed="false">
      <c r="A380" s="10" t="s">
        <v>470</v>
      </c>
      <c r="B380" s="27" t="n">
        <f aca="false">SUMPRODUCT(($B$328:$B$361&lt;=1)*$Y$328:$Y$361*$Z$328:$Z$361)</f>
        <v>30</v>
      </c>
      <c r="C380" s="27" t="n">
        <f aca="false">SUMPRODUCT(($B$328:$B$361&lt;=10)*$Y$328:$Y$361*$Z$328:$Z$361)</f>
        <v>5928.72292232519</v>
      </c>
      <c r="D380" s="27" t="n">
        <f aca="false">SUMPRODUCT(($B$328:$B$361&lt;=33)*$Y$328:$Y$361*$Z$328:$Z$361)</f>
        <v>10045.0607565473</v>
      </c>
      <c r="E380" s="10" t="s">
        <v>471</v>
      </c>
    </row>
    <row r="381" customFormat="false" ht="15" hidden="false" customHeight="false" outlineLevel="0" collapsed="false">
      <c r="A381" s="10" t="s">
        <v>472</v>
      </c>
      <c r="B381" s="27" t="n">
        <f aca="false">SUMPRODUCT(($B$328:$B$361&lt;=1)*$Y$328:$Y$361)</f>
        <v>30</v>
      </c>
      <c r="C381" s="27" t="n">
        <f aca="false">SUMPRODUCT(($B$328:$B$361&lt;=10)*$Y$328:$Y$361)</f>
        <v>10270</v>
      </c>
      <c r="D381" s="27" t="n">
        <f aca="false">SUMPRODUCT(($B$328:$B$361&lt;=33)*$Y$328:$Y$361)</f>
        <v>41950</v>
      </c>
    </row>
    <row r="382" customFormat="false" ht="15" hidden="false" customHeight="false" outlineLevel="0" collapsed="false">
      <c r="A382" s="10" t="s">
        <v>473</v>
      </c>
      <c r="B382" s="27" t="n">
        <f aca="false">SUMPRODUCT(($B$328:$B$361&lt;=1)*$X$328:$X$361*$Z$328:$Z$361)</f>
        <v>210</v>
      </c>
      <c r="C382" s="27" t="n">
        <f aca="false">SUMPRODUCT(($B$328:$B$361&lt;=10)*$X$328:$X$361*$Z$328:$Z$361)</f>
        <v>441.325973657719</v>
      </c>
      <c r="D382" s="27" t="n">
        <f aca="false">SUMPRODUCT(($B$328:$B$361&lt;=33)*$X$328:$X$361*$Z$328:$Z$361)</f>
        <v>487.092584324032</v>
      </c>
    </row>
    <row r="383" customFormat="false" ht="15" hidden="false" customHeight="false" outlineLevel="0" collapsed="false">
      <c r="A383" s="10" t="s">
        <v>474</v>
      </c>
      <c r="B383" s="27" t="n">
        <f aca="false">SUMPRODUCT(($B$328:$B$361&lt;=1)*$W$328:$W$361*$Z$328:$Z$361)</f>
        <v>240</v>
      </c>
      <c r="C383" s="27" t="n">
        <f aca="false">SUMPRODUCT(($B$328:$B$361&lt;=10)*$W$328:$W$361*$Z$328:$Z$361)</f>
        <v>6370.04889598291</v>
      </c>
      <c r="D383" s="27" t="n">
        <f aca="false">SUMPRODUCT(($B$328:$B$361&lt;=33)*$W$328:$W$361*$Z$328:$Z$361)</f>
        <v>10532.1533408713</v>
      </c>
    </row>
    <row r="384" customFormat="false" ht="15" hidden="false" customHeight="false" outlineLevel="0" collapsed="false">
      <c r="A384" s="10" t="s">
        <v>475</v>
      </c>
      <c r="B384" s="18" t="n">
        <f aca="false">IF(B382=0,"n/a",B383/B382)</f>
        <v>1.14285714285714</v>
      </c>
      <c r="C384" s="18" t="n">
        <f aca="false">IF(C382=0,"n/a",C383/C382)</f>
        <v>14.4338862342223</v>
      </c>
      <c r="D384" s="18" t="n">
        <f aca="false">IF(D382=0,"n/a",D383/D382)</f>
        <v>21.6224875512884</v>
      </c>
    </row>
    <row r="385" customFormat="false" ht="15" hidden="false" customHeight="false" outlineLevel="0" collapsed="false">
      <c r="A385" s="10" t="s">
        <v>476</v>
      </c>
      <c r="B385" s="20" t="n">
        <f aca="false">IF(B382=0,"n/a",B380/B382)</f>
        <v>0.142857142857143</v>
      </c>
      <c r="C385" s="20" t="n">
        <f aca="false">IF(C382=0,"n/a",C380/C382)</f>
        <v>13.4338862342223</v>
      </c>
      <c r="D385" s="20" t="n">
        <f aca="false">IF(D382=0,"n/a",D380/D382)</f>
        <v>20.6224875512884</v>
      </c>
    </row>
    <row r="386" customFormat="false" ht="15" hidden="false" customHeight="false" outlineLevel="0" collapsed="false">
      <c r="A386" s="10" t="s">
        <v>477</v>
      </c>
      <c r="B386" s="22" t="n">
        <f aca="false">IFERROR(INDEX($A$328:$A$361,MATCH(1,$AE$328:$AE$361,0)),"no recupera")</f>
        <v>2023</v>
      </c>
    </row>
    <row r="388" customFormat="false" ht="15" hidden="false" customHeight="false" outlineLevel="0" collapsed="false">
      <c r="A388" s="10" t="s">
        <v>478</v>
      </c>
    </row>
    <row r="391" customFormat="false" ht="15" hidden="false" customHeight="false" outlineLevel="0" collapsed="false">
      <c r="A391" s="3" t="s">
        <v>479</v>
      </c>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customFormat="false" ht="60" hidden="false" customHeight="true" outlineLevel="0" collapsed="false">
      <c r="A392" s="5" t="s">
        <v>480</v>
      </c>
      <c r="B392" s="5"/>
      <c r="C392" s="5"/>
      <c r="D392" s="5"/>
      <c r="E392" s="5"/>
      <c r="F392" s="5"/>
      <c r="G392" s="5"/>
      <c r="H392" s="5"/>
      <c r="I392" s="5"/>
      <c r="J392" s="5"/>
      <c r="K392" s="5"/>
      <c r="L392" s="5"/>
      <c r="M392" s="5"/>
      <c r="N392" s="5"/>
      <c r="O392" s="5"/>
      <c r="P392" s="5"/>
    </row>
    <row r="394" customFormat="false" ht="42" hidden="false" customHeight="true" outlineLevel="0" collapsed="false">
      <c r="A394" s="9" t="s">
        <v>23</v>
      </c>
      <c r="B394" s="9" t="s">
        <v>24</v>
      </c>
      <c r="C394" s="9" t="s">
        <v>25</v>
      </c>
      <c r="D394" s="9" t="s">
        <v>481</v>
      </c>
      <c r="E394" s="9" t="s">
        <v>27</v>
      </c>
    </row>
    <row r="395" customFormat="false" ht="15" hidden="false" customHeight="false" outlineLevel="0" collapsed="false">
      <c r="A395" s="10" t="s">
        <v>482</v>
      </c>
      <c r="B395" s="11" t="n">
        <v>4000</v>
      </c>
      <c r="C395" s="10" t="s">
        <v>483</v>
      </c>
      <c r="D395" s="10" t="s">
        <v>484</v>
      </c>
      <c r="E395" s="10" t="s">
        <v>86</v>
      </c>
    </row>
    <row r="396" customFormat="false" ht="15" hidden="false" customHeight="false" outlineLevel="0" collapsed="false">
      <c r="A396" s="10" t="s">
        <v>485</v>
      </c>
      <c r="B396" s="11" t="n">
        <v>10000</v>
      </c>
      <c r="C396" s="10" t="s">
        <v>486</v>
      </c>
      <c r="D396" s="10" t="s">
        <v>487</v>
      </c>
      <c r="E396" s="10" t="s">
        <v>86</v>
      </c>
    </row>
    <row r="397" customFormat="false" ht="15" hidden="false" customHeight="false" outlineLevel="0" collapsed="false">
      <c r="A397" s="10" t="s">
        <v>488</v>
      </c>
      <c r="B397" s="11" t="n">
        <v>0.1</v>
      </c>
      <c r="C397" s="10" t="s">
        <v>489</v>
      </c>
      <c r="D397" s="10" t="s">
        <v>484</v>
      </c>
      <c r="E397" s="10" t="s">
        <v>86</v>
      </c>
    </row>
    <row r="398" customFormat="false" ht="15" hidden="false" customHeight="false" outlineLevel="0" collapsed="false">
      <c r="A398" s="10" t="s">
        <v>88</v>
      </c>
      <c r="B398" s="10" t="n">
        <f aca="false">prod_dia</f>
        <v>40000</v>
      </c>
      <c r="C398" s="10" t="s">
        <v>89</v>
      </c>
      <c r="D398" s="10" t="s">
        <v>490</v>
      </c>
      <c r="E398" s="10" t="s">
        <v>91</v>
      </c>
    </row>
    <row r="399" customFormat="false" ht="15" hidden="false" customHeight="false" outlineLevel="0" collapsed="false">
      <c r="A399" s="10" t="s">
        <v>491</v>
      </c>
      <c r="B399" s="14" t="n">
        <v>50</v>
      </c>
      <c r="C399" s="10" t="s">
        <v>492</v>
      </c>
      <c r="D399" s="10" t="s">
        <v>493</v>
      </c>
      <c r="E399" s="10" t="s">
        <v>35</v>
      </c>
    </row>
    <row r="400" customFormat="false" ht="15" hidden="false" customHeight="false" outlineLevel="0" collapsed="false">
      <c r="A400" s="10" t="s">
        <v>494</v>
      </c>
      <c r="B400" s="14" t="n">
        <v>80</v>
      </c>
      <c r="C400" s="10" t="s">
        <v>492</v>
      </c>
      <c r="D400" s="10" t="s">
        <v>495</v>
      </c>
      <c r="E400" s="10" t="s">
        <v>35</v>
      </c>
    </row>
    <row r="401" customFormat="false" ht="15" hidden="false" customHeight="false" outlineLevel="0" collapsed="false">
      <c r="A401" s="10" t="s">
        <v>140</v>
      </c>
      <c r="B401" s="14" t="n">
        <v>10</v>
      </c>
      <c r="C401" s="10" t="s">
        <v>496</v>
      </c>
      <c r="D401" s="10" t="s">
        <v>497</v>
      </c>
      <c r="E401" s="10" t="s">
        <v>35</v>
      </c>
    </row>
    <row r="402" customFormat="false" ht="15" hidden="false" customHeight="false" outlineLevel="0" collapsed="false">
      <c r="A402" s="10" t="s">
        <v>498</v>
      </c>
      <c r="B402" s="14" t="n">
        <v>0</v>
      </c>
      <c r="C402" s="10" t="s">
        <v>79</v>
      </c>
      <c r="D402" s="10" t="s">
        <v>499</v>
      </c>
      <c r="E402" s="10" t="s">
        <v>31</v>
      </c>
    </row>
    <row r="403" customFormat="false" ht="15" hidden="false" customHeight="false" outlineLevel="0" collapsed="false">
      <c r="A403" s="10" t="s">
        <v>194</v>
      </c>
      <c r="B403" s="21" t="n">
        <v>3.06E-005</v>
      </c>
      <c r="C403" s="10" t="s">
        <v>500</v>
      </c>
      <c r="D403" s="10" t="s">
        <v>501</v>
      </c>
      <c r="E403" s="10" t="s">
        <v>502</v>
      </c>
    </row>
    <row r="404" customFormat="false" ht="15" hidden="false" customHeight="false" outlineLevel="0" collapsed="false">
      <c r="A404" s="10" t="s">
        <v>503</v>
      </c>
      <c r="B404" s="11" t="n">
        <v>750</v>
      </c>
      <c r="C404" s="10" t="s">
        <v>42</v>
      </c>
      <c r="D404" s="10" t="s">
        <v>504</v>
      </c>
      <c r="E404" s="10" t="s">
        <v>86</v>
      </c>
    </row>
    <row r="405" customFormat="false" ht="15" hidden="false" customHeight="false" outlineLevel="0" collapsed="false">
      <c r="A405" s="10" t="s">
        <v>195</v>
      </c>
      <c r="B405" s="36" t="n">
        <f aca="false">10^(-0.02*(ex_score/10)+1)</f>
        <v>0.316227766016838</v>
      </c>
      <c r="C405" s="10" t="s">
        <v>45</v>
      </c>
      <c r="D405" s="10" t="s">
        <v>505</v>
      </c>
      <c r="E405" s="10" t="s">
        <v>47</v>
      </c>
    </row>
    <row r="406" customFormat="false" ht="15" hidden="false" customHeight="false" outlineLevel="0" collapsed="false">
      <c r="A406" s="10" t="s">
        <v>506</v>
      </c>
      <c r="B406" s="11" t="n">
        <v>1</v>
      </c>
      <c r="C406" s="10" t="s">
        <v>45</v>
      </c>
      <c r="D406" s="10" t="s">
        <v>507</v>
      </c>
      <c r="E406" s="10" t="s">
        <v>508</v>
      </c>
    </row>
    <row r="407" customFormat="false" ht="15" hidden="false" customHeight="false" outlineLevel="0" collapsed="false">
      <c r="A407" s="10" t="s">
        <v>509</v>
      </c>
      <c r="B407" s="37" t="n">
        <f aca="false">th_p3</f>
        <v>30</v>
      </c>
      <c r="C407" s="10" t="s">
        <v>45</v>
      </c>
      <c r="D407" s="10" t="s">
        <v>510</v>
      </c>
      <c r="E407" s="10" t="s">
        <v>511</v>
      </c>
    </row>
    <row r="408" customFormat="false" ht="15" hidden="false" customHeight="false" outlineLevel="0" collapsed="false">
      <c r="A408" s="10" t="s">
        <v>512</v>
      </c>
      <c r="B408" s="11" t="n">
        <v>2033</v>
      </c>
      <c r="C408" s="10" t="s">
        <v>29</v>
      </c>
      <c r="D408" s="10" t="s">
        <v>513</v>
      </c>
      <c r="E408" s="10" t="s">
        <v>86</v>
      </c>
    </row>
    <row r="409" customFormat="false" ht="15" hidden="false" customHeight="false" outlineLevel="0" collapsed="false">
      <c r="A409" s="10" t="s">
        <v>514</v>
      </c>
      <c r="B409" s="14" t="n">
        <v>1</v>
      </c>
      <c r="C409" s="10" t="s">
        <v>45</v>
      </c>
      <c r="D409" s="10" t="s">
        <v>515</v>
      </c>
      <c r="E409" s="10" t="s">
        <v>31</v>
      </c>
    </row>
    <row r="410" customFormat="false" ht="15" hidden="false" customHeight="false" outlineLevel="0" collapsed="false">
      <c r="A410" s="10" t="s">
        <v>516</v>
      </c>
      <c r="B410" s="11" t="n">
        <v>17</v>
      </c>
      <c r="C410" s="10" t="s">
        <v>517</v>
      </c>
      <c r="D410" s="10" t="s">
        <v>518</v>
      </c>
      <c r="E410" s="10" t="s">
        <v>86</v>
      </c>
    </row>
    <row r="411" customFormat="false" ht="15" hidden="false" customHeight="false" outlineLevel="0" collapsed="false">
      <c r="A411" s="10" t="s">
        <v>32</v>
      </c>
      <c r="B411" s="38" t="n">
        <f aca="false">r_o</f>
        <v>0.1</v>
      </c>
      <c r="C411" s="10" t="s">
        <v>104</v>
      </c>
      <c r="D411" s="10" t="s">
        <v>519</v>
      </c>
      <c r="E411" s="10" t="s">
        <v>31</v>
      </c>
    </row>
    <row r="413" customFormat="false" ht="42" hidden="false" customHeight="true" outlineLevel="0" collapsed="false">
      <c r="A413" s="9" t="s">
        <v>520</v>
      </c>
      <c r="B413" s="9" t="s">
        <v>24</v>
      </c>
      <c r="C413" s="9" t="s">
        <v>25</v>
      </c>
      <c r="D413" s="9" t="s">
        <v>521</v>
      </c>
      <c r="E413" s="9" t="s">
        <v>27</v>
      </c>
    </row>
    <row r="414" customFormat="false" ht="15" hidden="false" customHeight="false" outlineLevel="0" collapsed="false">
      <c r="A414" s="10" t="s">
        <v>200</v>
      </c>
      <c r="B414" s="27" t="n">
        <f aca="false">ex_cacmd*ex_crepl</f>
        <v>200000</v>
      </c>
      <c r="C414" s="10" t="s">
        <v>79</v>
      </c>
      <c r="D414" s="10" t="s">
        <v>522</v>
      </c>
      <c r="E414" s="10" t="s">
        <v>523</v>
      </c>
    </row>
    <row r="415" customFormat="false" ht="15" hidden="false" customHeight="false" outlineLevel="0" collapsed="false">
      <c r="A415" s="10" t="s">
        <v>524</v>
      </c>
      <c r="B415" s="27" t="n">
        <f aca="false">ex_cainj*ex_rho*ex_cinj</f>
        <v>80000</v>
      </c>
      <c r="C415" s="10" t="s">
        <v>79</v>
      </c>
      <c r="D415" s="10" t="s">
        <v>525</v>
      </c>
      <c r="E415" s="10" t="s">
        <v>523</v>
      </c>
    </row>
    <row r="416" customFormat="false" ht="15" hidden="false" customHeight="false" outlineLevel="0" collapsed="false">
      <c r="A416" s="10" t="s">
        <v>202</v>
      </c>
      <c r="B416" s="27" t="n">
        <f aca="false">ex_dias*ex_prod</f>
        <v>400000</v>
      </c>
      <c r="C416" s="10" t="s">
        <v>79</v>
      </c>
      <c r="D416" s="10" t="s">
        <v>526</v>
      </c>
      <c r="E416" s="10" t="s">
        <v>523</v>
      </c>
    </row>
    <row r="417" customFormat="false" ht="15" hidden="false" customHeight="false" outlineLevel="0" collapsed="false">
      <c r="A417" s="10" t="s">
        <v>498</v>
      </c>
      <c r="B417" s="27" t="n">
        <f aca="false">ex_affa</f>
        <v>0</v>
      </c>
      <c r="C417" s="10" t="s">
        <v>79</v>
      </c>
      <c r="D417" s="10" t="s">
        <v>527</v>
      </c>
      <c r="E417" s="10" t="s">
        <v>523</v>
      </c>
    </row>
    <row r="418" customFormat="false" ht="15" hidden="false" customHeight="false" outlineLevel="0" collapsed="false">
      <c r="A418" s="10" t="s">
        <v>528</v>
      </c>
      <c r="B418" s="27" t="n">
        <f aca="false">ex_fccmd+ex_lse+ex_fcprod+ex_fcoth</f>
        <v>680000</v>
      </c>
      <c r="C418" s="10" t="s">
        <v>79</v>
      </c>
      <c r="D418" s="10" t="s">
        <v>529</v>
      </c>
      <c r="E418" s="10" t="s">
        <v>523</v>
      </c>
    </row>
    <row r="419" customFormat="false" ht="15" hidden="false" customHeight="false" outlineLevel="0" collapsed="false">
      <c r="A419" s="10" t="s">
        <v>530</v>
      </c>
      <c r="B419" s="27" t="str">
        <f aca="false">CHOOSE(1+(ex_fc&gt;th_a)+(ex_fc&gt;th_b)+(ex_fc&gt;th_c)+(ex_fc&gt;th_d),"A","B","C","D","E")</f>
        <v>C</v>
      </c>
      <c r="C419" s="10" t="s">
        <v>45</v>
      </c>
      <c r="D419" s="10" t="s">
        <v>531</v>
      </c>
      <c r="E419" s="10" t="s">
        <v>523</v>
      </c>
    </row>
    <row r="420" customFormat="false" ht="15" hidden="false" customHeight="false" outlineLevel="0" collapsed="false">
      <c r="A420" s="10" t="s">
        <v>532</v>
      </c>
      <c r="B420" s="39" t="n">
        <f aca="false">(ex_dlim/ex_df0)^(1/(ex_ylim-o_base))-1</f>
        <v>0.405115826483646</v>
      </c>
      <c r="C420" s="10" t="s">
        <v>500</v>
      </c>
      <c r="D420" s="10" t="s">
        <v>533</v>
      </c>
      <c r="E420" s="10" t="s">
        <v>523</v>
      </c>
    </row>
    <row r="421" customFormat="false" ht="15" hidden="false" customHeight="false" outlineLevel="0" collapsed="false">
      <c r="A421" s="10" t="s">
        <v>534</v>
      </c>
      <c r="B421" s="39" t="n">
        <f aca="false">ex_dlim/(1+ex_g)^ex_intB</f>
        <v>0.0924730371557394</v>
      </c>
      <c r="C421" s="10" t="s">
        <v>45</v>
      </c>
      <c r="D421" s="10" t="s">
        <v>535</v>
      </c>
      <c r="E421" s="10" t="s">
        <v>523</v>
      </c>
    </row>
    <row r="423" customFormat="false" ht="42" hidden="false" customHeight="true" outlineLevel="0" collapsed="false">
      <c r="A423" s="9" t="s">
        <v>158</v>
      </c>
      <c r="B423" s="9" t="s">
        <v>159</v>
      </c>
      <c r="C423" s="9" t="s">
        <v>536</v>
      </c>
      <c r="D423" s="9" t="s">
        <v>537</v>
      </c>
      <c r="E423" s="9" t="s">
        <v>538</v>
      </c>
      <c r="F423" s="9" t="s">
        <v>539</v>
      </c>
      <c r="G423" s="9" t="s">
        <v>540</v>
      </c>
      <c r="H423" s="9" t="s">
        <v>541</v>
      </c>
      <c r="I423" s="9" t="s">
        <v>542</v>
      </c>
      <c r="J423" s="9" t="s">
        <v>543</v>
      </c>
      <c r="K423" s="9" t="s">
        <v>544</v>
      </c>
      <c r="L423" s="9" t="s">
        <v>545</v>
      </c>
      <c r="M423" s="9" t="s">
        <v>546</v>
      </c>
      <c r="N423" s="9" t="s">
        <v>547</v>
      </c>
      <c r="O423" s="9" t="s">
        <v>548</v>
      </c>
      <c r="P423" s="9" t="s">
        <v>549</v>
      </c>
      <c r="Q423" s="9" t="s">
        <v>550</v>
      </c>
      <c r="R423" s="9" t="s">
        <v>551</v>
      </c>
      <c r="S423" s="9" t="s">
        <v>552</v>
      </c>
      <c r="T423" s="9" t="s">
        <v>447</v>
      </c>
      <c r="U423" s="9" t="s">
        <v>553</v>
      </c>
      <c r="V423" s="9" t="s">
        <v>554</v>
      </c>
      <c r="W423" s="9" t="s">
        <v>452</v>
      </c>
      <c r="X423" s="9" t="s">
        <v>555</v>
      </c>
      <c r="Y423" s="9" t="s">
        <v>556</v>
      </c>
    </row>
    <row r="424" customFormat="false" ht="15" hidden="false" customHeight="false" outlineLevel="0" collapsed="false">
      <c r="A424" s="22" t="n">
        <v>2023</v>
      </c>
      <c r="B424" s="10" t="n">
        <f aca="false">A424-o_base</f>
        <v>0</v>
      </c>
      <c r="C424" s="18" t="n">
        <f aca="false">ex_df0*(1+ex_g)^B424</f>
        <v>1</v>
      </c>
      <c r="D424" s="18" t="n">
        <f aca="false">ex_df0</f>
        <v>1</v>
      </c>
      <c r="E424" s="26" t="n">
        <f aca="false">ex_df0</f>
        <v>1</v>
      </c>
      <c r="F424" s="25" t="n">
        <f aca="false">ex_gff*C424*ex_fms</f>
        <v>9.67656964011524E-006</v>
      </c>
      <c r="G424" s="25" t="n">
        <f aca="false">ex_gff*D424*ex_fms</f>
        <v>9.67656964011524E-006</v>
      </c>
      <c r="H424" s="25" t="n">
        <f aca="false">ex_gff*E424*ex_fms</f>
        <v>9.67656964011524E-006</v>
      </c>
      <c r="I424" s="27" t="n">
        <f aca="false">F424*ex_fc</f>
        <v>6.58006735527836</v>
      </c>
      <c r="J424" s="27" t="n">
        <f aca="false">G424*ex_fc</f>
        <v>6.58006735527836</v>
      </c>
      <c r="K424" s="27" t="n">
        <f aca="false">H424*ex_fc</f>
        <v>6.58006735527836</v>
      </c>
      <c r="L424" s="27" t="n">
        <f aca="false">J424-K424</f>
        <v>0</v>
      </c>
      <c r="M424" s="27" t="n">
        <f aca="false">$S$328</f>
        <v>240</v>
      </c>
      <c r="N424" s="27" t="n">
        <f aca="false">$T$328</f>
        <v>0</v>
      </c>
      <c r="O424" s="27" t="n">
        <f aca="false">$G$328</f>
        <v>210</v>
      </c>
      <c r="P424" s="27" t="n">
        <f aca="false">$H$328</f>
        <v>0</v>
      </c>
      <c r="Q424" s="27" t="n">
        <f aca="false">M424-O424</f>
        <v>30</v>
      </c>
      <c r="R424" s="27" t="n">
        <f aca="false">N424-P424</f>
        <v>0</v>
      </c>
      <c r="S424" s="27" t="n">
        <f aca="false">L424+Q424+R424</f>
        <v>30</v>
      </c>
      <c r="T424" s="32" t="n">
        <f aca="false">1/(1+ex_r)^B424</f>
        <v>1</v>
      </c>
      <c r="U424" s="27" t="n">
        <f aca="false">S424*T424</f>
        <v>30</v>
      </c>
      <c r="V424" s="27" t="n">
        <f aca="false">U424</f>
        <v>30</v>
      </c>
      <c r="W424" s="10" t="n">
        <f aca="false">IF(MIN(V424:V$437)&gt;=0,1,0)</f>
        <v>1</v>
      </c>
      <c r="X424" s="27" t="n">
        <f aca="false">(MAX(L424,0)+MAX(Q424,0)+MAX(R424,0))*T424</f>
        <v>30</v>
      </c>
      <c r="Y424" s="27" t="n">
        <f aca="false">-(MIN(L424,0)+MIN(Q424,0)+MIN(R424,0))*T424</f>
        <v>-0</v>
      </c>
    </row>
    <row r="425" customFormat="false" ht="15" hidden="false" customHeight="false" outlineLevel="0" collapsed="false">
      <c r="A425" s="22" t="n">
        <v>2024</v>
      </c>
      <c r="B425" s="10" t="n">
        <f aca="false">A425-o_base</f>
        <v>1</v>
      </c>
      <c r="C425" s="18" t="n">
        <f aca="false">ex_df0*(1+ex_g)^B425</f>
        <v>1.40511582648365</v>
      </c>
      <c r="D425" s="18" t="n">
        <f aca="false">IF(N425&gt;0,ex_dftbi,D424*(1+ex_g))</f>
        <v>1.40511582648365</v>
      </c>
      <c r="E425" s="26" t="n">
        <f aca="false">IF(O425&gt;0,ex_dfb,E424*(1+ex_g))</f>
        <v>1.40511582648365</v>
      </c>
      <c r="F425" s="25" t="n">
        <f aca="false">ex_gff*C425*ex_fms</f>
        <v>1.35967011473971E-005</v>
      </c>
      <c r="G425" s="25" t="n">
        <f aca="false">ex_gff*D425*ex_fms</f>
        <v>1.35967011473971E-005</v>
      </c>
      <c r="H425" s="25" t="n">
        <f aca="false">ex_gff*E425*ex_fms</f>
        <v>1.35967011473971E-005</v>
      </c>
      <c r="I425" s="27" t="n">
        <f aca="false">F425*ex_fc</f>
        <v>9.24575678023002</v>
      </c>
      <c r="J425" s="27" t="n">
        <f aca="false">G425*ex_fc</f>
        <v>9.24575678023002</v>
      </c>
      <c r="K425" s="27" t="n">
        <f aca="false">H425*ex_fc</f>
        <v>9.24575678023002</v>
      </c>
      <c r="L425" s="27" t="n">
        <f aca="false">J425-K425</f>
        <v>0</v>
      </c>
      <c r="M425" s="27" t="n">
        <f aca="false">$S$329</f>
        <v>0</v>
      </c>
      <c r="N425" s="27" t="n">
        <f aca="false">$T$329</f>
        <v>0</v>
      </c>
      <c r="O425" s="27" t="n">
        <f aca="false">$G$329</f>
        <v>0</v>
      </c>
      <c r="P425" s="27" t="n">
        <f aca="false">$H$329</f>
        <v>0</v>
      </c>
      <c r="Q425" s="27" t="n">
        <f aca="false">M425-O425</f>
        <v>0</v>
      </c>
      <c r="R425" s="27" t="n">
        <f aca="false">N425-P425</f>
        <v>0</v>
      </c>
      <c r="S425" s="27" t="n">
        <f aca="false">L425+Q425+R425</f>
        <v>0</v>
      </c>
      <c r="T425" s="32" t="n">
        <f aca="false">1/(1+ex_r)^B425</f>
        <v>0.909090909090909</v>
      </c>
      <c r="U425" s="27" t="n">
        <f aca="false">S425*T425</f>
        <v>0</v>
      </c>
      <c r="V425" s="27" t="n">
        <f aca="false">V424+U425</f>
        <v>30</v>
      </c>
      <c r="W425" s="10" t="n">
        <f aca="false">IF(MIN(V425:V$437)&gt;=0,1,0)</f>
        <v>1</v>
      </c>
      <c r="X425" s="27" t="n">
        <f aca="false">(MAX(L425,0)+MAX(Q425,0)+MAX(R425,0))*T425</f>
        <v>0</v>
      </c>
      <c r="Y425" s="27" t="n">
        <f aca="false">-(MIN(L425,0)+MIN(Q425,0)+MIN(R425,0))*T425</f>
        <v>-0</v>
      </c>
    </row>
    <row r="426" customFormat="false" ht="15" hidden="false" customHeight="false" outlineLevel="0" collapsed="false">
      <c r="A426" s="22" t="n">
        <v>2025</v>
      </c>
      <c r="B426" s="10" t="n">
        <f aca="false">A426-o_base</f>
        <v>2</v>
      </c>
      <c r="C426" s="18" t="n">
        <f aca="false">ex_df0*(1+ex_g)^B426</f>
        <v>1.97435048583482</v>
      </c>
      <c r="D426" s="18" t="n">
        <f aca="false">IF(N426&gt;0,ex_dftbi,D425*(1+ex_g))</f>
        <v>1.97435048583482</v>
      </c>
      <c r="E426" s="26" t="n">
        <f aca="false">IF(O426&gt;0,ex_dfb,E425*(1+ex_g))</f>
        <v>1.97435048583482</v>
      </c>
      <c r="F426" s="25" t="n">
        <f aca="false">ex_gff*C426*ex_fms</f>
        <v>1.9104939970176E-005</v>
      </c>
      <c r="G426" s="25" t="n">
        <f aca="false">ex_gff*D426*ex_fms</f>
        <v>1.9104939970176E-005</v>
      </c>
      <c r="H426" s="25" t="n">
        <f aca="false">ex_gff*E426*ex_fms</f>
        <v>1.9104939970176E-005</v>
      </c>
      <c r="I426" s="27" t="n">
        <f aca="false">F426*ex_fc</f>
        <v>12.9913591797197</v>
      </c>
      <c r="J426" s="27" t="n">
        <f aca="false">G426*ex_fc</f>
        <v>12.9913591797197</v>
      </c>
      <c r="K426" s="27" t="n">
        <f aca="false">H426*ex_fc</f>
        <v>12.9913591797197</v>
      </c>
      <c r="L426" s="27" t="n">
        <f aca="false">J426-K426</f>
        <v>0</v>
      </c>
      <c r="M426" s="27" t="n">
        <f aca="false">$S$330</f>
        <v>0</v>
      </c>
      <c r="N426" s="27" t="n">
        <f aca="false">$T$330</f>
        <v>0</v>
      </c>
      <c r="O426" s="27" t="n">
        <f aca="false">$G$330</f>
        <v>0</v>
      </c>
      <c r="P426" s="27" t="n">
        <f aca="false">$H$330</f>
        <v>0</v>
      </c>
      <c r="Q426" s="27" t="n">
        <f aca="false">M426-O426</f>
        <v>0</v>
      </c>
      <c r="R426" s="27" t="n">
        <f aca="false">N426-P426</f>
        <v>0</v>
      </c>
      <c r="S426" s="27" t="n">
        <f aca="false">L426+Q426+R426</f>
        <v>0</v>
      </c>
      <c r="T426" s="32" t="n">
        <f aca="false">1/(1+ex_r)^B426</f>
        <v>0.826446280991735</v>
      </c>
      <c r="U426" s="27" t="n">
        <f aca="false">S426*T426</f>
        <v>0</v>
      </c>
      <c r="V426" s="27" t="n">
        <f aca="false">V425+U426</f>
        <v>30</v>
      </c>
      <c r="W426" s="10" t="n">
        <f aca="false">IF(MIN(V426:V$437)&gt;=0,1,0)</f>
        <v>1</v>
      </c>
      <c r="X426" s="27" t="n">
        <f aca="false">(MAX(L426,0)+MAX(Q426,0)+MAX(R426,0))*T426</f>
        <v>0</v>
      </c>
      <c r="Y426" s="27" t="n">
        <f aca="false">-(MIN(L426,0)+MIN(Q426,0)+MIN(R426,0))*T426</f>
        <v>-0</v>
      </c>
    </row>
    <row r="427" customFormat="false" ht="15" hidden="false" customHeight="false" outlineLevel="0" collapsed="false">
      <c r="A427" s="22" t="n">
        <v>2026</v>
      </c>
      <c r="B427" s="10" t="n">
        <f aca="false">A427-o_base</f>
        <v>3</v>
      </c>
      <c r="C427" s="18" t="n">
        <f aca="false">ex_df0*(1+ex_g)^B427</f>
        <v>2.77419111467218</v>
      </c>
      <c r="D427" s="18" t="n">
        <f aca="false">IF(N427&gt;0,ex_dftbi,D426*(1+ex_g))</f>
        <v>2.77419111467218</v>
      </c>
      <c r="E427" s="26" t="n">
        <f aca="false">IF(O427&gt;0,ex_dfb,E426*(1+ex_g))</f>
        <v>2.77419111467218</v>
      </c>
      <c r="F427" s="25" t="n">
        <f aca="false">ex_gff*C427*ex_fms</f>
        <v>2.68446535161143E-005</v>
      </c>
      <c r="G427" s="25" t="n">
        <f aca="false">ex_gff*D427*ex_fms</f>
        <v>2.68446535161143E-005</v>
      </c>
      <c r="H427" s="25" t="n">
        <f aca="false">ex_gff*E427*ex_fms</f>
        <v>2.68446535161143E-005</v>
      </c>
      <c r="I427" s="27" t="n">
        <f aca="false">F427*ex_fc</f>
        <v>18.2543643909577</v>
      </c>
      <c r="J427" s="27" t="n">
        <f aca="false">G427*ex_fc</f>
        <v>18.2543643909577</v>
      </c>
      <c r="K427" s="27" t="n">
        <f aca="false">H427*ex_fc</f>
        <v>18.2543643909577</v>
      </c>
      <c r="L427" s="27" t="n">
        <f aca="false">J427-K427</f>
        <v>0</v>
      </c>
      <c r="M427" s="27" t="n">
        <f aca="false">$S$331</f>
        <v>240</v>
      </c>
      <c r="N427" s="27" t="n">
        <f aca="false">$T$331</f>
        <v>0</v>
      </c>
      <c r="O427" s="27" t="n">
        <f aca="false">$G$331</f>
        <v>0</v>
      </c>
      <c r="P427" s="27" t="n">
        <f aca="false">$H$331</f>
        <v>0</v>
      </c>
      <c r="Q427" s="27" t="n">
        <f aca="false">M427-O427</f>
        <v>240</v>
      </c>
      <c r="R427" s="27" t="n">
        <f aca="false">N427-P427</f>
        <v>0</v>
      </c>
      <c r="S427" s="27" t="n">
        <f aca="false">L427+Q427+R427</f>
        <v>240</v>
      </c>
      <c r="T427" s="32" t="n">
        <f aca="false">1/(1+ex_r)^B427</f>
        <v>0.751314800901578</v>
      </c>
      <c r="U427" s="27" t="n">
        <f aca="false">S427*T427</f>
        <v>180.315552216379</v>
      </c>
      <c r="V427" s="27" t="n">
        <f aca="false">V426+U427</f>
        <v>210.315552216379</v>
      </c>
      <c r="W427" s="10" t="n">
        <f aca="false">IF(MIN(V427:V$437)&gt;=0,1,0)</f>
        <v>1</v>
      </c>
      <c r="X427" s="27" t="n">
        <f aca="false">(MAX(L427,0)+MAX(Q427,0)+MAX(R427,0))*T427</f>
        <v>180.315552216379</v>
      </c>
      <c r="Y427" s="27" t="n">
        <f aca="false">-(MIN(L427,0)+MIN(Q427,0)+MIN(R427,0))*T427</f>
        <v>-0</v>
      </c>
    </row>
    <row r="428" customFormat="false" ht="15" hidden="false" customHeight="false" outlineLevel="0" collapsed="false">
      <c r="A428" s="22" t="n">
        <v>2027</v>
      </c>
      <c r="B428" s="10" t="n">
        <f aca="false">A428-o_base</f>
        <v>4</v>
      </c>
      <c r="C428" s="18" t="n">
        <f aca="false">ex_df0*(1+ex_g)^B428</f>
        <v>3.89805984091619</v>
      </c>
      <c r="D428" s="18" t="n">
        <f aca="false">IF(N428&gt;0,ex_dftbi,D427*(1+ex_g))</f>
        <v>3.89805984091619</v>
      </c>
      <c r="E428" s="26" t="n">
        <f aca="false">IF(O428&gt;0,ex_dfb,E427*(1+ex_g))</f>
        <v>3.89805984091619</v>
      </c>
      <c r="F428" s="25" t="n">
        <f aca="false">ex_gff*C428*ex_fms</f>
        <v>3.7719847511962E-005</v>
      </c>
      <c r="G428" s="25" t="n">
        <f aca="false">ex_gff*D428*ex_fms</f>
        <v>3.7719847511962E-005</v>
      </c>
      <c r="H428" s="25" t="n">
        <f aca="false">ex_gff*E428*ex_fms</f>
        <v>3.7719847511962E-005</v>
      </c>
      <c r="I428" s="27" t="n">
        <f aca="false">F428*ex_fc</f>
        <v>25.6494963081342</v>
      </c>
      <c r="J428" s="27" t="n">
        <f aca="false">G428*ex_fc</f>
        <v>25.6494963081342</v>
      </c>
      <c r="K428" s="27" t="n">
        <f aca="false">H428*ex_fc</f>
        <v>25.6494963081342</v>
      </c>
      <c r="L428" s="27" t="n">
        <f aca="false">J428-K428</f>
        <v>0</v>
      </c>
      <c r="M428" s="27" t="n">
        <f aca="false">$S$332</f>
        <v>0</v>
      </c>
      <c r="N428" s="27" t="n">
        <f aca="false">$T$332</f>
        <v>0</v>
      </c>
      <c r="O428" s="27" t="n">
        <f aca="false">$G$332</f>
        <v>0</v>
      </c>
      <c r="P428" s="27" t="n">
        <f aca="false">$H$332</f>
        <v>0</v>
      </c>
      <c r="Q428" s="27" t="n">
        <f aca="false">M428-O428</f>
        <v>0</v>
      </c>
      <c r="R428" s="27" t="n">
        <f aca="false">N428-P428</f>
        <v>0</v>
      </c>
      <c r="S428" s="27" t="n">
        <f aca="false">L428+Q428+R428</f>
        <v>0</v>
      </c>
      <c r="T428" s="32" t="n">
        <f aca="false">1/(1+ex_r)^B428</f>
        <v>0.683013455365071</v>
      </c>
      <c r="U428" s="27" t="n">
        <f aca="false">S428*T428</f>
        <v>0</v>
      </c>
      <c r="V428" s="27" t="n">
        <f aca="false">V427+U428</f>
        <v>210.315552216379</v>
      </c>
      <c r="W428" s="10" t="n">
        <f aca="false">IF(MIN(V428:V$437)&gt;=0,1,0)</f>
        <v>1</v>
      </c>
      <c r="X428" s="27" t="n">
        <f aca="false">(MAX(L428,0)+MAX(Q428,0)+MAX(R428,0))*T428</f>
        <v>0</v>
      </c>
      <c r="Y428" s="27" t="n">
        <f aca="false">-(MIN(L428,0)+MIN(Q428,0)+MIN(R428,0))*T428</f>
        <v>-0</v>
      </c>
    </row>
    <row r="429" customFormat="false" ht="15" hidden="false" customHeight="false" outlineLevel="0" collapsed="false">
      <c r="A429" s="22" t="n">
        <v>2028</v>
      </c>
      <c r="B429" s="10" t="n">
        <f aca="false">A429-o_base</f>
        <v>5</v>
      </c>
      <c r="C429" s="18" t="n">
        <f aca="false">ex_df0*(1+ex_g)^B429</f>
        <v>5.47722557505166</v>
      </c>
      <c r="D429" s="18" t="n">
        <f aca="false">IF(N429&gt;0,ex_dftbi,D428*(1+ex_g))</f>
        <v>5.47722557505166</v>
      </c>
      <c r="E429" s="26" t="n">
        <f aca="false">IF(O429&gt;0,ex_dfb,E428*(1+ex_g))</f>
        <v>5.47722557505166</v>
      </c>
      <c r="F429" s="25" t="n">
        <f aca="false">ex_gff*C429*ex_fms</f>
        <v>5.30007547116077E-005</v>
      </c>
      <c r="G429" s="25" t="n">
        <f aca="false">ex_gff*D429*ex_fms</f>
        <v>5.30007547116076E-005</v>
      </c>
      <c r="H429" s="25" t="n">
        <f aca="false">ex_gff*E429*ex_fms</f>
        <v>5.30007547116076E-005</v>
      </c>
      <c r="I429" s="27" t="n">
        <f aca="false">F429*ex_fc</f>
        <v>36.0405132038932</v>
      </c>
      <c r="J429" s="27" t="n">
        <f aca="false">G429*ex_fc</f>
        <v>36.0405132038932</v>
      </c>
      <c r="K429" s="27" t="n">
        <f aca="false">H429*ex_fc</f>
        <v>36.0405132038932</v>
      </c>
      <c r="L429" s="27" t="n">
        <f aca="false">J429-K429</f>
        <v>0</v>
      </c>
      <c r="M429" s="27" t="n">
        <f aca="false">$S$333</f>
        <v>0</v>
      </c>
      <c r="N429" s="27" t="n">
        <f aca="false">$T$333</f>
        <v>0</v>
      </c>
      <c r="O429" s="27" t="n">
        <f aca="false">$G$333</f>
        <v>0</v>
      </c>
      <c r="P429" s="27" t="n">
        <f aca="false">$H$333</f>
        <v>0</v>
      </c>
      <c r="Q429" s="27" t="n">
        <f aca="false">M429-O429</f>
        <v>0</v>
      </c>
      <c r="R429" s="27" t="n">
        <f aca="false">N429-P429</f>
        <v>0</v>
      </c>
      <c r="S429" s="27" t="n">
        <f aca="false">L429+Q429+R429</f>
        <v>0</v>
      </c>
      <c r="T429" s="32" t="n">
        <f aca="false">1/(1+ex_r)^B429</f>
        <v>0.620921323059155</v>
      </c>
      <c r="U429" s="27" t="n">
        <f aca="false">S429*T429</f>
        <v>0</v>
      </c>
      <c r="V429" s="27" t="n">
        <f aca="false">V428+U429</f>
        <v>210.315552216379</v>
      </c>
      <c r="W429" s="10" t="n">
        <f aca="false">IF(MIN(V429:V$437)&gt;=0,1,0)</f>
        <v>1</v>
      </c>
      <c r="X429" s="27" t="n">
        <f aca="false">(MAX(L429,0)+MAX(Q429,0)+MAX(R429,0))*T429</f>
        <v>0</v>
      </c>
      <c r="Y429" s="27" t="n">
        <f aca="false">-(MIN(L429,0)+MIN(Q429,0)+MIN(R429,0))*T429</f>
        <v>-0</v>
      </c>
    </row>
    <row r="430" customFormat="false" ht="15" hidden="false" customHeight="false" outlineLevel="0" collapsed="false">
      <c r="A430" s="22" t="n">
        <v>2029</v>
      </c>
      <c r="B430" s="10" t="n">
        <f aca="false">A430-o_base</f>
        <v>6</v>
      </c>
      <c r="C430" s="18" t="n">
        <f aca="false">ex_df0*(1+ex_g)^B430</f>
        <v>7.69613634072608</v>
      </c>
      <c r="D430" s="18" t="n">
        <f aca="false">IF(N430&gt;0,ex_dftbi,D429*(1+ex_g))</f>
        <v>1</v>
      </c>
      <c r="E430" s="26" t="n">
        <f aca="false">IF(O430&gt;0,ex_dfb,E429*(1+ex_g))</f>
        <v>7.69613634072608</v>
      </c>
      <c r="F430" s="25" t="n">
        <f aca="false">ex_gff*C430*ex_fms</f>
        <v>7.44721992608576E-005</v>
      </c>
      <c r="G430" s="25" t="n">
        <f aca="false">ex_gff*D430*ex_fms</f>
        <v>9.67656964011524E-006</v>
      </c>
      <c r="H430" s="25" t="n">
        <f aca="false">ex_gff*E430*ex_fms</f>
        <v>7.44721992608576E-005</v>
      </c>
      <c r="I430" s="27" t="n">
        <f aca="false">F430*ex_fc</f>
        <v>50.6410954973831</v>
      </c>
      <c r="J430" s="27" t="n">
        <f aca="false">G430*ex_fc</f>
        <v>6.58006735527836</v>
      </c>
      <c r="K430" s="27" t="n">
        <f aca="false">H430*ex_fc</f>
        <v>50.6410954973831</v>
      </c>
      <c r="L430" s="27" t="n">
        <f aca="false">J430-K430</f>
        <v>-44.0610281421048</v>
      </c>
      <c r="M430" s="27" t="n">
        <f aca="false">$S$334</f>
        <v>360</v>
      </c>
      <c r="N430" s="27" t="n">
        <f aca="false">$T$334</f>
        <v>10000</v>
      </c>
      <c r="O430" s="27" t="n">
        <f aca="false">$G$334</f>
        <v>0</v>
      </c>
      <c r="P430" s="27" t="n">
        <f aca="false">$H$334</f>
        <v>0</v>
      </c>
      <c r="Q430" s="27" t="n">
        <f aca="false">M430-O430</f>
        <v>360</v>
      </c>
      <c r="R430" s="27" t="n">
        <f aca="false">N430-P430</f>
        <v>10000</v>
      </c>
      <c r="S430" s="27" t="n">
        <f aca="false">L430+Q430+R430</f>
        <v>10315.9389718579</v>
      </c>
      <c r="T430" s="32" t="n">
        <f aca="false">1/(1+ex_r)^B430</f>
        <v>0.564473930053777</v>
      </c>
      <c r="U430" s="27" t="n">
        <f aca="false">S430*T430</f>
        <v>5823.07861363955</v>
      </c>
      <c r="V430" s="27" t="n">
        <f aca="false">V429+U430</f>
        <v>6033.39416585593</v>
      </c>
      <c r="W430" s="10" t="n">
        <f aca="false">IF(MIN(V430:V$437)&gt;=0,1,0)</f>
        <v>1</v>
      </c>
      <c r="X430" s="27" t="n">
        <f aca="false">(MAX(L430,0)+MAX(Q430,0)+MAX(R430,0))*T430</f>
        <v>5847.94991535713</v>
      </c>
      <c r="Y430" s="27" t="n">
        <f aca="false">-(MIN(L430,0)+MIN(Q430,0)+MIN(R430,0))*T430</f>
        <v>24.871301717584</v>
      </c>
    </row>
    <row r="431" customFormat="false" ht="15" hidden="false" customHeight="false" outlineLevel="0" collapsed="false">
      <c r="A431" s="22" t="n">
        <v>2030</v>
      </c>
      <c r="B431" s="10" t="n">
        <f aca="false">A431-o_base</f>
        <v>7</v>
      </c>
      <c r="C431" s="18" t="n">
        <f aca="false">ex_df0*(1+ex_g)^B431</f>
        <v>10.8139629751301</v>
      </c>
      <c r="D431" s="18" t="n">
        <f aca="false">IF(N431&gt;0,ex_dftbi,D430*(1+ex_g))</f>
        <v>1.40511582648365</v>
      </c>
      <c r="E431" s="26" t="n">
        <f aca="false">IF(O431&gt;0,ex_dfb,E430*(1+ex_g))</f>
        <v>10.8139629751301</v>
      </c>
      <c r="F431" s="25" t="n">
        <f aca="false">ex_gff*C431*ex_fms</f>
        <v>0.000104642065814475</v>
      </c>
      <c r="G431" s="25" t="n">
        <f aca="false">ex_gff*D431*ex_fms</f>
        <v>1.35967011473971E-005</v>
      </c>
      <c r="H431" s="25" t="n">
        <f aca="false">ex_gff*E431*ex_fms</f>
        <v>0.000104642065814475</v>
      </c>
      <c r="I431" s="27" t="n">
        <f aca="false">F431*ex_fc</f>
        <v>71.1566047538428</v>
      </c>
      <c r="J431" s="27" t="n">
        <f aca="false">G431*ex_fc</f>
        <v>9.24575678023002</v>
      </c>
      <c r="K431" s="27" t="n">
        <f aca="false">H431*ex_fc</f>
        <v>71.1566047538428</v>
      </c>
      <c r="L431" s="27" t="n">
        <f aca="false">J431-K431</f>
        <v>-61.9108479736127</v>
      </c>
      <c r="M431" s="27" t="n">
        <f aca="false">$S$335</f>
        <v>0</v>
      </c>
      <c r="N431" s="27" t="n">
        <f aca="false">$T$335</f>
        <v>0</v>
      </c>
      <c r="O431" s="27" t="n">
        <f aca="false">$G$335</f>
        <v>0</v>
      </c>
      <c r="P431" s="27" t="n">
        <f aca="false">$H$335</f>
        <v>0</v>
      </c>
      <c r="Q431" s="27" t="n">
        <f aca="false">M431-O431</f>
        <v>0</v>
      </c>
      <c r="R431" s="27" t="n">
        <f aca="false">N431-P431</f>
        <v>0</v>
      </c>
      <c r="S431" s="27" t="n">
        <f aca="false">L431+Q431+R431</f>
        <v>-61.9108479736127</v>
      </c>
      <c r="T431" s="32" t="n">
        <f aca="false">1/(1+ex_r)^B431</f>
        <v>0.513158118230707</v>
      </c>
      <c r="U431" s="27" t="n">
        <f aca="false">S431*T431</f>
        <v>-31.7700542442065</v>
      </c>
      <c r="V431" s="27" t="n">
        <f aca="false">V430+U431</f>
        <v>6001.62411161172</v>
      </c>
      <c r="W431" s="10" t="n">
        <f aca="false">IF(MIN(V431:V$437)&gt;=0,1,0)</f>
        <v>1</v>
      </c>
      <c r="X431" s="27" t="n">
        <f aca="false">(MAX(L431,0)+MAX(Q431,0)+MAX(R431,0))*T431</f>
        <v>0</v>
      </c>
      <c r="Y431" s="27" t="n">
        <f aca="false">-(MIN(L431,0)+MIN(Q431,0)+MIN(R431,0))*T431</f>
        <v>31.7700542442065</v>
      </c>
    </row>
    <row r="432" customFormat="false" ht="15" hidden="false" customHeight="false" outlineLevel="0" collapsed="false">
      <c r="A432" s="22" t="n">
        <v>2031</v>
      </c>
      <c r="B432" s="10" t="n">
        <f aca="false">A432-o_base</f>
        <v>8</v>
      </c>
      <c r="C432" s="18" t="n">
        <f aca="false">ex_df0*(1+ex_g)^B432</f>
        <v>15.1948705233635</v>
      </c>
      <c r="D432" s="18" t="n">
        <f aca="false">IF(N432&gt;0,ex_dftbi,D431*(1+ex_g))</f>
        <v>1.97435048583482</v>
      </c>
      <c r="E432" s="26" t="n">
        <f aca="false">IF(O432&gt;0,ex_dfb,E431*(1+ex_g))</f>
        <v>15.1948705233635</v>
      </c>
      <c r="F432" s="25" t="n">
        <f aca="false">ex_gff*C432*ex_fms</f>
        <v>0.000147034222791862</v>
      </c>
      <c r="G432" s="25" t="n">
        <f aca="false">ex_gff*D432*ex_fms</f>
        <v>1.9104939970176E-005</v>
      </c>
      <c r="H432" s="25" t="n">
        <f aca="false">ex_gff*E432*ex_fms</f>
        <v>0.000147034222791862</v>
      </c>
      <c r="I432" s="27" t="n">
        <f aca="false">F432*ex_fc</f>
        <v>99.9832714984659</v>
      </c>
      <c r="J432" s="27" t="n">
        <f aca="false">G432*ex_fc</f>
        <v>12.9913591797197</v>
      </c>
      <c r="K432" s="27" t="n">
        <f aca="false">H432*ex_fc</f>
        <v>99.9832714984659</v>
      </c>
      <c r="L432" s="27" t="n">
        <f aca="false">J432-K432</f>
        <v>-86.9919123187462</v>
      </c>
      <c r="M432" s="27" t="n">
        <f aca="false">$S$336</f>
        <v>0</v>
      </c>
      <c r="N432" s="27" t="n">
        <f aca="false">$T$336</f>
        <v>0</v>
      </c>
      <c r="O432" s="27" t="n">
        <f aca="false">$G$336</f>
        <v>0</v>
      </c>
      <c r="P432" s="27" t="n">
        <f aca="false">$H$336</f>
        <v>0</v>
      </c>
      <c r="Q432" s="27" t="n">
        <f aca="false">M432-O432</f>
        <v>0</v>
      </c>
      <c r="R432" s="27" t="n">
        <f aca="false">N432-P432</f>
        <v>0</v>
      </c>
      <c r="S432" s="27" t="n">
        <f aca="false">L432+Q432+R432</f>
        <v>-86.9919123187462</v>
      </c>
      <c r="T432" s="32" t="n">
        <f aca="false">1/(1+ex_r)^B432</f>
        <v>0.466507380209733</v>
      </c>
      <c r="U432" s="27" t="n">
        <f aca="false">S432*T432</f>
        <v>-40.5823691152531</v>
      </c>
      <c r="V432" s="27" t="n">
        <f aca="false">V431+U432</f>
        <v>5961.04174249647</v>
      </c>
      <c r="W432" s="10" t="n">
        <f aca="false">IF(MIN(V432:V$437)&gt;=0,1,0)</f>
        <v>1</v>
      </c>
      <c r="X432" s="27" t="n">
        <f aca="false">(MAX(L432,0)+MAX(Q432,0)+MAX(R432,0))*T432</f>
        <v>0</v>
      </c>
      <c r="Y432" s="27" t="n">
        <f aca="false">-(MIN(L432,0)+MIN(Q432,0)+MIN(R432,0))*T432</f>
        <v>40.5823691152531</v>
      </c>
    </row>
    <row r="433" customFormat="false" ht="15" hidden="false" customHeight="false" outlineLevel="0" collapsed="false">
      <c r="A433" s="22" t="n">
        <v>2032</v>
      </c>
      <c r="B433" s="10" t="n">
        <f aca="false">A433-o_base</f>
        <v>9</v>
      </c>
      <c r="C433" s="18" t="n">
        <f aca="false">ex_df0*(1+ex_g)^B433</f>
        <v>21.350553053748</v>
      </c>
      <c r="D433" s="18" t="n">
        <f aca="false">IF(N433&gt;0,ex_dftbi,D432*(1+ex_g))</f>
        <v>2.77419111467218</v>
      </c>
      <c r="E433" s="26" t="n">
        <f aca="false">IF(O433&gt;0,ex_dfb,E432*(1+ex_g))</f>
        <v>21.350553053748</v>
      </c>
      <c r="F433" s="25" t="n">
        <f aca="false">ex_gff*C433*ex_fms</f>
        <v>0.000206600113479567</v>
      </c>
      <c r="G433" s="25" t="n">
        <f aca="false">ex_gff*D433*ex_fms</f>
        <v>2.68446535161143E-005</v>
      </c>
      <c r="H433" s="25" t="n">
        <f aca="false">ex_gff*E433*ex_fms</f>
        <v>0.000206600113479567</v>
      </c>
      <c r="I433" s="27" t="n">
        <f aca="false">F433*ex_fc</f>
        <v>140.488077166106</v>
      </c>
      <c r="J433" s="27" t="n">
        <f aca="false">G433*ex_fc</f>
        <v>18.2543643909577</v>
      </c>
      <c r="K433" s="27" t="n">
        <f aca="false">H433*ex_fc</f>
        <v>140.488077166106</v>
      </c>
      <c r="L433" s="27" t="n">
        <f aca="false">J433-K433</f>
        <v>-122.233712775148</v>
      </c>
      <c r="M433" s="27" t="n">
        <f aca="false">$S$337</f>
        <v>240</v>
      </c>
      <c r="N433" s="27" t="n">
        <f aca="false">$T$337</f>
        <v>0</v>
      </c>
      <c r="O433" s="27" t="n">
        <f aca="false">$G$337</f>
        <v>0</v>
      </c>
      <c r="P433" s="27" t="n">
        <f aca="false">$H$337</f>
        <v>0</v>
      </c>
      <c r="Q433" s="27" t="n">
        <f aca="false">M433-O433</f>
        <v>240</v>
      </c>
      <c r="R433" s="27" t="n">
        <f aca="false">N433-P433</f>
        <v>0</v>
      </c>
      <c r="S433" s="27" t="n">
        <f aca="false">L433+Q433+R433</f>
        <v>117.766287224852</v>
      </c>
      <c r="T433" s="32" t="n">
        <f aca="false">1/(1+ex_r)^B433</f>
        <v>0.424097618372485</v>
      </c>
      <c r="U433" s="27" t="n">
        <f aca="false">S433*T433</f>
        <v>49.9444019366297</v>
      </c>
      <c r="V433" s="27" t="n">
        <f aca="false">V432+U433</f>
        <v>6010.9861444331</v>
      </c>
      <c r="W433" s="10" t="n">
        <f aca="false">IF(MIN(V433:V$437)&gt;=0,1,0)</f>
        <v>1</v>
      </c>
      <c r="X433" s="27" t="n">
        <f aca="false">(MAX(L433,0)+MAX(Q433,0)+MAX(R433,0))*T433</f>
        <v>101.783428409396</v>
      </c>
      <c r="Y433" s="27" t="n">
        <f aca="false">-(MIN(L433,0)+MIN(Q433,0)+MIN(R433,0))*T433</f>
        <v>51.8390264727666</v>
      </c>
    </row>
    <row r="434" customFormat="false" ht="15" hidden="false" customHeight="false" outlineLevel="0" collapsed="false">
      <c r="A434" s="22" t="n">
        <v>2033</v>
      </c>
      <c r="B434" s="10" t="n">
        <f aca="false">A434-o_base</f>
        <v>10</v>
      </c>
      <c r="C434" s="18" t="n">
        <f aca="false">ex_df0*(1+ex_g)^B434</f>
        <v>30</v>
      </c>
      <c r="D434" s="18" t="n">
        <f aca="false">IF(N434&gt;0,ex_dftbi,D433*(1+ex_g))</f>
        <v>3.89805984091619</v>
      </c>
      <c r="E434" s="26" t="n">
        <f aca="false">IF(O434&gt;0,ex_dfb,E433*(1+ex_g))</f>
        <v>0.0924730371557394</v>
      </c>
      <c r="F434" s="25" t="n">
        <f aca="false">ex_gff*C434*ex_fms</f>
        <v>0.000290297089203457</v>
      </c>
      <c r="G434" s="25" t="n">
        <f aca="false">ex_gff*D434*ex_fms</f>
        <v>3.7719847511962E-005</v>
      </c>
      <c r="H434" s="25" t="n">
        <f aca="false">ex_gff*E434*ex_fms</f>
        <v>8.94821783870476E-007</v>
      </c>
      <c r="I434" s="27" t="n">
        <f aca="false">F434*ex_fc</f>
        <v>197.402020658351</v>
      </c>
      <c r="J434" s="27" t="n">
        <f aca="false">G434*ex_fc</f>
        <v>25.6494963081342</v>
      </c>
      <c r="K434" s="27" t="n">
        <f aca="false">H434*ex_fc</f>
        <v>0.608478813031924</v>
      </c>
      <c r="L434" s="27" t="n">
        <f aca="false">J434-K434</f>
        <v>25.0410174951023</v>
      </c>
      <c r="M434" s="27" t="n">
        <f aca="false">$S$338</f>
        <v>0</v>
      </c>
      <c r="N434" s="27" t="n">
        <f aca="false">$T$338</f>
        <v>0</v>
      </c>
      <c r="O434" s="27" t="n">
        <f aca="false">$G$338</f>
        <v>600</v>
      </c>
      <c r="P434" s="27" t="n">
        <f aca="false">$H$338</f>
        <v>0</v>
      </c>
      <c r="Q434" s="27" t="n">
        <f aca="false">M434-O434</f>
        <v>-600</v>
      </c>
      <c r="R434" s="27" t="n">
        <f aca="false">N434-P434</f>
        <v>0</v>
      </c>
      <c r="S434" s="27" t="n">
        <f aca="false">L434+Q434+R434</f>
        <v>-574.958982504898</v>
      </c>
      <c r="T434" s="32" t="n">
        <f aca="false">1/(1+ex_r)^B434</f>
        <v>0.385543289429531</v>
      </c>
      <c r="U434" s="27" t="n">
        <f aca="false">S434*T434</f>
        <v>-221.671577401995</v>
      </c>
      <c r="V434" s="27" t="n">
        <f aca="false">V433+U434</f>
        <v>5789.3145670311</v>
      </c>
      <c r="W434" s="10" t="n">
        <f aca="false">IF(MIN(V434:V$437)&gt;=0,1,0)</f>
        <v>1</v>
      </c>
      <c r="X434" s="27" t="n">
        <f aca="false">(MAX(L434,0)+MAX(Q434,0)+MAX(R434,0))*T434</f>
        <v>9.65439625572417</v>
      </c>
      <c r="Y434" s="27" t="n">
        <f aca="false">-(MIN(L434,0)+MIN(Q434,0)+MIN(R434,0))*T434</f>
        <v>231.325973657719</v>
      </c>
    </row>
    <row r="435" customFormat="false" ht="15" hidden="false" customHeight="false" outlineLevel="0" collapsed="false">
      <c r="A435" s="22" t="n">
        <v>2034</v>
      </c>
      <c r="B435" s="10" t="n">
        <f aca="false">A435-o_base</f>
        <v>11</v>
      </c>
      <c r="C435" s="18" t="n">
        <f aca="false">ex_df0*(1+ex_g)^B435</f>
        <v>42.1534747945094</v>
      </c>
      <c r="D435" s="18" t="n">
        <f aca="false">IF(N435&gt;0,ex_dftbi,D434*(1+ex_g))</f>
        <v>5.47722557505166</v>
      </c>
      <c r="E435" s="26" t="n">
        <f aca="false">IF(O435&gt;0,ex_dfb,E434*(1+ex_g))</f>
        <v>0.12993532803054</v>
      </c>
      <c r="F435" s="25" t="n">
        <f aca="false">ex_gff*C435*ex_fms</f>
        <v>0.000407901034421913</v>
      </c>
      <c r="G435" s="25" t="n">
        <f aca="false">ex_gff*D435*ex_fms</f>
        <v>5.30007547116076E-005</v>
      </c>
      <c r="H435" s="25" t="n">
        <f aca="false">ex_gff*E435*ex_fms</f>
        <v>1.25732825039874E-006</v>
      </c>
      <c r="I435" s="27" t="n">
        <f aca="false">F435*ex_fc</f>
        <v>277.372703406901</v>
      </c>
      <c r="J435" s="27" t="n">
        <f aca="false">G435*ex_fc</f>
        <v>36.0405132038932</v>
      </c>
      <c r="K435" s="27" t="n">
        <f aca="false">H435*ex_fc</f>
        <v>0.85498321027114</v>
      </c>
      <c r="L435" s="27" t="n">
        <f aca="false">J435-K435</f>
        <v>35.1855299936221</v>
      </c>
      <c r="M435" s="27" t="n">
        <f aca="false">$S$339</f>
        <v>0</v>
      </c>
      <c r="N435" s="27" t="n">
        <f aca="false">$T$339</f>
        <v>0</v>
      </c>
      <c r="O435" s="27" t="n">
        <f aca="false">$G$339</f>
        <v>0</v>
      </c>
      <c r="P435" s="27" t="n">
        <f aca="false">$H$339</f>
        <v>0</v>
      </c>
      <c r="Q435" s="27" t="n">
        <f aca="false">M435-O435</f>
        <v>0</v>
      </c>
      <c r="R435" s="27" t="n">
        <f aca="false">N435-P435</f>
        <v>0</v>
      </c>
      <c r="S435" s="27" t="n">
        <f aca="false">L435+Q435+R435</f>
        <v>35.1855299936221</v>
      </c>
      <c r="T435" s="32" t="n">
        <f aca="false">1/(1+ex_r)^B435</f>
        <v>0.350493899481392</v>
      </c>
      <c r="U435" s="27" t="n">
        <f aca="false">S435*T435</f>
        <v>12.3323136127841</v>
      </c>
      <c r="V435" s="27" t="n">
        <f aca="false">V434+U435</f>
        <v>5801.64688064389</v>
      </c>
      <c r="W435" s="10" t="n">
        <f aca="false">IF(MIN(V435:V$437)&gt;=0,1,0)</f>
        <v>1</v>
      </c>
      <c r="X435" s="27" t="n">
        <f aca="false">(MAX(L435,0)+MAX(Q435,0)+MAX(R435,0))*T435</f>
        <v>12.3323136127841</v>
      </c>
      <c r="Y435" s="27" t="n">
        <f aca="false">-(MIN(L435,0)+MIN(Q435,0)+MIN(R435,0))*T435</f>
        <v>-0</v>
      </c>
    </row>
    <row r="436" customFormat="false" ht="15" hidden="false" customHeight="false" outlineLevel="0" collapsed="false">
      <c r="A436" s="22" t="n">
        <v>2035</v>
      </c>
      <c r="B436" s="10" t="n">
        <f aca="false">A436-o_base</f>
        <v>12</v>
      </c>
      <c r="C436" s="18" t="n">
        <f aca="false">ex_df0*(1+ex_g)^B436</f>
        <v>59.2305145750446</v>
      </c>
      <c r="D436" s="18" t="n">
        <f aca="false">IF(N436&gt;0,ex_dftbi,D435*(1+ex_g))</f>
        <v>7.69613634072608</v>
      </c>
      <c r="E436" s="26" t="n">
        <f aca="false">IF(O436&gt;0,ex_dfb,E435*(1+ex_g))</f>
        <v>0.182574185835055</v>
      </c>
      <c r="F436" s="25" t="n">
        <f aca="false">ex_gff*C436*ex_fms</f>
        <v>0.00057314819910528</v>
      </c>
      <c r="G436" s="25" t="n">
        <f aca="false">ex_gff*D436*ex_fms</f>
        <v>7.44721992608576E-005</v>
      </c>
      <c r="H436" s="25" t="n">
        <f aca="false">ex_gff*E436*ex_fms</f>
        <v>1.76669182372026E-006</v>
      </c>
      <c r="I436" s="27" t="n">
        <f aca="false">F436*ex_fc</f>
        <v>389.74077539159</v>
      </c>
      <c r="J436" s="27" t="n">
        <f aca="false">G436*ex_fc</f>
        <v>50.6410954973831</v>
      </c>
      <c r="K436" s="27" t="n">
        <f aca="false">H436*ex_fc</f>
        <v>1.20135044012977</v>
      </c>
      <c r="L436" s="27" t="n">
        <f aca="false">J436-K436</f>
        <v>49.4397450572534</v>
      </c>
      <c r="M436" s="27" t="n">
        <f aca="false">$S$340</f>
        <v>240</v>
      </c>
      <c r="N436" s="27" t="n">
        <f aca="false">$T$340</f>
        <v>0</v>
      </c>
      <c r="O436" s="27" t="n">
        <f aca="false">$G$340</f>
        <v>0</v>
      </c>
      <c r="P436" s="27" t="n">
        <f aca="false">$H$340</f>
        <v>0</v>
      </c>
      <c r="Q436" s="27" t="n">
        <f aca="false">M436-O436</f>
        <v>240</v>
      </c>
      <c r="R436" s="27" t="n">
        <f aca="false">N436-P436</f>
        <v>0</v>
      </c>
      <c r="S436" s="27" t="n">
        <f aca="false">L436+Q436+R436</f>
        <v>289.439745057253</v>
      </c>
      <c r="T436" s="32" t="n">
        <f aca="false">1/(1+ex_r)^B436</f>
        <v>0.318630817710357</v>
      </c>
      <c r="U436" s="27" t="n">
        <f aca="false">S436*T436</f>
        <v>92.2244226454698</v>
      </c>
      <c r="V436" s="27" t="n">
        <f aca="false">V435+U436</f>
        <v>5893.87130328936</v>
      </c>
      <c r="W436" s="10" t="n">
        <f aca="false">IF(MIN(V436:V$437)&gt;=0,1,0)</f>
        <v>1</v>
      </c>
      <c r="X436" s="27" t="n">
        <f aca="false">(MAX(L436,0)+MAX(Q436,0)+MAX(R436,0))*T436</f>
        <v>92.2244226454698</v>
      </c>
      <c r="Y436" s="27" t="n">
        <f aca="false">-(MIN(L436,0)+MIN(Q436,0)+MIN(R436,0))*T436</f>
        <v>-0</v>
      </c>
    </row>
    <row r="437" customFormat="false" ht="15" hidden="false" customHeight="false" outlineLevel="0" collapsed="false">
      <c r="A437" s="22" t="n">
        <v>2036</v>
      </c>
      <c r="B437" s="10" t="n">
        <f aca="false">A437-o_base</f>
        <v>13</v>
      </c>
      <c r="C437" s="18" t="n">
        <f aca="false">ex_df0*(1+ex_g)^B437</f>
        <v>83.2257334401654</v>
      </c>
      <c r="D437" s="18" t="n">
        <f aca="false">IF(N437&gt;0,ex_dftbi,D436*(1+ex_g))</f>
        <v>10.8139629751301</v>
      </c>
      <c r="E437" s="26" t="n">
        <f aca="false">IF(O437&gt;0,ex_dfb,E436*(1+ex_g))</f>
        <v>0.256537878024203</v>
      </c>
      <c r="F437" s="25" t="n">
        <f aca="false">ex_gff*C437*ex_fms</f>
        <v>0.000805339605483428</v>
      </c>
      <c r="G437" s="25" t="n">
        <f aca="false">ex_gff*D437*ex_fms</f>
        <v>0.000104642065814475</v>
      </c>
      <c r="H437" s="25" t="n">
        <f aca="false">ex_gff*E437*ex_fms</f>
        <v>2.48240664202859E-006</v>
      </c>
      <c r="I437" s="27" t="n">
        <f aca="false">F437*ex_fc</f>
        <v>547.630931728731</v>
      </c>
      <c r="J437" s="27" t="n">
        <f aca="false">G437*ex_fc</f>
        <v>71.1566047538428</v>
      </c>
      <c r="K437" s="27" t="n">
        <f aca="false">H437*ex_fc</f>
        <v>1.68803651657944</v>
      </c>
      <c r="L437" s="27" t="n">
        <f aca="false">J437-K437</f>
        <v>69.4685682372633</v>
      </c>
      <c r="M437" s="27" t="n">
        <f aca="false">$S$341</f>
        <v>0</v>
      </c>
      <c r="N437" s="27" t="n">
        <f aca="false">$T$341</f>
        <v>0</v>
      </c>
      <c r="O437" s="27" t="n">
        <f aca="false">$G$341</f>
        <v>0</v>
      </c>
      <c r="P437" s="27" t="n">
        <f aca="false">$H$341</f>
        <v>0</v>
      </c>
      <c r="Q437" s="27" t="n">
        <f aca="false">M437-O437</f>
        <v>0</v>
      </c>
      <c r="R437" s="27" t="n">
        <f aca="false">N437-P437</f>
        <v>0</v>
      </c>
      <c r="S437" s="27" t="n">
        <f aca="false">L437+Q437+R437</f>
        <v>69.4685682372633</v>
      </c>
      <c r="T437" s="32" t="n">
        <f aca="false">1/(1+ex_r)^B437</f>
        <v>0.289664379736688</v>
      </c>
      <c r="U437" s="27" t="n">
        <f aca="false">S437*T437</f>
        <v>20.1225697296426</v>
      </c>
      <c r="V437" s="27" t="n">
        <f aca="false">V436+U437</f>
        <v>5913.993873019</v>
      </c>
      <c r="W437" s="10" t="n">
        <f aca="false">IF(MIN(V437:V$437)&gt;=0,1,0)</f>
        <v>1</v>
      </c>
      <c r="X437" s="27" t="n">
        <f aca="false">(MAX(L437,0)+MAX(Q437,0)+MAX(R437,0))*T437</f>
        <v>20.1225697296426</v>
      </c>
      <c r="Y437" s="27" t="n">
        <f aca="false">-(MIN(L437,0)+MIN(Q437,0)+MIN(R437,0))*T437</f>
        <v>-0</v>
      </c>
    </row>
    <row r="439" customFormat="false" ht="42" hidden="false" customHeight="true" outlineLevel="0" collapsed="false">
      <c r="A439" s="9" t="s">
        <v>291</v>
      </c>
      <c r="B439" s="9" t="s">
        <v>292</v>
      </c>
      <c r="C439" s="9" t="s">
        <v>293</v>
      </c>
      <c r="D439" s="9" t="s">
        <v>557</v>
      </c>
    </row>
    <row r="440" customFormat="false" ht="15" hidden="false" customHeight="false" outlineLevel="0" collapsed="false">
      <c r="A440" s="10" t="s">
        <v>558</v>
      </c>
      <c r="B440" s="27" t="n">
        <f aca="false">SUMPRODUCT(($B$424:$B$437&lt;=1)*$U$424:$U$437)</f>
        <v>30</v>
      </c>
      <c r="C440" s="27" t="n">
        <f aca="false">SUMPRODUCT(($B$424:$B$437&lt;=10)*$U$424:$U$437)</f>
        <v>5789.3145670311</v>
      </c>
      <c r="D440" s="10" t="s">
        <v>559</v>
      </c>
    </row>
    <row r="441" customFormat="false" ht="15" hidden="false" customHeight="false" outlineLevel="0" collapsed="false">
      <c r="A441" s="10" t="s">
        <v>560</v>
      </c>
      <c r="B441" s="27" t="n">
        <f aca="false">SUMPRODUCT(($B$424:$B$437&lt;=1)*$Q$424:$Q$437)</f>
        <v>30</v>
      </c>
      <c r="C441" s="27" t="n">
        <f aca="false">SUMPRODUCT(($B$424:$B$437&lt;=10)*$Q$424:$Q$437)</f>
        <v>270</v>
      </c>
      <c r="D441" s="10" t="s">
        <v>561</v>
      </c>
    </row>
    <row r="442" customFormat="false" ht="15" hidden="false" customHeight="false" outlineLevel="0" collapsed="false">
      <c r="A442" s="10" t="s">
        <v>562</v>
      </c>
      <c r="B442" s="27" t="n">
        <f aca="false">SUMPRODUCT(($B$424:$B$437&lt;=1)*$R$424:$R$437)</f>
        <v>0</v>
      </c>
      <c r="C442" s="27" t="n">
        <f aca="false">SUMPRODUCT(($B$424:$B$437&lt;=10)*$R$424:$R$437)</f>
        <v>10000</v>
      </c>
      <c r="D442" s="10" t="s">
        <v>563</v>
      </c>
    </row>
    <row r="443" customFormat="false" ht="15" hidden="false" customHeight="false" outlineLevel="0" collapsed="false">
      <c r="A443" s="10" t="s">
        <v>564</v>
      </c>
      <c r="B443" s="27" t="n">
        <f aca="false">SUMPRODUCT(($B$424:$B$437&lt;=1)*$L$424:$L$437)</f>
        <v>0</v>
      </c>
      <c r="C443" s="27" t="n">
        <f aca="false">SUMPRODUCT(($B$424:$B$437&lt;=10)*$L$424:$L$437)</f>
        <v>-290.15648371451</v>
      </c>
      <c r="D443" s="10" t="s">
        <v>565</v>
      </c>
    </row>
    <row r="444" customFormat="false" ht="15" hidden="false" customHeight="false" outlineLevel="0" collapsed="false">
      <c r="A444" s="10" t="s">
        <v>302</v>
      </c>
      <c r="B444" s="27" t="n">
        <f aca="false">SUMPRODUCT(($B$424:$B$437&lt;=1)*$X$424:$X$437)</f>
        <v>30</v>
      </c>
      <c r="C444" s="27" t="n">
        <f aca="false">SUMPRODUCT(($B$424:$B$437&lt;=10)*$X$424:$X$437)</f>
        <v>6169.70329223863</v>
      </c>
      <c r="D444" s="10" t="s">
        <v>566</v>
      </c>
    </row>
    <row r="445" customFormat="false" ht="15" hidden="false" customHeight="false" outlineLevel="0" collapsed="false">
      <c r="A445" s="10" t="s">
        <v>304</v>
      </c>
      <c r="B445" s="27" t="n">
        <f aca="false">SUMPRODUCT(($B$424:$B$437&lt;=1)*$Y$424:$Y$437)</f>
        <v>0</v>
      </c>
      <c r="C445" s="27" t="n">
        <f aca="false">SUMPRODUCT(($B$424:$B$437&lt;=10)*$Y$424:$Y$437)</f>
        <v>380.388725207529</v>
      </c>
      <c r="D445" s="10" t="s">
        <v>567</v>
      </c>
    </row>
    <row r="446" customFormat="false" ht="15" hidden="false" customHeight="false" outlineLevel="0" collapsed="false">
      <c r="A446" s="10" t="s">
        <v>306</v>
      </c>
      <c r="B446" s="18" t="str">
        <f aca="false">IF(B445=0,"n/a",B444/B445)</f>
        <v>n/a</v>
      </c>
      <c r="C446" s="18" t="n">
        <f aca="false">IF(C445=0,"n/a",C444/C445)</f>
        <v>16.2194694095431</v>
      </c>
      <c r="D446" s="10" t="s">
        <v>568</v>
      </c>
    </row>
    <row r="447" customFormat="false" ht="15" hidden="false" customHeight="false" outlineLevel="0" collapsed="false">
      <c r="A447" s="10" t="s">
        <v>308</v>
      </c>
      <c r="B447" s="20" t="str">
        <f aca="false">IF(B445=0,"n/a",(B444-B445)/B445)</f>
        <v>n/a</v>
      </c>
      <c r="C447" s="20" t="n">
        <f aca="false">IF(C445=0,"n/a",(C444-C445)/C445)</f>
        <v>15.2194694095431</v>
      </c>
      <c r="D447" s="10" t="s">
        <v>309</v>
      </c>
    </row>
    <row r="448" customFormat="false" ht="15" hidden="false" customHeight="false" outlineLevel="0" collapsed="false">
      <c r="A448" s="10" t="s">
        <v>310</v>
      </c>
      <c r="C448" s="22" t="n">
        <f aca="false">IFERROR(INDEX($A$424:$A$437,MATCH(1,$W$424:$W$437,0)),"no recupera")</f>
        <v>2023</v>
      </c>
      <c r="D448" s="10" t="s">
        <v>569</v>
      </c>
    </row>
    <row r="449" customFormat="false" ht="15" hidden="false" customHeight="false" outlineLevel="0" collapsed="false">
      <c r="A449" s="10" t="s">
        <v>570</v>
      </c>
      <c r="C449" s="27" t="n">
        <f aca="false">(C441+C442+C443)/11</f>
        <v>907.258501480499</v>
      </c>
      <c r="D449" s="10" t="s">
        <v>571</v>
      </c>
    </row>
    <row r="450" customFormat="false" ht="15" hidden="false" customHeight="false" outlineLevel="0" collapsed="false">
      <c r="A450" s="10" t="s">
        <v>572</v>
      </c>
      <c r="C450" s="27" t="n">
        <f aca="false">C440*ex_r/(1-(1+ex_r)^-10)</f>
        <v>942.184285310553</v>
      </c>
      <c r="D450" s="10" t="s">
        <v>573</v>
      </c>
    </row>
    <row r="451" customFormat="false" ht="15" hidden="false" customHeight="false" outlineLevel="0" collapsed="false">
      <c r="A451" s="10" t="s">
        <v>574</v>
      </c>
      <c r="C451" s="27" t="n">
        <f aca="false">C441+C442</f>
        <v>10270</v>
      </c>
      <c r="D451" s="10" t="str">
        <f aca="false">IF(ABS(C451-(SUMPRODUCT(($A$424:$A$437&lt;=2033)*($M$424:$M$437+$N$424:$N$437-$O$424:$O$437-$P$424:$P$437)))) &lt;0.5,"OK","INCONSISTENTE")</f>
        <v>OK</v>
      </c>
    </row>
    <row r="452" customFormat="false" ht="45" hidden="false" customHeight="true" outlineLevel="0" collapsed="false">
      <c r="A452" s="5" t="s">
        <v>575</v>
      </c>
      <c r="B452" s="5"/>
      <c r="C452" s="5"/>
      <c r="D452" s="5"/>
      <c r="E452" s="5"/>
      <c r="F452" s="5"/>
      <c r="G452" s="5"/>
      <c r="H452" s="5"/>
      <c r="I452" s="5"/>
      <c r="J452" s="5"/>
      <c r="K452" s="5"/>
      <c r="L452" s="5"/>
      <c r="M452" s="5"/>
      <c r="N452" s="5"/>
      <c r="O452" s="5"/>
      <c r="P452" s="5"/>
    </row>
    <row r="454" customFormat="false" ht="15" hidden="false" customHeight="false" outlineLevel="0" collapsed="false">
      <c r="A454" s="3" t="s">
        <v>576</v>
      </c>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customFormat="false" ht="30" hidden="false" customHeight="true" outlineLevel="0" collapsed="false">
      <c r="A455" s="5" t="s">
        <v>577</v>
      </c>
      <c r="B455" s="5"/>
      <c r="C455" s="5"/>
      <c r="D455" s="5"/>
      <c r="E455" s="5"/>
      <c r="F455" s="5"/>
      <c r="G455" s="5"/>
      <c r="H455" s="5"/>
      <c r="I455" s="5"/>
      <c r="J455" s="5"/>
      <c r="K455" s="5"/>
      <c r="L455" s="5"/>
      <c r="M455" s="5"/>
      <c r="N455" s="5"/>
      <c r="O455" s="5"/>
      <c r="P455" s="5"/>
    </row>
    <row r="457" customFormat="false" ht="42" hidden="false" customHeight="true" outlineLevel="0" collapsed="false">
      <c r="A457" s="9" t="s">
        <v>578</v>
      </c>
      <c r="B457" s="9" t="s">
        <v>24</v>
      </c>
      <c r="C457" s="9" t="s">
        <v>25</v>
      </c>
      <c r="D457" s="9" t="s">
        <v>26</v>
      </c>
      <c r="E457" s="9" t="s">
        <v>27</v>
      </c>
    </row>
    <row r="458" customFormat="false" ht="15" hidden="false" customHeight="false" outlineLevel="0" collapsed="false">
      <c r="A458" s="10" t="s">
        <v>579</v>
      </c>
      <c r="B458" s="40" t="n">
        <v>3</v>
      </c>
      <c r="C458" s="10" t="s">
        <v>45</v>
      </c>
      <c r="D458" s="10" t="s">
        <v>580</v>
      </c>
      <c r="E458" s="10" t="s">
        <v>31</v>
      </c>
    </row>
    <row r="459" customFormat="false" ht="15" hidden="false" customHeight="false" outlineLevel="0" collapsed="false">
      <c r="A459" s="10" t="s">
        <v>581</v>
      </c>
      <c r="B459" s="40" t="n">
        <v>1</v>
      </c>
      <c r="C459" s="10" t="s">
        <v>45</v>
      </c>
      <c r="D459" s="10" t="s">
        <v>31</v>
      </c>
      <c r="E459" s="10" t="s">
        <v>31</v>
      </c>
    </row>
    <row r="460" customFormat="false" ht="15" hidden="false" customHeight="false" outlineLevel="0" collapsed="false">
      <c r="A460" s="10" t="s">
        <v>582</v>
      </c>
      <c r="B460" s="40" t="n">
        <v>10</v>
      </c>
      <c r="C460" s="10" t="s">
        <v>492</v>
      </c>
      <c r="D460" s="10" t="s">
        <v>31</v>
      </c>
      <c r="E460" s="10" t="s">
        <v>31</v>
      </c>
    </row>
    <row r="461" customFormat="false" ht="15" hidden="false" customHeight="false" outlineLevel="0" collapsed="false">
      <c r="A461" s="10" t="s">
        <v>583</v>
      </c>
      <c r="B461" s="27" t="n">
        <f aca="false">ex_arep*ex_crepl</f>
        <v>40000</v>
      </c>
      <c r="C461" s="10" t="s">
        <v>79</v>
      </c>
      <c r="D461" s="10" t="s">
        <v>584</v>
      </c>
      <c r="E461" s="10" t="s">
        <v>523</v>
      </c>
    </row>
    <row r="462" customFormat="false" ht="15" hidden="false" customHeight="false" outlineLevel="0" collapsed="false">
      <c r="A462" s="10" t="s">
        <v>585</v>
      </c>
      <c r="B462" s="41" t="n">
        <v>15000</v>
      </c>
      <c r="C462" s="10" t="s">
        <v>79</v>
      </c>
      <c r="D462" s="10" t="s">
        <v>31</v>
      </c>
      <c r="E462" s="10" t="s">
        <v>31</v>
      </c>
    </row>
    <row r="464" customFormat="false" ht="42" hidden="false" customHeight="true" outlineLevel="0" collapsed="false">
      <c r="A464" s="9" t="s">
        <v>586</v>
      </c>
      <c r="B464" s="9" t="s">
        <v>587</v>
      </c>
      <c r="C464" s="9" t="s">
        <v>158</v>
      </c>
      <c r="D464" s="9" t="s">
        <v>588</v>
      </c>
      <c r="E464" s="9" t="s">
        <v>589</v>
      </c>
      <c r="F464" s="9" t="s">
        <v>226</v>
      </c>
      <c r="G464" s="9" t="s">
        <v>586</v>
      </c>
      <c r="H464" s="9" t="s">
        <v>244</v>
      </c>
      <c r="I464" s="9" t="s">
        <v>590</v>
      </c>
      <c r="J464" s="9" t="s">
        <v>591</v>
      </c>
      <c r="K464" s="9" t="s">
        <v>592</v>
      </c>
      <c r="L464" s="9" t="s">
        <v>593</v>
      </c>
      <c r="M464" s="9" t="s">
        <v>594</v>
      </c>
      <c r="N464" s="9" t="s">
        <v>595</v>
      </c>
      <c r="O464" s="9" t="s">
        <v>596</v>
      </c>
    </row>
    <row r="465" customFormat="false" ht="15" hidden="false" customHeight="false" outlineLevel="0" collapsed="false">
      <c r="A465" s="10" t="s">
        <v>597</v>
      </c>
      <c r="B465" s="10" t="s">
        <v>598</v>
      </c>
      <c r="C465" s="22" t="n">
        <v>2023</v>
      </c>
      <c r="D465" s="26" t="n">
        <f aca="false">ex_df0</f>
        <v>1</v>
      </c>
      <c r="E465" s="10" t="n">
        <f aca="false">1+(D465&gt;th_p1)+(D465&gt;th_p2)+(D465&gt;th_p3)+(D465&gt;th_p4)</f>
        <v>1</v>
      </c>
      <c r="F465" s="10" t="str">
        <f aca="false">ex_ccat</f>
        <v>C</v>
      </c>
      <c r="G465" s="10" t="str">
        <f aca="false">E465&amp;F465</f>
        <v>1C</v>
      </c>
      <c r="H465" s="10" t="str">
        <f aca="false">IF(E465+MATCH(F465,{"A","B","C","D","E"},0)&lt;=5,"B",IF(E465+MATCH(F465,{"A","B","C","D","E"},0)=6,"M",IF(E465+MATCH(F465,{"A","B","C","D","E"},0)=7,"MA","A")))</f>
        <v>B</v>
      </c>
      <c r="I465" s="10" t="n">
        <f aca="false">MATCH(H465,{"B","M","MA","A"},0)</f>
        <v>1</v>
      </c>
      <c r="J465" s="27" t="n">
        <f aca="false">ex_gff*D465*ex_fms*ex_fc</f>
        <v>6.58006735527836</v>
      </c>
      <c r="K465" s="10" t="s">
        <v>45</v>
      </c>
      <c r="L465" s="10" t="s">
        <v>45</v>
      </c>
      <c r="M465" s="10" t="s">
        <v>45</v>
      </c>
      <c r="N465" s="27" t="n">
        <v>0</v>
      </c>
      <c r="O465" s="10" t="s">
        <v>599</v>
      </c>
    </row>
    <row r="466" customFormat="false" ht="15" hidden="false" customHeight="false" outlineLevel="0" collapsed="false">
      <c r="A466" s="10" t="s">
        <v>600</v>
      </c>
      <c r="B466" s="10" t="s">
        <v>601</v>
      </c>
      <c r="C466" s="22" t="n">
        <v>2036</v>
      </c>
      <c r="D466" s="26" t="n">
        <f aca="false">INDEX($C$424:$C$437,MATCH(2036,$A$424:$A$437,0))</f>
        <v>83.2257334401654</v>
      </c>
      <c r="E466" s="10" t="n">
        <f aca="false">1+(D466&gt;th_p1)+(D466&gt;th_p2)+(D466&gt;th_p3)+(D466&gt;th_p4)</f>
        <v>4</v>
      </c>
      <c r="F466" s="10" t="str">
        <f aca="false">ex_ccat</f>
        <v>C</v>
      </c>
      <c r="G466" s="10" t="str">
        <f aca="false">E466&amp;F466</f>
        <v>4C</v>
      </c>
      <c r="H466" s="10" t="str">
        <f aca="false">IF(E466+MATCH(F466,{"A","B","C","D","E"},0)&lt;=5,"B",IF(E466+MATCH(F466,{"A","B","C","D","E"},0)=6,"M",IF(E466+MATCH(F466,{"A","B","C","D","E"},0)=7,"MA","A")))</f>
        <v>MA</v>
      </c>
      <c r="I466" s="10" t="n">
        <f aca="false">MATCH(H466,{"B","M","MA","A"},0)</f>
        <v>3</v>
      </c>
      <c r="J466" s="27" t="n">
        <f aca="false">ex_gff*D466*ex_fms*ex_fc</f>
        <v>547.630931728731</v>
      </c>
      <c r="K466" s="10" t="n">
        <f aca="false">$E$466-E466</f>
        <v>0</v>
      </c>
      <c r="L466" s="10" t="n">
        <f aca="false">$I$466-I466</f>
        <v>0</v>
      </c>
      <c r="M466" s="27" t="n">
        <f aca="false">$J$466-J466</f>
        <v>0</v>
      </c>
      <c r="N466" s="27" t="n">
        <v>0</v>
      </c>
      <c r="O466" s="10" t="s">
        <v>602</v>
      </c>
    </row>
    <row r="467" customFormat="false" ht="15" hidden="false" customHeight="false" outlineLevel="0" collapsed="false">
      <c r="A467" s="10" t="s">
        <v>419</v>
      </c>
      <c r="B467" s="10" t="s">
        <v>603</v>
      </c>
      <c r="C467" s="22" t="n">
        <v>2033</v>
      </c>
      <c r="D467" s="26" t="n">
        <f aca="false">INDEX($D$424:$D$437,MATCH(2033,$A$424:$A$437,0))</f>
        <v>3.89805984091619</v>
      </c>
      <c r="E467" s="10" t="n">
        <f aca="false">1+(D467&gt;th_p1)+(D467&gt;th_p2)+(D467&gt;th_p3)+(D467&gt;th_p4)</f>
        <v>2</v>
      </c>
      <c r="F467" s="10" t="str">
        <f aca="false">ex_ccat</f>
        <v>C</v>
      </c>
      <c r="G467" s="10" t="str">
        <f aca="false">E467&amp;F467</f>
        <v>2C</v>
      </c>
      <c r="H467" s="10" t="str">
        <f aca="false">IF(E467+MATCH(F467,{"A","B","C","D","E"},0)&lt;=5,"B",IF(E467+MATCH(F467,{"A","B","C","D","E"},0)=6,"M",IF(E467+MATCH(F467,{"A","B","C","D","E"},0)=7,"MA","A")))</f>
        <v>B</v>
      </c>
      <c r="I467" s="10" t="n">
        <f aca="false">MATCH(H467,{"B","M","MA","A"},0)</f>
        <v>1</v>
      </c>
      <c r="J467" s="27" t="n">
        <f aca="false">ex_gff*D467*ex_fms*ex_fc</f>
        <v>25.6494963081342</v>
      </c>
      <c r="K467" s="10" t="n">
        <f aca="false">$E$466-E467</f>
        <v>2</v>
      </c>
      <c r="L467" s="10" t="n">
        <f aca="false">$I$466-I467</f>
        <v>2</v>
      </c>
      <c r="M467" s="27" t="n">
        <f aca="false">$J$466-J467</f>
        <v>521.981435420597</v>
      </c>
      <c r="N467" s="27" t="n">
        <f aca="false">SUMPRODUCT(($A$424:$A$437&lt;=2033)*($M$424:$M$437+$N$424:$N$437))</f>
        <v>11080</v>
      </c>
      <c r="O467" s="10" t="s">
        <v>604</v>
      </c>
    </row>
    <row r="468" customFormat="false" ht="15" hidden="false" customHeight="false" outlineLevel="0" collapsed="false">
      <c r="A468" s="10" t="s">
        <v>605</v>
      </c>
      <c r="B468" s="10" t="s">
        <v>606</v>
      </c>
      <c r="C468" s="22" t="n">
        <v>2033</v>
      </c>
      <c r="D468" s="26" t="n">
        <f aca="false">INDEX($E$424:$E$437,MATCH(2033,$A$424:$A$437,0))</f>
        <v>0.0924730371557394</v>
      </c>
      <c r="E468" s="10" t="n">
        <f aca="false">1+(D468&gt;th_p1)+(D468&gt;th_p2)+(D468&gt;th_p3)+(D468&gt;th_p4)</f>
        <v>1</v>
      </c>
      <c r="F468" s="10" t="str">
        <f aca="false">ex_ccat</f>
        <v>C</v>
      </c>
      <c r="G468" s="10" t="str">
        <f aca="false">E468&amp;F468</f>
        <v>1C</v>
      </c>
      <c r="H468" s="10" t="str">
        <f aca="false">IF(E468+MATCH(F468,{"A","B","C","D","E"},0)&lt;=5,"B",IF(E468+MATCH(F468,{"A","B","C","D","E"},0)=6,"M",IF(E468+MATCH(F468,{"A","B","C","D","E"},0)=7,"MA","A")))</f>
        <v>B</v>
      </c>
      <c r="I468" s="10" t="n">
        <f aca="false">MATCH(H468,{"B","M","MA","A"},0)</f>
        <v>1</v>
      </c>
      <c r="J468" s="27" t="n">
        <f aca="false">ex_gff*D468*ex_fms*ex_fc</f>
        <v>0.608478813031924</v>
      </c>
      <c r="K468" s="10" t="n">
        <f aca="false">$E$466-E468</f>
        <v>3</v>
      </c>
      <c r="L468" s="10" t="n">
        <f aca="false">$I$466-I468</f>
        <v>2</v>
      </c>
      <c r="M468" s="27" t="n">
        <f aca="false">$J$466-J468</f>
        <v>547.022452915699</v>
      </c>
      <c r="N468" s="27" t="n">
        <f aca="false">SUMPRODUCT(($A$424:$A$437&lt;=2033)*($O$424:$O$437+$P$424:$P$437))</f>
        <v>810</v>
      </c>
      <c r="O468" s="10" t="s">
        <v>607</v>
      </c>
    </row>
    <row r="469" customFormat="false" ht="15" hidden="false" customHeight="false" outlineLevel="0" collapsed="false">
      <c r="A469" s="10" t="s">
        <v>608</v>
      </c>
      <c r="B469" s="10" t="s">
        <v>609</v>
      </c>
      <c r="C469" s="22" t="n">
        <v>2036</v>
      </c>
      <c r="D469" s="26" t="n">
        <f aca="false">ex_dfffs</f>
        <v>3</v>
      </c>
      <c r="E469" s="10" t="n">
        <f aca="false">1+(D469&gt;th_p1)+(D469&gt;th_p2)+(D469&gt;th_p3)+(D469&gt;th_p4)</f>
        <v>2</v>
      </c>
      <c r="F469" s="10" t="str">
        <f aca="false">ex_ccat</f>
        <v>C</v>
      </c>
      <c r="G469" s="10" t="str">
        <f aca="false">E469&amp;F469</f>
        <v>2C</v>
      </c>
      <c r="H469" s="10" t="str">
        <f aca="false">IF(E469+MATCH(F469,{"A","B","C","D","E"},0)&lt;=5,"B",IF(E469+MATCH(F469,{"A","B","C","D","E"},0)=6,"M",IF(E469+MATCH(F469,{"A","B","C","D","E"},0)=7,"MA","A")))</f>
        <v>B</v>
      </c>
      <c r="I469" s="10" t="n">
        <f aca="false">MATCH(H469,{"B","M","MA","A"},0)</f>
        <v>1</v>
      </c>
      <c r="J469" s="27" t="n">
        <f aca="false">ex_gff*D469*ex_fms*ex_fc</f>
        <v>19.7402020658351</v>
      </c>
      <c r="K469" s="10" t="n">
        <f aca="false">$E$466-E469</f>
        <v>2</v>
      </c>
      <c r="L469" s="10" t="n">
        <f aca="false">$I$466-I469</f>
        <v>2</v>
      </c>
      <c r="M469" s="27" t="n">
        <f aca="false">$J$466-J469</f>
        <v>527.890729662896</v>
      </c>
      <c r="N469" s="27" t="n">
        <f aca="false">ex_cffs</f>
        <v>15000</v>
      </c>
      <c r="O469" s="10" t="s">
        <v>610</v>
      </c>
    </row>
    <row r="470" customFormat="false" ht="15" hidden="false" customHeight="false" outlineLevel="0" collapsed="false">
      <c r="A470" s="10" t="s">
        <v>611</v>
      </c>
      <c r="B470" s="10" t="s">
        <v>612</v>
      </c>
      <c r="C470" s="22" t="n">
        <v>2036</v>
      </c>
      <c r="D470" s="26" t="n">
        <f aca="false">ex_dfrep</f>
        <v>1</v>
      </c>
      <c r="E470" s="10" t="n">
        <f aca="false">1+(D470&gt;th_p1)+(D470&gt;th_p2)+(D470&gt;th_p3)+(D470&gt;th_p4)</f>
        <v>1</v>
      </c>
      <c r="F470" s="10" t="str">
        <f aca="false">ex_ccat</f>
        <v>C</v>
      </c>
      <c r="G470" s="10" t="str">
        <f aca="false">E470&amp;F470</f>
        <v>1C</v>
      </c>
      <c r="H470" s="10" t="str">
        <f aca="false">IF(E470+MATCH(F470,{"A","B","C","D","E"},0)&lt;=5,"B",IF(E470+MATCH(F470,{"A","B","C","D","E"},0)=6,"M",IF(E470+MATCH(F470,{"A","B","C","D","E"},0)=7,"MA","A")))</f>
        <v>B</v>
      </c>
      <c r="I470" s="10" t="n">
        <f aca="false">MATCH(H470,{"B","M","MA","A"},0)</f>
        <v>1</v>
      </c>
      <c r="J470" s="27" t="n">
        <f aca="false">ex_gff*D470*ex_fms*ex_fc</f>
        <v>6.58006735527836</v>
      </c>
      <c r="K470" s="10" t="n">
        <f aca="false">$E$466-E470</f>
        <v>3</v>
      </c>
      <c r="L470" s="10" t="n">
        <f aca="false">$I$466-I470</f>
        <v>2</v>
      </c>
      <c r="M470" s="27" t="n">
        <f aca="false">$J$466-J470</f>
        <v>541.050864373453</v>
      </c>
      <c r="N470" s="27" t="n">
        <f aca="false">ex_cffs+ex_crep</f>
        <v>55000</v>
      </c>
      <c r="O470" s="10" t="s">
        <v>613</v>
      </c>
    </row>
    <row r="472" customFormat="false" ht="15" hidden="false" customHeight="true" outlineLevel="0" collapsed="false">
      <c r="A472" s="42" t="s">
        <v>614</v>
      </c>
      <c r="B472" s="42"/>
      <c r="C472" s="42"/>
      <c r="D472" s="42"/>
      <c r="E472" s="42"/>
      <c r="F472" s="42"/>
      <c r="G472" s="42"/>
      <c r="H472" s="42"/>
      <c r="I472" s="42"/>
      <c r="J472" s="42"/>
      <c r="K472" s="42"/>
      <c r="L472" s="42"/>
      <c r="M472" s="42"/>
      <c r="N472" s="42"/>
      <c r="O472" s="42"/>
      <c r="P472" s="42"/>
    </row>
    <row r="473" customFormat="false" ht="15" hidden="false" customHeight="false" outlineLevel="0" collapsed="false">
      <c r="A473" s="17" t="s">
        <v>238</v>
      </c>
      <c r="B473" s="17" t="s">
        <v>239</v>
      </c>
      <c r="C473" s="17" t="s">
        <v>240</v>
      </c>
      <c r="D473" s="17" t="s">
        <v>241</v>
      </c>
      <c r="E473" s="17" t="s">
        <v>242</v>
      </c>
      <c r="F473" s="17" t="s">
        <v>243</v>
      </c>
    </row>
    <row r="474" customFormat="false" ht="15" hidden="false" customHeight="false" outlineLevel="0" collapsed="false">
      <c r="A474" s="17" t="n">
        <v>5</v>
      </c>
      <c r="B474" s="28" t="str">
        <f aca="false">IF($A474+1&lt;=5,"B",IF($A474+1=6,"M",IF($A474+1=7,"MA","A")))&amp;IF($G$465=$A474&amp;"A"," ["&amp;$B$465&amp;"]","")&amp;IF($G$466=$A474&amp;"A"," ["&amp;$B$466&amp;"]","")&amp;IF($G$467=$A474&amp;"A"," ["&amp;$B$467&amp;"]","")&amp;IF($G$468=$A474&amp;"A"," ["&amp;$B$468&amp;"]","")&amp;IF($G$469=$A474&amp;"A"," ["&amp;$B$469&amp;"]","")&amp;IF($G$470=$A474&amp;"A"," ["&amp;$B$470&amp;"]","")</f>
        <v>M</v>
      </c>
      <c r="C474" s="28" t="str">
        <f aca="false">IF($A474+2&lt;=5,"B",IF($A474+2=6,"M",IF($A474+2=7,"MA","A")))&amp;IF($G$465=$A474&amp;"B"," ["&amp;$B$465&amp;"]","")&amp;IF($G$466=$A474&amp;"B"," ["&amp;$B$466&amp;"]","")&amp;IF($G$467=$A474&amp;"B"," ["&amp;$B$467&amp;"]","")&amp;IF($G$468=$A474&amp;"B"," ["&amp;$B$468&amp;"]","")&amp;IF($G$469=$A474&amp;"B"," ["&amp;$B$469&amp;"]","")&amp;IF($G$470=$A474&amp;"B"," ["&amp;$B$470&amp;"]","")</f>
        <v>MA</v>
      </c>
      <c r="D474" s="28" t="str">
        <f aca="false">IF($A474+3&lt;=5,"B",IF($A474+3=6,"M",IF($A474+3=7,"MA","A")))&amp;IF($G$465=$A474&amp;"C"," ["&amp;$B$465&amp;"]","")&amp;IF($G$466=$A474&amp;"C"," ["&amp;$B$466&amp;"]","")&amp;IF($G$467=$A474&amp;"C"," ["&amp;$B$467&amp;"]","")&amp;IF($G$468=$A474&amp;"C"," ["&amp;$B$468&amp;"]","")&amp;IF($G$469=$A474&amp;"C"," ["&amp;$B$469&amp;"]","")&amp;IF($G$470=$A474&amp;"C"," ["&amp;$B$470&amp;"]","")</f>
        <v>A</v>
      </c>
      <c r="E474" s="28" t="str">
        <f aca="false">IF($A474+4&lt;=5,"B",IF($A474+4=6,"M",IF($A474+4=7,"MA","A")))&amp;IF($G$465=$A474&amp;"D"," ["&amp;$B$465&amp;"]","")&amp;IF($G$466=$A474&amp;"D"," ["&amp;$B$466&amp;"]","")&amp;IF($G$467=$A474&amp;"D"," ["&amp;$B$467&amp;"]","")&amp;IF($G$468=$A474&amp;"D"," ["&amp;$B$468&amp;"]","")&amp;IF($G$469=$A474&amp;"D"," ["&amp;$B$469&amp;"]","")&amp;IF($G$470=$A474&amp;"D"," ["&amp;$B$470&amp;"]","")</f>
        <v>A</v>
      </c>
      <c r="F474" s="28" t="str">
        <f aca="false">IF($A474+5&lt;=5,"B",IF($A474+5=6,"M",IF($A474+5=7,"MA","A")))&amp;IF($G$465=$A474&amp;"E"," ["&amp;$B$465&amp;"]","")&amp;IF($G$466=$A474&amp;"E"," ["&amp;$B$466&amp;"]","")&amp;IF($G$467=$A474&amp;"E"," ["&amp;$B$467&amp;"]","")&amp;IF($G$468=$A474&amp;"E"," ["&amp;$B$468&amp;"]","")&amp;IF($G$469=$A474&amp;"E"," ["&amp;$B$469&amp;"]","")&amp;IF($G$470=$A474&amp;"E"," ["&amp;$B$470&amp;"]","")</f>
        <v>A</v>
      </c>
    </row>
    <row r="475" customFormat="false" ht="15" hidden="false" customHeight="false" outlineLevel="0" collapsed="false">
      <c r="A475" s="17" t="n">
        <v>4</v>
      </c>
      <c r="B475" s="28" t="str">
        <f aca="false">IF($A475+1&lt;=5,"B",IF($A475+1=6,"M",IF($A475+1=7,"MA","A")))&amp;IF($G$465=$A475&amp;"A"," ["&amp;$B$465&amp;"]","")&amp;IF($G$466=$A475&amp;"A"," ["&amp;$B$466&amp;"]","")&amp;IF($G$467=$A475&amp;"A"," ["&amp;$B$467&amp;"]","")&amp;IF($G$468=$A475&amp;"A"," ["&amp;$B$468&amp;"]","")&amp;IF($G$469=$A475&amp;"A"," ["&amp;$B$469&amp;"]","")&amp;IF($G$470=$A475&amp;"A"," ["&amp;$B$470&amp;"]","")</f>
        <v>B</v>
      </c>
      <c r="C475" s="28" t="str">
        <f aca="false">IF($A475+2&lt;=5,"B",IF($A475+2=6,"M",IF($A475+2=7,"MA","A")))&amp;IF($G$465=$A475&amp;"B"," ["&amp;$B$465&amp;"]","")&amp;IF($G$466=$A475&amp;"B"," ["&amp;$B$466&amp;"]","")&amp;IF($G$467=$A475&amp;"B"," ["&amp;$B$467&amp;"]","")&amp;IF($G$468=$A475&amp;"B"," ["&amp;$B$468&amp;"]","")&amp;IF($G$469=$A475&amp;"B"," ["&amp;$B$469&amp;"]","")&amp;IF($G$470=$A475&amp;"B"," ["&amp;$B$470&amp;"]","")</f>
        <v>M</v>
      </c>
      <c r="D475" s="28" t="str">
        <f aca="false">IF($A475+3&lt;=5,"B",IF($A475+3=6,"M",IF($A475+3=7,"MA","A")))&amp;IF($G$465=$A475&amp;"C"," ["&amp;$B$465&amp;"]","")&amp;IF($G$466=$A475&amp;"C"," ["&amp;$B$466&amp;"]","")&amp;IF($G$467=$A475&amp;"C"," ["&amp;$B$467&amp;"]","")&amp;IF($G$468=$A475&amp;"C"," ["&amp;$B$468&amp;"]","")&amp;IF($G$469=$A475&amp;"C"," ["&amp;$B$469&amp;"]","")&amp;IF($G$470=$A475&amp;"C"," ["&amp;$B$470&amp;"]","")</f>
        <v>MA [N]</v>
      </c>
      <c r="E475" s="28" t="str">
        <f aca="false">IF($A475+4&lt;=5,"B",IF($A475+4=6,"M",IF($A475+4=7,"MA","A")))&amp;IF($G$465=$A475&amp;"D"," ["&amp;$B$465&amp;"]","")&amp;IF($G$466=$A475&amp;"D"," ["&amp;$B$466&amp;"]","")&amp;IF($G$467=$A475&amp;"D"," ["&amp;$B$467&amp;"]","")&amp;IF($G$468=$A475&amp;"D"," ["&amp;$B$468&amp;"]","")&amp;IF($G$469=$A475&amp;"D"," ["&amp;$B$469&amp;"]","")&amp;IF($G$470=$A475&amp;"D"," ["&amp;$B$470&amp;"]","")</f>
        <v>A</v>
      </c>
      <c r="F475" s="28" t="str">
        <f aca="false">IF($A475+5&lt;=5,"B",IF($A475+5=6,"M",IF($A475+5=7,"MA","A")))&amp;IF($G$465=$A475&amp;"E"," ["&amp;$B$465&amp;"]","")&amp;IF($G$466=$A475&amp;"E"," ["&amp;$B$466&amp;"]","")&amp;IF($G$467=$A475&amp;"E"," ["&amp;$B$467&amp;"]","")&amp;IF($G$468=$A475&amp;"E"," ["&amp;$B$468&amp;"]","")&amp;IF($G$469=$A475&amp;"E"," ["&amp;$B$469&amp;"]","")&amp;IF($G$470=$A475&amp;"E"," ["&amp;$B$470&amp;"]","")</f>
        <v>A</v>
      </c>
    </row>
    <row r="476" customFormat="false" ht="15" hidden="false" customHeight="false" outlineLevel="0" collapsed="false">
      <c r="A476" s="17" t="n">
        <v>3</v>
      </c>
      <c r="B476" s="28" t="str">
        <f aca="false">IF($A476+1&lt;=5,"B",IF($A476+1=6,"M",IF($A476+1=7,"MA","A")))&amp;IF($G$465=$A476&amp;"A"," ["&amp;$B$465&amp;"]","")&amp;IF($G$466=$A476&amp;"A"," ["&amp;$B$466&amp;"]","")&amp;IF($G$467=$A476&amp;"A"," ["&amp;$B$467&amp;"]","")&amp;IF($G$468=$A476&amp;"A"," ["&amp;$B$468&amp;"]","")&amp;IF($G$469=$A476&amp;"A"," ["&amp;$B$469&amp;"]","")&amp;IF($G$470=$A476&amp;"A"," ["&amp;$B$470&amp;"]","")</f>
        <v>B</v>
      </c>
      <c r="C476" s="28" t="str">
        <f aca="false">IF($A476+2&lt;=5,"B",IF($A476+2=6,"M",IF($A476+2=7,"MA","A")))&amp;IF($G$465=$A476&amp;"B"," ["&amp;$B$465&amp;"]","")&amp;IF($G$466=$A476&amp;"B"," ["&amp;$B$466&amp;"]","")&amp;IF($G$467=$A476&amp;"B"," ["&amp;$B$467&amp;"]","")&amp;IF($G$468=$A476&amp;"B"," ["&amp;$B$468&amp;"]","")&amp;IF($G$469=$A476&amp;"B"," ["&amp;$B$469&amp;"]","")&amp;IF($G$470=$A476&amp;"B"," ["&amp;$B$470&amp;"]","")</f>
        <v>B</v>
      </c>
      <c r="D476" s="28" t="str">
        <f aca="false">IF($A476+3&lt;=5,"B",IF($A476+3=6,"M",IF($A476+3=7,"MA","A")))&amp;IF($G$465=$A476&amp;"C"," ["&amp;$B$465&amp;"]","")&amp;IF($G$466=$A476&amp;"C"," ["&amp;$B$466&amp;"]","")&amp;IF($G$467=$A476&amp;"C"," ["&amp;$B$467&amp;"]","")&amp;IF($G$468=$A476&amp;"C"," ["&amp;$B$468&amp;"]","")&amp;IF($G$469=$A476&amp;"C"," ["&amp;$B$469&amp;"]","")&amp;IF($G$470=$A476&amp;"C"," ["&amp;$B$470&amp;"]","")</f>
        <v>M</v>
      </c>
      <c r="E476" s="28" t="str">
        <f aca="false">IF($A476+4&lt;=5,"B",IF($A476+4=6,"M",IF($A476+4=7,"MA","A")))&amp;IF($G$465=$A476&amp;"D"," ["&amp;$B$465&amp;"]","")&amp;IF($G$466=$A476&amp;"D"," ["&amp;$B$466&amp;"]","")&amp;IF($G$467=$A476&amp;"D"," ["&amp;$B$467&amp;"]","")&amp;IF($G$468=$A476&amp;"D"," ["&amp;$B$468&amp;"]","")&amp;IF($G$469=$A476&amp;"D"," ["&amp;$B$469&amp;"]","")&amp;IF($G$470=$A476&amp;"D"," ["&amp;$B$470&amp;"]","")</f>
        <v>MA</v>
      </c>
      <c r="F476" s="28" t="str">
        <f aca="false">IF($A476+5&lt;=5,"B",IF($A476+5=6,"M",IF($A476+5=7,"MA","A")))&amp;IF($G$465=$A476&amp;"E"," ["&amp;$B$465&amp;"]","")&amp;IF($G$466=$A476&amp;"E"," ["&amp;$B$466&amp;"]","")&amp;IF($G$467=$A476&amp;"E"," ["&amp;$B$467&amp;"]","")&amp;IF($G$468=$A476&amp;"E"," ["&amp;$B$468&amp;"]","")&amp;IF($G$469=$A476&amp;"E"," ["&amp;$B$469&amp;"]","")&amp;IF($G$470=$A476&amp;"E"," ["&amp;$B$470&amp;"]","")</f>
        <v>A</v>
      </c>
    </row>
    <row r="477" customFormat="false" ht="15" hidden="false" customHeight="false" outlineLevel="0" collapsed="false">
      <c r="A477" s="17" t="n">
        <v>2</v>
      </c>
      <c r="B477" s="28" t="str">
        <f aca="false">IF($A477+1&lt;=5,"B",IF($A477+1=6,"M",IF($A477+1=7,"MA","A")))&amp;IF($G$465=$A477&amp;"A"," ["&amp;$B$465&amp;"]","")&amp;IF($G$466=$A477&amp;"A"," ["&amp;$B$466&amp;"]","")&amp;IF($G$467=$A477&amp;"A"," ["&amp;$B$467&amp;"]","")&amp;IF($G$468=$A477&amp;"A"," ["&amp;$B$468&amp;"]","")&amp;IF($G$469=$A477&amp;"A"," ["&amp;$B$469&amp;"]","")&amp;IF($G$470=$A477&amp;"A"," ["&amp;$B$470&amp;"]","")</f>
        <v>B</v>
      </c>
      <c r="C477" s="28" t="str">
        <f aca="false">IF($A477+2&lt;=5,"B",IF($A477+2=6,"M",IF($A477+2=7,"MA","A")))&amp;IF($G$465=$A477&amp;"B"," ["&amp;$B$465&amp;"]","")&amp;IF($G$466=$A477&amp;"B"," ["&amp;$B$466&amp;"]","")&amp;IF($G$467=$A477&amp;"B"," ["&amp;$B$467&amp;"]","")&amp;IF($G$468=$A477&amp;"B"," ["&amp;$B$468&amp;"]","")&amp;IF($G$469=$A477&amp;"B"," ["&amp;$B$469&amp;"]","")&amp;IF($G$470=$A477&amp;"B"," ["&amp;$B$470&amp;"]","")</f>
        <v>B</v>
      </c>
      <c r="D477" s="28" t="str">
        <f aca="false">IF($A477+3&lt;=5,"B",IF($A477+3=6,"M",IF($A477+3=7,"MA","A")))&amp;IF($G$465=$A477&amp;"C"," ["&amp;$B$465&amp;"]","")&amp;IF($G$466=$A477&amp;"C"," ["&amp;$B$466&amp;"]","")&amp;IF($G$467=$A477&amp;"C"," ["&amp;$B$467&amp;"]","")&amp;IF($G$468=$A477&amp;"C"," ["&amp;$B$468&amp;"]","")&amp;IF($G$469=$A477&amp;"C"," ["&amp;$B$469&amp;"]","")&amp;IF($G$470=$A477&amp;"C"," ["&amp;$B$470&amp;"]","")</f>
        <v>B [T] [F]</v>
      </c>
      <c r="E477" s="28" t="str">
        <f aca="false">IF($A477+4&lt;=5,"B",IF($A477+4=6,"M",IF($A477+4=7,"MA","A")))&amp;IF($G$465=$A477&amp;"D"," ["&amp;$B$465&amp;"]","")&amp;IF($G$466=$A477&amp;"D"," ["&amp;$B$466&amp;"]","")&amp;IF($G$467=$A477&amp;"D"," ["&amp;$B$467&amp;"]","")&amp;IF($G$468=$A477&amp;"D"," ["&amp;$B$468&amp;"]","")&amp;IF($G$469=$A477&amp;"D"," ["&amp;$B$469&amp;"]","")&amp;IF($G$470=$A477&amp;"D"," ["&amp;$B$470&amp;"]","")</f>
        <v>M</v>
      </c>
      <c r="F477" s="28" t="str">
        <f aca="false">IF($A477+5&lt;=5,"B",IF($A477+5=6,"M",IF($A477+5=7,"MA","A")))&amp;IF($G$465=$A477&amp;"E"," ["&amp;$B$465&amp;"]","")&amp;IF($G$466=$A477&amp;"E"," ["&amp;$B$466&amp;"]","")&amp;IF($G$467=$A477&amp;"E"," ["&amp;$B$467&amp;"]","")&amp;IF($G$468=$A477&amp;"E"," ["&amp;$B$468&amp;"]","")&amp;IF($G$469=$A477&amp;"E"," ["&amp;$B$469&amp;"]","")&amp;IF($G$470=$A477&amp;"E"," ["&amp;$B$470&amp;"]","")</f>
        <v>MA</v>
      </c>
    </row>
    <row r="478" customFormat="false" ht="15" hidden="false" customHeight="false" outlineLevel="0" collapsed="false">
      <c r="A478" s="17" t="n">
        <v>1</v>
      </c>
      <c r="B478" s="28" t="str">
        <f aca="false">IF($A478+1&lt;=5,"B",IF($A478+1=6,"M",IF($A478+1=7,"MA","A")))&amp;IF($G$465=$A478&amp;"A"," ["&amp;$B$465&amp;"]","")&amp;IF($G$466=$A478&amp;"A"," ["&amp;$B$466&amp;"]","")&amp;IF($G$467=$A478&amp;"A"," ["&amp;$B$467&amp;"]","")&amp;IF($G$468=$A478&amp;"A"," ["&amp;$B$468&amp;"]","")&amp;IF($G$469=$A478&amp;"A"," ["&amp;$B$469&amp;"]","")&amp;IF($G$470=$A478&amp;"A"," ["&amp;$B$470&amp;"]","")</f>
        <v>B</v>
      </c>
      <c r="C478" s="28" t="str">
        <f aca="false">IF($A478+2&lt;=5,"B",IF($A478+2=6,"M",IF($A478+2=7,"MA","A")))&amp;IF($G$465=$A478&amp;"B"," ["&amp;$B$465&amp;"]","")&amp;IF($G$466=$A478&amp;"B"," ["&amp;$B$466&amp;"]","")&amp;IF($G$467=$A478&amp;"B"," ["&amp;$B$467&amp;"]","")&amp;IF($G$468=$A478&amp;"B"," ["&amp;$B$468&amp;"]","")&amp;IF($G$469=$A478&amp;"B"," ["&amp;$B$469&amp;"]","")&amp;IF($G$470=$A478&amp;"B"," ["&amp;$B$470&amp;"]","")</f>
        <v>B</v>
      </c>
      <c r="D478" s="28" t="str">
        <f aca="false">IF($A478+3&lt;=5,"B",IF($A478+3=6,"M",IF($A478+3=7,"MA","A")))&amp;IF($G$465=$A478&amp;"C"," ["&amp;$B$465&amp;"]","")&amp;IF($G$466=$A478&amp;"C"," ["&amp;$B$466&amp;"]","")&amp;IF($G$467=$A478&amp;"C"," ["&amp;$B$467&amp;"]","")&amp;IF($G$468=$A478&amp;"C"," ["&amp;$B$468&amp;"]","")&amp;IF($G$469=$A478&amp;"C"," ["&amp;$B$469&amp;"]","")&amp;IF($G$470=$A478&amp;"C"," ["&amp;$B$470&amp;"]","")</f>
        <v>B [I] [R] [X]</v>
      </c>
      <c r="E478" s="28" t="str">
        <f aca="false">IF($A478+4&lt;=5,"B",IF($A478+4=6,"M",IF($A478+4=7,"MA","A")))&amp;IF($G$465=$A478&amp;"D"," ["&amp;$B$465&amp;"]","")&amp;IF($G$466=$A478&amp;"D"," ["&amp;$B$466&amp;"]","")&amp;IF($G$467=$A478&amp;"D"," ["&amp;$B$467&amp;"]","")&amp;IF($G$468=$A478&amp;"D"," ["&amp;$B$468&amp;"]","")&amp;IF($G$469=$A478&amp;"D"," ["&amp;$B$469&amp;"]","")&amp;IF($G$470=$A478&amp;"D"," ["&amp;$B$470&amp;"]","")</f>
        <v>B</v>
      </c>
      <c r="F478" s="28" t="str">
        <f aca="false">IF($A478+5&lt;=5,"B",IF($A478+5=6,"M",IF($A478+5=7,"MA","A")))&amp;IF($G$465=$A478&amp;"E"," ["&amp;$B$465&amp;"]","")&amp;IF($G$466=$A478&amp;"E"," ["&amp;$B$466&amp;"]","")&amp;IF($G$467=$A478&amp;"E"," ["&amp;$B$467&amp;"]","")&amp;IF($G$468=$A478&amp;"E"," ["&amp;$B$468&amp;"]","")&amp;IF($G$469=$A478&amp;"E"," ["&amp;$B$469&amp;"]","")&amp;IF($G$470=$A478&amp;"E"," ["&amp;$B$470&amp;"]","")</f>
        <v>M</v>
      </c>
    </row>
    <row r="480" customFormat="false" ht="30" hidden="false" customHeight="true" outlineLevel="0" collapsed="false">
      <c r="A480" s="5" t="s">
        <v>615</v>
      </c>
      <c r="B480" s="5"/>
      <c r="C480" s="5"/>
      <c r="D480" s="5"/>
      <c r="E480" s="5"/>
      <c r="F480" s="5"/>
      <c r="G480" s="5"/>
      <c r="H480" s="5"/>
      <c r="I480" s="5"/>
      <c r="J480" s="5"/>
      <c r="K480" s="5"/>
      <c r="L480" s="5"/>
      <c r="M480" s="5"/>
      <c r="N480" s="5"/>
      <c r="O480" s="5"/>
      <c r="P480" s="5"/>
    </row>
    <row r="482" customFormat="false" ht="15" hidden="false" customHeight="false" outlineLevel="0" collapsed="false">
      <c r="A482" s="3" t="s">
        <v>616</v>
      </c>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customFormat="false" ht="30" hidden="false" customHeight="true" outlineLevel="0" collapsed="false">
      <c r="A483" s="5" t="s">
        <v>617</v>
      </c>
      <c r="B483" s="5"/>
      <c r="C483" s="5"/>
      <c r="D483" s="5"/>
      <c r="E483" s="5"/>
      <c r="F483" s="5"/>
      <c r="G483" s="5"/>
      <c r="H483" s="5"/>
      <c r="I483" s="5"/>
      <c r="J483" s="5"/>
      <c r="K483" s="5"/>
      <c r="L483" s="5"/>
      <c r="M483" s="5"/>
      <c r="N483" s="5"/>
      <c r="O483" s="5"/>
      <c r="P483" s="5"/>
    </row>
    <row r="484" customFormat="false" ht="30" hidden="false" customHeight="true" outlineLevel="0" collapsed="false">
      <c r="A484" s="5" t="s">
        <v>618</v>
      </c>
      <c r="B484" s="5"/>
      <c r="C484" s="5"/>
      <c r="D484" s="5"/>
      <c r="E484" s="5"/>
      <c r="F484" s="5"/>
      <c r="G484" s="5"/>
      <c r="H484" s="5"/>
      <c r="I484" s="5"/>
      <c r="J484" s="5"/>
      <c r="K484" s="5"/>
      <c r="L484" s="5"/>
      <c r="M484" s="5"/>
      <c r="N484" s="5"/>
      <c r="O484" s="5"/>
      <c r="P484" s="5"/>
    </row>
    <row r="485" customFormat="false" ht="30" hidden="false" customHeight="true" outlineLevel="0" collapsed="false">
      <c r="A485" s="5" t="s">
        <v>619</v>
      </c>
      <c r="B485" s="5"/>
      <c r="C485" s="5"/>
      <c r="D485" s="5"/>
      <c r="E485" s="5"/>
      <c r="F485" s="5"/>
      <c r="G485" s="5"/>
      <c r="H485" s="5"/>
      <c r="I485" s="5"/>
      <c r="J485" s="5"/>
      <c r="K485" s="5"/>
      <c r="L485" s="5"/>
      <c r="M485" s="5"/>
      <c r="N485" s="5"/>
      <c r="O485" s="5"/>
      <c r="P485" s="5"/>
    </row>
    <row r="486" customFormat="false" ht="30" hidden="false" customHeight="true" outlineLevel="0" collapsed="false">
      <c r="A486" s="5" t="s">
        <v>620</v>
      </c>
      <c r="B486" s="5"/>
      <c r="C486" s="5"/>
      <c r="D486" s="5"/>
      <c r="E486" s="5"/>
      <c r="F486" s="5"/>
      <c r="G486" s="5"/>
      <c r="H486" s="5"/>
      <c r="I486" s="5"/>
      <c r="J486" s="5"/>
      <c r="K486" s="5"/>
      <c r="L486" s="5"/>
      <c r="M486" s="5"/>
      <c r="N486" s="5"/>
      <c r="O486" s="5"/>
      <c r="P486" s="5"/>
    </row>
    <row r="488" customFormat="false" ht="15" hidden="false" customHeight="false" outlineLevel="0" collapsed="false">
      <c r="A488" s="3" t="s">
        <v>621</v>
      </c>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customFormat="false" ht="42" hidden="false" customHeight="true" outlineLevel="0" collapsed="false">
      <c r="A489" s="9" t="s">
        <v>23</v>
      </c>
      <c r="B489" s="9" t="s">
        <v>24</v>
      </c>
      <c r="C489" s="9" t="s">
        <v>25</v>
      </c>
      <c r="D489" s="9" t="s">
        <v>622</v>
      </c>
      <c r="E489" s="9" t="s">
        <v>27</v>
      </c>
    </row>
    <row r="490" customFormat="false" ht="15" hidden="false" customHeight="false" outlineLevel="0" collapsed="false">
      <c r="A490" s="10" t="s">
        <v>623</v>
      </c>
      <c r="B490" s="19" t="n">
        <v>250000</v>
      </c>
      <c r="C490" s="10" t="s">
        <v>624</v>
      </c>
      <c r="D490" s="10" t="s">
        <v>625</v>
      </c>
      <c r="E490" s="10" t="s">
        <v>626</v>
      </c>
    </row>
    <row r="491" customFormat="false" ht="15" hidden="false" customHeight="false" outlineLevel="0" collapsed="false">
      <c r="A491" s="10" t="s">
        <v>627</v>
      </c>
      <c r="B491" s="14" t="n">
        <v>52</v>
      </c>
      <c r="C491" s="10" t="s">
        <v>628</v>
      </c>
      <c r="D491" s="10" t="s">
        <v>625</v>
      </c>
      <c r="E491" s="10" t="s">
        <v>626</v>
      </c>
    </row>
    <row r="492" customFormat="false" ht="15" hidden="false" customHeight="false" outlineLevel="0" collapsed="false">
      <c r="A492" s="10" t="s">
        <v>629</v>
      </c>
      <c r="B492" s="31" t="n">
        <f aca="false">bga_cap/bga_un</f>
        <v>4807.69230769231</v>
      </c>
      <c r="C492" s="10" t="s">
        <v>624</v>
      </c>
      <c r="D492" s="10" t="s">
        <v>630</v>
      </c>
      <c r="E492" s="10" t="s">
        <v>523</v>
      </c>
    </row>
    <row r="493" customFormat="false" ht="15" hidden="false" customHeight="false" outlineLevel="0" collapsed="false">
      <c r="A493" s="10" t="s">
        <v>631</v>
      </c>
      <c r="B493" s="31" t="n">
        <f aca="false">bga_avg*margin_base</f>
        <v>38461.5384615385</v>
      </c>
      <c r="C493" s="10" t="s">
        <v>89</v>
      </c>
      <c r="D493" s="10" t="s">
        <v>632</v>
      </c>
      <c r="E493" s="10" t="s">
        <v>633</v>
      </c>
    </row>
    <row r="494" customFormat="false" ht="15" hidden="false" customHeight="false" outlineLevel="0" collapsed="false">
      <c r="A494" s="10" t="s">
        <v>634</v>
      </c>
      <c r="B494" s="18" t="n">
        <f aca="false">bga_val/ex_prod</f>
        <v>0.961538461538462</v>
      </c>
      <c r="C494" s="10" t="s">
        <v>45</v>
      </c>
      <c r="D494" s="10" t="s">
        <v>635</v>
      </c>
      <c r="E494" s="10" t="s">
        <v>523</v>
      </c>
    </row>
    <row r="496" customFormat="false" ht="42" hidden="false" customHeight="true" outlineLevel="0" collapsed="false">
      <c r="A496" s="9" t="s">
        <v>636</v>
      </c>
      <c r="B496" s="9" t="s">
        <v>637</v>
      </c>
      <c r="C496" s="9"/>
      <c r="D496" s="9" t="s">
        <v>638</v>
      </c>
      <c r="E496" s="9"/>
    </row>
    <row r="497" customFormat="false" ht="15" hidden="false" customHeight="false" outlineLevel="0" collapsed="false">
      <c r="A497" s="14" t="n">
        <v>1</v>
      </c>
      <c r="B497" s="27" t="n">
        <f aca="false">A497*C194</f>
        <v>4106475.85764102</v>
      </c>
      <c r="D497" s="10" t="s">
        <v>639</v>
      </c>
    </row>
    <row r="498" customFormat="false" ht="15" hidden="false" customHeight="false" outlineLevel="0" collapsed="false">
      <c r="A498" s="14" t="n">
        <v>5</v>
      </c>
      <c r="B498" s="27" t="n">
        <f aca="false">A498*C194</f>
        <v>20532379.2882051</v>
      </c>
      <c r="D498" s="10"/>
    </row>
    <row r="499" customFormat="false" ht="15" hidden="false" customHeight="false" outlineLevel="0" collapsed="false">
      <c r="A499" s="14" t="n">
        <v>10</v>
      </c>
      <c r="B499" s="27" t="n">
        <f aca="false">A499*C194</f>
        <v>41064758.5764102</v>
      </c>
      <c r="D499" s="10"/>
    </row>
    <row r="500" customFormat="false" ht="15" hidden="false" customHeight="false" outlineLevel="0" collapsed="false">
      <c r="A500" s="14" t="n">
        <v>25</v>
      </c>
      <c r="B500" s="27" t="n">
        <f aca="false">A500*C194</f>
        <v>102661896.441026</v>
      </c>
      <c r="D500" s="10"/>
    </row>
    <row r="501" customFormat="false" ht="15" hidden="false" customHeight="false" outlineLevel="0" collapsed="false">
      <c r="A501" s="14" t="n">
        <v>50</v>
      </c>
      <c r="B501" s="27" t="n">
        <f aca="false">A501*C194</f>
        <v>205323792.882051</v>
      </c>
      <c r="D501" s="10"/>
    </row>
    <row r="503" customFormat="false" ht="42" hidden="false" customHeight="true" outlineLevel="0" collapsed="false">
      <c r="A503" s="9" t="s">
        <v>640</v>
      </c>
      <c r="B503" s="9" t="s">
        <v>641</v>
      </c>
      <c r="C503" s="9" t="s">
        <v>642</v>
      </c>
      <c r="D503" s="9" t="s">
        <v>643</v>
      </c>
      <c r="E503" s="9" t="s">
        <v>27</v>
      </c>
    </row>
    <row r="504" customFormat="false" ht="48" hidden="false" customHeight="true" outlineLevel="0" collapsed="false">
      <c r="A504" s="12" t="s">
        <v>644</v>
      </c>
      <c r="B504" s="12" t="s">
        <v>645</v>
      </c>
      <c r="C504" s="12" t="s">
        <v>646</v>
      </c>
      <c r="D504" s="12" t="s">
        <v>647</v>
      </c>
      <c r="E504" s="12" t="s">
        <v>648</v>
      </c>
    </row>
    <row r="505" customFormat="false" ht="48" hidden="false" customHeight="true" outlineLevel="0" collapsed="false">
      <c r="A505" s="12" t="s">
        <v>649</v>
      </c>
      <c r="B505" s="12" t="s">
        <v>650</v>
      </c>
      <c r="C505" s="12" t="s">
        <v>651</v>
      </c>
      <c r="D505" s="12" t="s">
        <v>652</v>
      </c>
      <c r="E505" s="12" t="s">
        <v>653</v>
      </c>
    </row>
    <row r="506" customFormat="false" ht="48" hidden="false" customHeight="true" outlineLevel="0" collapsed="false">
      <c r="A506" s="12" t="s">
        <v>654</v>
      </c>
      <c r="B506" s="12" t="s">
        <v>655</v>
      </c>
      <c r="C506" s="12" t="s">
        <v>656</v>
      </c>
      <c r="D506" s="12" t="s">
        <v>657</v>
      </c>
      <c r="E506" s="12" t="s">
        <v>658</v>
      </c>
    </row>
    <row r="507" customFormat="false" ht="48" hidden="false" customHeight="true" outlineLevel="0" collapsed="false">
      <c r="A507" s="12" t="s">
        <v>659</v>
      </c>
      <c r="B507" s="12" t="s">
        <v>660</v>
      </c>
      <c r="C507" s="12" t="s">
        <v>661</v>
      </c>
      <c r="D507" s="12" t="s">
        <v>662</v>
      </c>
      <c r="E507" s="12" t="s">
        <v>663</v>
      </c>
    </row>
    <row r="508" customFormat="false" ht="30" hidden="false" customHeight="true" outlineLevel="0" collapsed="false">
      <c r="A508" s="5" t="s">
        <v>664</v>
      </c>
      <c r="B508" s="5"/>
      <c r="C508" s="5"/>
      <c r="D508" s="5"/>
      <c r="E508" s="5"/>
      <c r="F508" s="5"/>
      <c r="G508" s="5"/>
      <c r="H508" s="5"/>
      <c r="I508" s="5"/>
      <c r="J508" s="5"/>
      <c r="K508" s="5"/>
      <c r="L508" s="5"/>
      <c r="M508" s="5"/>
      <c r="N508" s="5"/>
      <c r="O508" s="5"/>
      <c r="P508" s="5"/>
    </row>
    <row r="510" customFormat="false" ht="15" hidden="false" customHeight="false" outlineLevel="0" collapsed="false">
      <c r="A510" s="3" t="s">
        <v>665</v>
      </c>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customFormat="false" ht="42" hidden="false" customHeight="true" outlineLevel="0" collapsed="false">
      <c r="A511" s="9" t="s">
        <v>666</v>
      </c>
      <c r="B511" s="9" t="s">
        <v>667</v>
      </c>
      <c r="C511" s="9" t="s">
        <v>668</v>
      </c>
      <c r="D511" s="9" t="s">
        <v>669</v>
      </c>
      <c r="E511" s="9" t="s">
        <v>670</v>
      </c>
      <c r="F511" s="9" t="s">
        <v>671</v>
      </c>
      <c r="G511" s="9" t="s">
        <v>672</v>
      </c>
    </row>
    <row r="512" customFormat="false" ht="61.5" hidden="false" customHeight="true" outlineLevel="0" collapsed="false">
      <c r="A512" s="12" t="s">
        <v>673</v>
      </c>
      <c r="B512" s="12" t="s">
        <v>674</v>
      </c>
      <c r="C512" s="12" t="s">
        <v>675</v>
      </c>
      <c r="D512" s="12" t="s">
        <v>676</v>
      </c>
      <c r="E512" s="12" t="s">
        <v>677</v>
      </c>
      <c r="F512" s="12" t="s">
        <v>678</v>
      </c>
      <c r="G512" s="12" t="s">
        <v>679</v>
      </c>
    </row>
    <row r="513" customFormat="false" ht="61.5" hidden="false" customHeight="true" outlineLevel="0" collapsed="false">
      <c r="A513" s="12" t="s">
        <v>680</v>
      </c>
      <c r="B513" s="12" t="s">
        <v>681</v>
      </c>
      <c r="C513" s="12" t="s">
        <v>682</v>
      </c>
      <c r="D513" s="12" t="s">
        <v>677</v>
      </c>
      <c r="E513" s="12" t="s">
        <v>677</v>
      </c>
      <c r="F513" s="12" t="s">
        <v>683</v>
      </c>
      <c r="G513" s="12" t="s">
        <v>684</v>
      </c>
    </row>
    <row r="514" customFormat="false" ht="61.5" hidden="false" customHeight="true" outlineLevel="0" collapsed="false">
      <c r="A514" s="12" t="s">
        <v>685</v>
      </c>
      <c r="B514" s="12" t="s">
        <v>686</v>
      </c>
      <c r="C514" s="12" t="s">
        <v>687</v>
      </c>
      <c r="D514" s="12" t="s">
        <v>688</v>
      </c>
      <c r="E514" s="12" t="s">
        <v>677</v>
      </c>
      <c r="F514" s="12" t="s">
        <v>689</v>
      </c>
      <c r="G514" s="12" t="s">
        <v>690</v>
      </c>
    </row>
    <row r="515" customFormat="false" ht="61.5" hidden="false" customHeight="true" outlineLevel="0" collapsed="false">
      <c r="A515" s="12" t="s">
        <v>691</v>
      </c>
      <c r="B515" s="12" t="s">
        <v>692</v>
      </c>
      <c r="C515" s="12" t="s">
        <v>693</v>
      </c>
      <c r="D515" s="12" t="s">
        <v>694</v>
      </c>
      <c r="E515" s="12" t="s">
        <v>677</v>
      </c>
      <c r="F515" s="12" t="s">
        <v>677</v>
      </c>
      <c r="G515" s="12" t="s">
        <v>695</v>
      </c>
    </row>
    <row r="516" customFormat="false" ht="61.5" hidden="false" customHeight="true" outlineLevel="0" collapsed="false">
      <c r="A516" s="12" t="s">
        <v>696</v>
      </c>
      <c r="B516" s="12" t="s">
        <v>697</v>
      </c>
      <c r="C516" s="12" t="s">
        <v>698</v>
      </c>
      <c r="D516" s="12" t="s">
        <v>677</v>
      </c>
      <c r="E516" s="12" t="s">
        <v>677</v>
      </c>
      <c r="F516" s="12" t="s">
        <v>677</v>
      </c>
      <c r="G516" s="12" t="s">
        <v>699</v>
      </c>
    </row>
    <row r="517" customFormat="false" ht="61.5" hidden="false" customHeight="true" outlineLevel="0" collapsed="false">
      <c r="A517" s="12" t="s">
        <v>700</v>
      </c>
      <c r="B517" s="12" t="s">
        <v>701</v>
      </c>
      <c r="C517" s="12" t="s">
        <v>702</v>
      </c>
      <c r="D517" s="12" t="s">
        <v>703</v>
      </c>
      <c r="E517" s="12" t="s">
        <v>677</v>
      </c>
      <c r="F517" s="12" t="s">
        <v>704</v>
      </c>
      <c r="G517" s="12" t="s">
        <v>705</v>
      </c>
    </row>
    <row r="518" customFormat="false" ht="61.5" hidden="false" customHeight="true" outlineLevel="0" collapsed="false">
      <c r="A518" s="12" t="s">
        <v>706</v>
      </c>
      <c r="B518" s="12" t="s">
        <v>707</v>
      </c>
      <c r="C518" s="12" t="s">
        <v>708</v>
      </c>
      <c r="D518" s="12" t="s">
        <v>709</v>
      </c>
      <c r="E518" s="12" t="s">
        <v>677</v>
      </c>
      <c r="F518" s="12" t="s">
        <v>677</v>
      </c>
      <c r="G518" s="12" t="s">
        <v>710</v>
      </c>
    </row>
    <row r="519" customFormat="false" ht="61.5" hidden="false" customHeight="true" outlineLevel="0" collapsed="false">
      <c r="A519" s="12" t="s">
        <v>711</v>
      </c>
      <c r="B519" s="12" t="s">
        <v>712</v>
      </c>
      <c r="C519" s="12" t="s">
        <v>677</v>
      </c>
      <c r="D519" s="12" t="s">
        <v>677</v>
      </c>
      <c r="E519" s="12" t="s">
        <v>713</v>
      </c>
      <c r="F519" s="12" t="s">
        <v>689</v>
      </c>
      <c r="G519" s="12" t="s">
        <v>714</v>
      </c>
    </row>
    <row r="520" customFormat="false" ht="61.5" hidden="false" customHeight="true" outlineLevel="0" collapsed="false">
      <c r="A520" s="12" t="s">
        <v>715</v>
      </c>
      <c r="B520" s="12" t="s">
        <v>716</v>
      </c>
      <c r="C520" s="12" t="s">
        <v>717</v>
      </c>
      <c r="D520" s="12" t="s">
        <v>718</v>
      </c>
      <c r="E520" s="12" t="s">
        <v>719</v>
      </c>
      <c r="F520" s="12" t="s">
        <v>677</v>
      </c>
      <c r="G520" s="12" t="s">
        <v>720</v>
      </c>
    </row>
    <row r="521" customFormat="false" ht="61.5" hidden="false" customHeight="true" outlineLevel="0" collapsed="false">
      <c r="A521" s="12" t="s">
        <v>721</v>
      </c>
      <c r="B521" s="12" t="s">
        <v>722</v>
      </c>
      <c r="C521" s="12" t="s">
        <v>677</v>
      </c>
      <c r="D521" s="12" t="s">
        <v>677</v>
      </c>
      <c r="E521" s="12" t="s">
        <v>677</v>
      </c>
      <c r="F521" s="12" t="s">
        <v>723</v>
      </c>
      <c r="G521" s="12" t="s">
        <v>724</v>
      </c>
    </row>
    <row r="522" customFormat="false" ht="30" hidden="false" customHeight="true" outlineLevel="0" collapsed="false">
      <c r="A522" s="5" t="s">
        <v>725</v>
      </c>
      <c r="B522" s="5"/>
      <c r="C522" s="5"/>
      <c r="D522" s="5"/>
      <c r="E522" s="5"/>
      <c r="F522" s="5"/>
      <c r="G522" s="5"/>
      <c r="H522" s="5"/>
      <c r="I522" s="5"/>
      <c r="J522" s="5"/>
      <c r="K522" s="5"/>
      <c r="L522" s="5"/>
      <c r="M522" s="5"/>
      <c r="N522" s="5"/>
      <c r="O522" s="5"/>
      <c r="P522" s="5"/>
    </row>
    <row r="524" customFormat="false" ht="15" hidden="false" customHeight="false" outlineLevel="0" collapsed="false">
      <c r="A524" s="3" t="s">
        <v>726</v>
      </c>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customFormat="false" ht="15" hidden="false" customHeight="true" outlineLevel="0" collapsed="false">
      <c r="A525" s="5" t="s">
        <v>727</v>
      </c>
      <c r="B525" s="5"/>
      <c r="C525" s="5"/>
      <c r="D525" s="5"/>
      <c r="E525" s="5"/>
      <c r="F525" s="5"/>
      <c r="G525" s="5"/>
      <c r="H525" s="5"/>
      <c r="I525" s="5"/>
      <c r="J525" s="5"/>
      <c r="K525" s="5"/>
      <c r="L525" s="5"/>
      <c r="M525" s="5"/>
      <c r="N525" s="5"/>
      <c r="O525" s="5"/>
      <c r="P525" s="5"/>
    </row>
    <row r="526" customFormat="false" ht="15" hidden="false" customHeight="true" outlineLevel="0" collapsed="false">
      <c r="A526" s="5" t="s">
        <v>728</v>
      </c>
      <c r="B526" s="5"/>
      <c r="C526" s="5"/>
      <c r="D526" s="5"/>
      <c r="E526" s="5"/>
      <c r="F526" s="5"/>
      <c r="G526" s="5"/>
      <c r="H526" s="5"/>
      <c r="I526" s="5"/>
      <c r="J526" s="5"/>
      <c r="K526" s="5"/>
      <c r="L526" s="5"/>
      <c r="M526" s="5"/>
      <c r="N526" s="5"/>
      <c r="O526" s="5"/>
      <c r="P526" s="5"/>
    </row>
    <row r="527" customFormat="false" ht="15" hidden="false" customHeight="true" outlineLevel="0" collapsed="false">
      <c r="A527" s="5" t="s">
        <v>729</v>
      </c>
      <c r="B527" s="5"/>
      <c r="C527" s="5"/>
      <c r="D527" s="5"/>
      <c r="E527" s="5"/>
      <c r="F527" s="5"/>
      <c r="G527" s="5"/>
      <c r="H527" s="5"/>
      <c r="I527" s="5"/>
      <c r="J527" s="5"/>
      <c r="K527" s="5"/>
      <c r="L527" s="5"/>
      <c r="M527" s="5"/>
      <c r="N527" s="5"/>
      <c r="O527" s="5"/>
      <c r="P527" s="5"/>
    </row>
    <row r="528" customFormat="false" ht="15" hidden="false" customHeight="true" outlineLevel="0" collapsed="false">
      <c r="A528" s="5" t="s">
        <v>730</v>
      </c>
      <c r="B528" s="5"/>
      <c r="C528" s="5"/>
      <c r="D528" s="5"/>
      <c r="E528" s="5"/>
      <c r="F528" s="5"/>
      <c r="G528" s="5"/>
      <c r="H528" s="5"/>
      <c r="I528" s="5"/>
      <c r="J528" s="5"/>
      <c r="K528" s="5"/>
      <c r="L528" s="5"/>
      <c r="M528" s="5"/>
      <c r="N528" s="5"/>
      <c r="O528" s="5"/>
      <c r="P528" s="5"/>
    </row>
    <row r="529" customFormat="false" ht="15" hidden="false" customHeight="true" outlineLevel="0" collapsed="false">
      <c r="A529" s="5" t="s">
        <v>731</v>
      </c>
      <c r="B529" s="5"/>
      <c r="C529" s="5"/>
      <c r="D529" s="5"/>
      <c r="E529" s="5"/>
      <c r="F529" s="5"/>
      <c r="G529" s="5"/>
      <c r="H529" s="5"/>
      <c r="I529" s="5"/>
      <c r="J529" s="5"/>
      <c r="K529" s="5"/>
      <c r="L529" s="5"/>
      <c r="M529" s="5"/>
      <c r="N529" s="5"/>
      <c r="O529" s="5"/>
      <c r="P529" s="5"/>
    </row>
    <row r="530" customFormat="false" ht="15" hidden="false" customHeight="true" outlineLevel="0" collapsed="false">
      <c r="A530" s="5" t="s">
        <v>732</v>
      </c>
      <c r="B530" s="5"/>
      <c r="C530" s="5"/>
      <c r="D530" s="5"/>
      <c r="E530" s="5"/>
      <c r="F530" s="5"/>
      <c r="G530" s="5"/>
      <c r="H530" s="5"/>
      <c r="I530" s="5"/>
      <c r="J530" s="5"/>
      <c r="K530" s="5"/>
      <c r="L530" s="5"/>
      <c r="M530" s="5"/>
      <c r="N530" s="5"/>
      <c r="O530" s="5"/>
      <c r="P530" s="5"/>
    </row>
    <row r="531" customFormat="false" ht="15" hidden="false" customHeight="true" outlineLevel="0" collapsed="false">
      <c r="A531" s="5" t="s">
        <v>733</v>
      </c>
      <c r="B531" s="5"/>
      <c r="C531" s="5"/>
      <c r="D531" s="5"/>
      <c r="E531" s="5"/>
      <c r="F531" s="5"/>
      <c r="G531" s="5"/>
      <c r="H531" s="5"/>
      <c r="I531" s="5"/>
      <c r="J531" s="5"/>
      <c r="K531" s="5"/>
      <c r="L531" s="5"/>
      <c r="M531" s="5"/>
      <c r="N531" s="5"/>
      <c r="O531" s="5"/>
      <c r="P531" s="5"/>
    </row>
    <row r="532" customFormat="false" ht="15" hidden="false" customHeight="true" outlineLevel="0" collapsed="false">
      <c r="A532" s="5" t="s">
        <v>734</v>
      </c>
      <c r="B532" s="5"/>
      <c r="C532" s="5"/>
      <c r="D532" s="5"/>
      <c r="E532" s="5"/>
      <c r="F532" s="5"/>
      <c r="G532" s="5"/>
      <c r="H532" s="5"/>
      <c r="I532" s="5"/>
      <c r="J532" s="5"/>
      <c r="K532" s="5"/>
      <c r="L532" s="5"/>
      <c r="M532" s="5"/>
      <c r="N532" s="5"/>
      <c r="O532" s="5"/>
      <c r="P532" s="5"/>
    </row>
    <row r="533" customFormat="false" ht="15" hidden="false" customHeight="true" outlineLevel="0" collapsed="false">
      <c r="A533" s="5" t="s">
        <v>735</v>
      </c>
      <c r="B533" s="5"/>
      <c r="C533" s="5"/>
      <c r="D533" s="5"/>
      <c r="E533" s="5"/>
      <c r="F533" s="5"/>
      <c r="G533" s="5"/>
      <c r="H533" s="5"/>
      <c r="I533" s="5"/>
      <c r="J533" s="5"/>
      <c r="K533" s="5"/>
      <c r="L533" s="5"/>
      <c r="M533" s="5"/>
      <c r="N533" s="5"/>
      <c r="O533" s="5"/>
      <c r="P533" s="5"/>
    </row>
    <row r="534" customFormat="false" ht="45" hidden="false" customHeight="true" outlineLevel="0" collapsed="false">
      <c r="A534" s="5" t="s">
        <v>736</v>
      </c>
      <c r="B534" s="5"/>
      <c r="C534" s="5"/>
      <c r="D534" s="5"/>
      <c r="E534" s="5"/>
      <c r="F534" s="5"/>
      <c r="G534" s="5"/>
      <c r="H534" s="5"/>
      <c r="I534" s="5"/>
      <c r="J534" s="5"/>
      <c r="K534" s="5"/>
      <c r="L534" s="5"/>
      <c r="M534" s="5"/>
      <c r="N534" s="5"/>
      <c r="O534" s="5"/>
      <c r="P534" s="5"/>
    </row>
    <row r="536" customFormat="false" ht="42" hidden="false" customHeight="true" outlineLevel="0" collapsed="false">
      <c r="A536" s="9" t="s">
        <v>737</v>
      </c>
      <c r="B536" s="9" t="s">
        <v>738</v>
      </c>
      <c r="C536" s="9" t="s">
        <v>739</v>
      </c>
      <c r="D536" s="9" t="s">
        <v>27</v>
      </c>
      <c r="E536" s="9" t="s">
        <v>26</v>
      </c>
    </row>
    <row r="537" customFormat="false" ht="15" hidden="false" customHeight="false" outlineLevel="0" collapsed="false">
      <c r="A537" s="10" t="s">
        <v>740</v>
      </c>
      <c r="B537" s="10" t="str">
        <f aca="false">INDEX({"B","M","MA","A"},MATCH(H465,{"B","M","MA","A"},0))</f>
        <v>B</v>
      </c>
      <c r="C537" s="10" t="s">
        <v>741</v>
      </c>
      <c r="D537" s="10" t="str">
        <f aca="false">IF(MATCH(B537,{"B","M","MA","A"},0)&lt;=2,"OK","INCONSISTENTE")</f>
        <v>OK</v>
      </c>
      <c r="E537" s="10" t="s">
        <v>742</v>
      </c>
    </row>
    <row r="538" customFormat="false" ht="15" hidden="false" customHeight="false" outlineLevel="0" collapsed="false">
      <c r="A538" s="10" t="s">
        <v>743</v>
      </c>
      <c r="B538" s="10" t="str">
        <f aca="false">IF(3+3&lt;=5,"B",IF(3+3=6,"M","MA"))</f>
        <v>M</v>
      </c>
      <c r="C538" s="10" t="s">
        <v>49</v>
      </c>
      <c r="D538" s="10" t="str">
        <f aca="false">IF(B538=C538,"OK","INCONSISTENTE")</f>
        <v>OK</v>
      </c>
      <c r="E538" s="10" t="s">
        <v>744</v>
      </c>
    </row>
    <row r="539" customFormat="false" ht="15" hidden="false" customHeight="false" outlineLevel="0" collapsed="false">
      <c r="A539" s="10" t="s">
        <v>745</v>
      </c>
      <c r="B539" s="10" t="str">
        <f aca="false">ex_ccat</f>
        <v>C</v>
      </c>
      <c r="C539" s="10" t="s">
        <v>241</v>
      </c>
      <c r="D539" s="10" t="str">
        <f aca="false">IF(B539=C539,"OK","INCONSISTENTE")</f>
        <v>OK</v>
      </c>
      <c r="E539" s="10" t="s">
        <v>746</v>
      </c>
    </row>
    <row r="540" customFormat="false" ht="15" hidden="false" customHeight="false" outlineLevel="0" collapsed="false">
      <c r="A540" s="10" t="s">
        <v>747</v>
      </c>
      <c r="B540" s="10" t="n">
        <f aca="false">6/24*ex_prod</f>
        <v>10000</v>
      </c>
      <c r="C540" s="10" t="n">
        <v>10000</v>
      </c>
      <c r="D540" s="10" t="str">
        <f aca="false">IF(ABS(B540-C540)&lt;0.5,"OK","INCONSISTENTE")</f>
        <v>OK</v>
      </c>
      <c r="E540" s="10" t="s">
        <v>748</v>
      </c>
    </row>
    <row r="541" customFormat="false" ht="15" hidden="false" customHeight="false" outlineLevel="0" collapsed="false">
      <c r="A541" s="0" t="s">
        <v>749</v>
      </c>
      <c r="B541" s="43" t="n">
        <f aca="false">B371</f>
        <v>43360</v>
      </c>
      <c r="C541" s="43" t="n">
        <f aca="false">C371</f>
        <v>43360</v>
      </c>
      <c r="D541" s="0" t="str">
        <f aca="false">IF(ABS(B541-C541)&lt;0.5,"OK","INCONSISTENTE")</f>
        <v>OK</v>
      </c>
      <c r="E541" s="44" t="s">
        <v>750</v>
      </c>
    </row>
    <row r="542" customFormat="false" ht="15" hidden="false" customHeight="false" outlineLevel="0" collapsed="false">
      <c r="A542" s="0" t="s">
        <v>751</v>
      </c>
      <c r="B542" s="43" t="n">
        <f aca="false">E371</f>
        <v>3840</v>
      </c>
      <c r="C542" s="43" t="n">
        <f aca="false">F371</f>
        <v>3840</v>
      </c>
      <c r="D542" s="0" t="str">
        <f aca="false">IF(ABS(B542-C542)&lt;0.5,"OK","INCONSISTENTE")</f>
        <v>OK</v>
      </c>
      <c r="E542" s="44" t="s">
        <v>752</v>
      </c>
    </row>
    <row r="543" customFormat="false" ht="15" hidden="false" customHeight="false" outlineLevel="0" collapsed="false">
      <c r="A543" s="0" t="s">
        <v>753</v>
      </c>
      <c r="B543" s="43" t="n">
        <f aca="false">B367</f>
        <v>11650</v>
      </c>
      <c r="C543" s="43" t="n">
        <f aca="false">C367</f>
        <v>11650</v>
      </c>
      <c r="D543" s="0" t="str">
        <f aca="false">IF(ABS(B543-C543)&lt;0.5,"OK","INCONSISTENTE")</f>
        <v>OK</v>
      </c>
      <c r="E543" s="44" t="s">
        <v>754</v>
      </c>
    </row>
    <row r="544" customFormat="false" ht="15" hidden="false" customHeight="false" outlineLevel="0" collapsed="false">
      <c r="A544" s="0" t="s">
        <v>755</v>
      </c>
      <c r="B544" s="43" t="n">
        <f aca="false">B368</f>
        <v>1410</v>
      </c>
      <c r="C544" s="43" t="n">
        <f aca="false">C368</f>
        <v>1170</v>
      </c>
      <c r="D544" s="0" t="str">
        <f aca="false">IF(ABS(B544-C544)&lt;0.5,"OK","INCONSISTENTE")</f>
        <v>INCONSISTENTE</v>
      </c>
      <c r="E544" s="44" t="s">
        <v>756</v>
      </c>
    </row>
    <row r="545" customFormat="false" ht="15" hidden="false" customHeight="false" outlineLevel="0" collapsed="false">
      <c r="A545" s="0" t="s">
        <v>757</v>
      </c>
      <c r="B545" s="43" t="n">
        <f aca="false">E367</f>
        <v>2010</v>
      </c>
      <c r="C545" s="43" t="n">
        <f aca="false">F367</f>
        <v>1080</v>
      </c>
      <c r="D545" s="0" t="str">
        <f aca="false">IF(ABS(B545-C545)&lt;0.5,"OK","INCONSISTENTE")</f>
        <v>INCONSISTENTE</v>
      </c>
      <c r="E545" s="44" t="s">
        <v>758</v>
      </c>
    </row>
    <row r="546" customFormat="false" ht="15" hidden="false" customHeight="false" outlineLevel="0" collapsed="false">
      <c r="A546" s="0" t="s">
        <v>759</v>
      </c>
      <c r="B546" s="0" t="n">
        <f aca="false">0.05+0.025+0.127</f>
        <v>0.202</v>
      </c>
      <c r="C546" s="0" t="n">
        <f aca="false">0.132</f>
        <v>0.132</v>
      </c>
      <c r="D546" s="0" t="str">
        <f aca="false">IF(ABS(B546-C546)&lt;0.0005,"OK","INCONSISTENTE")</f>
        <v>INCONSISTENTE</v>
      </c>
      <c r="E546" s="0" t="s">
        <v>760</v>
      </c>
    </row>
    <row r="547" customFormat="false" ht="15" hidden="false" customHeight="false" outlineLevel="0" collapsed="false">
      <c r="A547" s="0" t="s">
        <v>761</v>
      </c>
      <c r="B547" s="0" t="n">
        <f aca="false">ex_dlim/(1+ex_g)^23</f>
        <v>0.0120155144168113</v>
      </c>
      <c r="C547" s="0" t="n">
        <f aca="false">ex_dlim/(1+ex_g)^9</f>
        <v>1.40511582648365</v>
      </c>
      <c r="D547" s="0" t="str">
        <f aca="false">IF(AND(ex_dlim/(1+ex_g)^23&lt;ex_dlim/(1+ex_g)^17,ex_dlim/(1+ex_g)^17&lt;ex_dlim/(1+ex_g)^12,ex_dlim/(1+ex_g)^12&lt;ex_dlim/(1+ex_g)^9),"OK","INCONSISTENTE")</f>
        <v>OK</v>
      </c>
      <c r="E547" s="0" t="s">
        <v>762</v>
      </c>
    </row>
    <row r="548" customFormat="false" ht="15" hidden="false" customHeight="false" outlineLevel="0" collapsed="false">
      <c r="A548" s="0" t="s">
        <v>763</v>
      </c>
    </row>
    <row r="550" customFormat="false" ht="15" hidden="false" customHeight="false" outlineLevel="0" collapsed="false">
      <c r="A550" s="3" t="s">
        <v>764</v>
      </c>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customFormat="false" ht="15" hidden="false" customHeight="true" outlineLevel="0" collapsed="false">
      <c r="A551" s="5" t="s">
        <v>765</v>
      </c>
      <c r="B551" s="5"/>
      <c r="C551" s="5"/>
      <c r="D551" s="5"/>
      <c r="E551" s="5"/>
      <c r="F551" s="5"/>
      <c r="G551" s="5"/>
      <c r="H551" s="5"/>
      <c r="I551" s="5"/>
      <c r="J551" s="5"/>
      <c r="K551" s="5"/>
      <c r="L551" s="5"/>
      <c r="M551" s="5"/>
      <c r="N551" s="5"/>
      <c r="O551" s="5"/>
      <c r="P551" s="5"/>
    </row>
    <row r="552" customFormat="false" ht="15" hidden="false" customHeight="true" outlineLevel="0" collapsed="false">
      <c r="A552" s="5" t="s">
        <v>766</v>
      </c>
      <c r="B552" s="5"/>
      <c r="C552" s="5"/>
      <c r="D552" s="5"/>
      <c r="E552" s="5"/>
      <c r="F552" s="5"/>
      <c r="G552" s="5"/>
      <c r="H552" s="5"/>
      <c r="I552" s="5"/>
      <c r="J552" s="5"/>
      <c r="K552" s="5"/>
      <c r="L552" s="5"/>
      <c r="M552" s="5"/>
      <c r="N552" s="5"/>
      <c r="O552" s="5"/>
      <c r="P552" s="5"/>
    </row>
    <row r="553" customFormat="false" ht="15" hidden="false" customHeight="true" outlineLevel="0" collapsed="false">
      <c r="A553" s="5" t="s">
        <v>767</v>
      </c>
      <c r="B553" s="5"/>
      <c r="C553" s="5"/>
      <c r="D553" s="5"/>
      <c r="E553" s="5"/>
      <c r="F553" s="5"/>
      <c r="G553" s="5"/>
      <c r="H553" s="5"/>
      <c r="I553" s="5"/>
      <c r="J553" s="5"/>
      <c r="K553" s="5"/>
      <c r="L553" s="5"/>
      <c r="M553" s="5"/>
      <c r="N553" s="5"/>
      <c r="O553" s="5"/>
      <c r="P553" s="5"/>
    </row>
    <row r="554" customFormat="false" ht="15" hidden="false" customHeight="true" outlineLevel="0" collapsed="false">
      <c r="A554" s="5" t="s">
        <v>768</v>
      </c>
      <c r="B554" s="5"/>
      <c r="C554" s="5"/>
      <c r="D554" s="5"/>
      <c r="E554" s="5"/>
      <c r="F554" s="5"/>
      <c r="G554" s="5"/>
      <c r="H554" s="5"/>
      <c r="I554" s="5"/>
      <c r="J554" s="5"/>
      <c r="K554" s="5"/>
      <c r="L554" s="5"/>
      <c r="M554" s="5"/>
      <c r="N554" s="5"/>
      <c r="O554" s="5"/>
      <c r="P554" s="5"/>
    </row>
    <row r="555" customFormat="false" ht="15" hidden="false" customHeight="true" outlineLevel="0" collapsed="false">
      <c r="A555" s="5" t="s">
        <v>769</v>
      </c>
      <c r="B555" s="5"/>
      <c r="C555" s="5"/>
      <c r="D555" s="5"/>
      <c r="E555" s="5"/>
      <c r="F555" s="5"/>
      <c r="G555" s="5"/>
      <c r="H555" s="5"/>
      <c r="I555" s="5"/>
      <c r="J555" s="5"/>
      <c r="K555" s="5"/>
      <c r="L555" s="5"/>
      <c r="M555" s="5"/>
      <c r="N555" s="5"/>
      <c r="O555" s="5"/>
      <c r="P555" s="5"/>
    </row>
    <row r="556" customFormat="false" ht="15" hidden="false" customHeight="true" outlineLevel="0" collapsed="false">
      <c r="A556" s="5" t="s">
        <v>770</v>
      </c>
      <c r="B556" s="5"/>
      <c r="C556" s="5"/>
      <c r="D556" s="5"/>
      <c r="E556" s="5"/>
      <c r="F556" s="5"/>
      <c r="G556" s="5"/>
      <c r="H556" s="5"/>
      <c r="I556" s="5"/>
      <c r="J556" s="5"/>
      <c r="K556" s="5"/>
      <c r="L556" s="5"/>
      <c r="M556" s="5"/>
      <c r="N556" s="5"/>
      <c r="O556" s="5"/>
      <c r="P556" s="5"/>
    </row>
    <row r="557" customFormat="false" ht="15" hidden="false" customHeight="true" outlineLevel="0" collapsed="false">
      <c r="A557" s="5" t="s">
        <v>771</v>
      </c>
      <c r="B557" s="5"/>
      <c r="C557" s="5"/>
      <c r="D557" s="5"/>
      <c r="E557" s="5"/>
      <c r="F557" s="5"/>
      <c r="G557" s="5"/>
      <c r="H557" s="5"/>
      <c r="I557" s="5"/>
      <c r="J557" s="5"/>
      <c r="K557" s="5"/>
      <c r="L557" s="5"/>
      <c r="M557" s="5"/>
      <c r="N557" s="5"/>
      <c r="O557" s="5"/>
      <c r="P557" s="5"/>
    </row>
    <row r="558" customFormat="false" ht="15" hidden="false" customHeight="true" outlineLevel="0" collapsed="false">
      <c r="A558" s="5" t="s">
        <v>772</v>
      </c>
      <c r="B558" s="5"/>
      <c r="C558" s="5"/>
      <c r="D558" s="5"/>
      <c r="E558" s="5"/>
      <c r="F558" s="5"/>
      <c r="G558" s="5"/>
      <c r="H558" s="5"/>
      <c r="I558" s="5"/>
      <c r="J558" s="5"/>
      <c r="K558" s="5"/>
      <c r="L558" s="5"/>
      <c r="M558" s="5"/>
      <c r="N558" s="5"/>
      <c r="O558" s="5"/>
      <c r="P558" s="5"/>
    </row>
    <row r="559" customFormat="false" ht="30" hidden="false" customHeight="true" outlineLevel="0" collapsed="false">
      <c r="A559" s="5" t="s">
        <v>773</v>
      </c>
      <c r="B559" s="5"/>
      <c r="C559" s="5"/>
      <c r="D559" s="5"/>
      <c r="E559" s="5"/>
      <c r="F559" s="5"/>
      <c r="G559" s="5"/>
      <c r="H559" s="5"/>
      <c r="I559" s="5"/>
      <c r="J559" s="5"/>
      <c r="K559" s="5"/>
      <c r="L559" s="5"/>
      <c r="M559" s="5"/>
      <c r="N559" s="5"/>
      <c r="O559" s="5"/>
      <c r="P559" s="5"/>
    </row>
    <row r="560" customFormat="false" ht="30" hidden="false" customHeight="true" outlineLevel="0" collapsed="false">
      <c r="A560" s="5" t="s">
        <v>774</v>
      </c>
      <c r="B560" s="5"/>
      <c r="C560" s="5"/>
      <c r="D560" s="5"/>
      <c r="E560" s="5"/>
      <c r="F560" s="5"/>
      <c r="G560" s="5"/>
      <c r="H560" s="5"/>
      <c r="I560" s="5"/>
      <c r="J560" s="5"/>
      <c r="K560" s="5"/>
      <c r="L560" s="5"/>
      <c r="M560" s="5"/>
      <c r="N560" s="5"/>
      <c r="O560" s="5"/>
      <c r="P560" s="5"/>
    </row>
    <row r="562" customFormat="false" ht="15" hidden="false" customHeight="true" outlineLevel="0" collapsed="false">
      <c r="A562" s="6" t="s">
        <v>775</v>
      </c>
      <c r="B562" s="6"/>
      <c r="C562" s="6"/>
      <c r="D562" s="6"/>
      <c r="E562" s="6"/>
      <c r="F562" s="6"/>
      <c r="G562" s="6"/>
      <c r="H562" s="6"/>
      <c r="I562" s="6"/>
      <c r="J562" s="6"/>
      <c r="K562" s="6"/>
      <c r="L562" s="6"/>
      <c r="M562" s="6"/>
      <c r="N562" s="6"/>
      <c r="O562" s="6"/>
      <c r="P562" s="6"/>
    </row>
    <row r="563" customFormat="false" ht="30" hidden="false" customHeight="true" outlineLevel="0" collapsed="false">
      <c r="A563" s="5" t="s">
        <v>776</v>
      </c>
      <c r="B563" s="5"/>
      <c r="C563" s="5"/>
      <c r="D563" s="5"/>
      <c r="E563" s="5"/>
      <c r="F563" s="5"/>
      <c r="G563" s="5"/>
      <c r="H563" s="5"/>
      <c r="I563" s="5"/>
      <c r="J563" s="5"/>
      <c r="K563" s="5"/>
      <c r="L563" s="5"/>
      <c r="M563" s="5"/>
      <c r="N563" s="5"/>
      <c r="O563" s="5"/>
      <c r="P563" s="5"/>
    </row>
    <row r="564" customFormat="false" ht="30" hidden="false" customHeight="true" outlineLevel="0" collapsed="false">
      <c r="A564" s="5" t="s">
        <v>777</v>
      </c>
      <c r="B564" s="5"/>
      <c r="C564" s="5"/>
      <c r="D564" s="5"/>
      <c r="E564" s="5"/>
      <c r="F564" s="5"/>
      <c r="G564" s="5"/>
      <c r="H564" s="5"/>
      <c r="I564" s="5"/>
      <c r="J564" s="5"/>
      <c r="K564" s="5"/>
      <c r="L564" s="5"/>
      <c r="M564" s="5"/>
      <c r="N564" s="5"/>
      <c r="O564" s="5"/>
      <c r="P564" s="5"/>
    </row>
    <row r="565" customFormat="false" ht="45" hidden="false" customHeight="true" outlineLevel="0" collapsed="false">
      <c r="A565" s="5" t="s">
        <v>778</v>
      </c>
      <c r="B565" s="5"/>
      <c r="C565" s="5"/>
      <c r="D565" s="5"/>
      <c r="E565" s="5"/>
      <c r="F565" s="5"/>
      <c r="G565" s="5"/>
      <c r="H565" s="5"/>
      <c r="I565" s="5"/>
      <c r="J565" s="5"/>
      <c r="K565" s="5"/>
      <c r="L565" s="5"/>
      <c r="M565" s="5"/>
      <c r="N565" s="5"/>
      <c r="O565" s="5"/>
      <c r="P565" s="5"/>
    </row>
    <row r="566" customFormat="false" ht="30" hidden="false" customHeight="true" outlineLevel="0" collapsed="false">
      <c r="A566" s="5" t="s">
        <v>779</v>
      </c>
      <c r="B566" s="5"/>
      <c r="C566" s="5"/>
      <c r="D566" s="5"/>
      <c r="E566" s="5"/>
      <c r="F566" s="5"/>
      <c r="G566" s="5"/>
      <c r="H566" s="5"/>
      <c r="I566" s="5"/>
      <c r="J566" s="5"/>
      <c r="K566" s="5"/>
      <c r="L566" s="5"/>
      <c r="M566" s="5"/>
      <c r="N566" s="5"/>
      <c r="O566" s="5"/>
      <c r="P566" s="5"/>
    </row>
    <row r="567" customFormat="false" ht="30" hidden="false" customHeight="true" outlineLevel="0" collapsed="false">
      <c r="A567" s="5" t="s">
        <v>780</v>
      </c>
      <c r="B567" s="5"/>
      <c r="C567" s="5"/>
      <c r="D567" s="5"/>
      <c r="E567" s="5"/>
      <c r="F567" s="5"/>
      <c r="G567" s="5"/>
      <c r="H567" s="5"/>
      <c r="I567" s="5"/>
      <c r="J567" s="5"/>
      <c r="K567" s="5"/>
      <c r="L567" s="5"/>
      <c r="M567" s="5"/>
      <c r="N567" s="5"/>
      <c r="O567" s="5"/>
      <c r="P567" s="5"/>
    </row>
    <row r="568" customFormat="false" ht="15" hidden="false" customHeight="true" outlineLevel="0" collapsed="false">
      <c r="A568" s="6" t="s">
        <v>781</v>
      </c>
      <c r="B568" s="6"/>
      <c r="C568" s="6"/>
      <c r="D568" s="6"/>
      <c r="E568" s="6"/>
      <c r="F568" s="6"/>
      <c r="G568" s="6"/>
      <c r="H568" s="6"/>
      <c r="I568" s="6"/>
      <c r="J568" s="6"/>
      <c r="K568" s="6"/>
      <c r="L568" s="6"/>
      <c r="M568" s="6"/>
      <c r="N568" s="6"/>
      <c r="O568" s="6"/>
      <c r="P568" s="6"/>
    </row>
    <row r="570" customFormat="false" ht="15" hidden="false" customHeight="false" outlineLevel="0" collapsed="false">
      <c r="A570" s="3" t="s">
        <v>782</v>
      </c>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customFormat="false" ht="15" hidden="false" customHeight="true" outlineLevel="0" collapsed="false">
      <c r="A571" s="42" t="s">
        <v>783</v>
      </c>
      <c r="B571" s="42"/>
      <c r="C571" s="42"/>
      <c r="D571" s="42"/>
      <c r="E571" s="42"/>
      <c r="F571" s="42"/>
      <c r="G571" s="42"/>
      <c r="H571" s="42"/>
      <c r="I571" s="42"/>
      <c r="J571" s="42"/>
      <c r="K571" s="42"/>
      <c r="L571" s="42"/>
      <c r="M571" s="42"/>
      <c r="N571" s="42"/>
      <c r="O571" s="42"/>
      <c r="P571" s="42"/>
    </row>
    <row r="572" customFormat="false" ht="30" hidden="false" customHeight="true" outlineLevel="0" collapsed="false">
      <c r="A572" s="5" t="s">
        <v>784</v>
      </c>
      <c r="B572" s="5"/>
      <c r="C572" s="5"/>
      <c r="D572" s="5"/>
      <c r="E572" s="5"/>
      <c r="F572" s="5"/>
      <c r="G572" s="5"/>
      <c r="H572" s="5"/>
      <c r="I572" s="5"/>
      <c r="J572" s="5"/>
      <c r="K572" s="5"/>
      <c r="L572" s="5"/>
      <c r="M572" s="5"/>
      <c r="N572" s="5"/>
      <c r="O572" s="5"/>
      <c r="P572" s="5"/>
    </row>
    <row r="573" customFormat="false" ht="30" hidden="false" customHeight="true" outlineLevel="0" collapsed="false">
      <c r="A573" s="5" t="s">
        <v>785</v>
      </c>
      <c r="B573" s="5"/>
      <c r="C573" s="5"/>
      <c r="D573" s="5"/>
      <c r="E573" s="5"/>
      <c r="F573" s="5"/>
      <c r="G573" s="5"/>
      <c r="H573" s="5"/>
      <c r="I573" s="5"/>
      <c r="J573" s="5"/>
      <c r="K573" s="5"/>
      <c r="L573" s="5"/>
      <c r="M573" s="5"/>
      <c r="N573" s="5"/>
      <c r="O573" s="5"/>
      <c r="P573" s="5"/>
    </row>
    <row r="574" customFormat="false" ht="30" hidden="false" customHeight="true" outlineLevel="0" collapsed="false">
      <c r="A574" s="5" t="s">
        <v>786</v>
      </c>
      <c r="B574" s="5"/>
      <c r="C574" s="5"/>
      <c r="D574" s="5"/>
      <c r="E574" s="5"/>
      <c r="F574" s="5"/>
      <c r="G574" s="5"/>
      <c r="H574" s="5"/>
      <c r="I574" s="5"/>
      <c r="J574" s="5"/>
      <c r="K574" s="5"/>
      <c r="L574" s="5"/>
      <c r="M574" s="5"/>
      <c r="N574" s="5"/>
      <c r="O574" s="5"/>
      <c r="P574" s="5"/>
    </row>
    <row r="575" customFormat="false" ht="30" hidden="false" customHeight="true" outlineLevel="0" collapsed="false">
      <c r="A575" s="5" t="s">
        <v>787</v>
      </c>
      <c r="B575" s="5"/>
      <c r="C575" s="5"/>
      <c r="D575" s="5"/>
      <c r="E575" s="5"/>
      <c r="F575" s="5"/>
      <c r="G575" s="5"/>
      <c r="H575" s="5"/>
      <c r="I575" s="5"/>
      <c r="J575" s="5"/>
      <c r="K575" s="5"/>
      <c r="L575" s="5"/>
      <c r="M575" s="5"/>
      <c r="N575" s="5"/>
      <c r="O575" s="5"/>
      <c r="P575" s="5"/>
    </row>
    <row r="576" customFormat="false" ht="15" hidden="false" customHeight="true" outlineLevel="0" collapsed="false">
      <c r="A576" s="5" t="s">
        <v>788</v>
      </c>
      <c r="B576" s="5"/>
      <c r="C576" s="5"/>
      <c r="D576" s="5"/>
      <c r="E576" s="5"/>
      <c r="F576" s="5"/>
      <c r="G576" s="5"/>
      <c r="H576" s="5"/>
      <c r="I576" s="5"/>
      <c r="J576" s="5"/>
      <c r="K576" s="5"/>
      <c r="L576" s="5"/>
      <c r="M576" s="5"/>
      <c r="N576" s="5"/>
      <c r="O576" s="5"/>
      <c r="P576" s="5"/>
    </row>
    <row r="578" customFormat="false" ht="15" hidden="false" customHeight="true" outlineLevel="0" collapsed="false">
      <c r="A578" s="42" t="s">
        <v>789</v>
      </c>
      <c r="B578" s="42"/>
      <c r="C578" s="42"/>
      <c r="D578" s="42"/>
      <c r="E578" s="42"/>
      <c r="F578" s="42"/>
      <c r="G578" s="42"/>
      <c r="H578" s="42"/>
      <c r="I578" s="42"/>
      <c r="J578" s="42"/>
      <c r="K578" s="42"/>
      <c r="L578" s="42"/>
      <c r="M578" s="42"/>
      <c r="N578" s="42"/>
      <c r="O578" s="42"/>
      <c r="P578" s="42"/>
    </row>
    <row r="579" customFormat="false" ht="15" hidden="false" customHeight="true" outlineLevel="0" collapsed="false">
      <c r="A579" s="5" t="s">
        <v>790</v>
      </c>
      <c r="B579" s="5"/>
      <c r="C579" s="5"/>
      <c r="D579" s="5"/>
      <c r="E579" s="5"/>
      <c r="F579" s="5"/>
      <c r="G579" s="5"/>
      <c r="H579" s="5"/>
      <c r="I579" s="5"/>
      <c r="J579" s="5"/>
      <c r="K579" s="5"/>
      <c r="L579" s="5"/>
      <c r="M579" s="5"/>
      <c r="N579" s="5"/>
      <c r="O579" s="5"/>
      <c r="P579" s="5"/>
    </row>
    <row r="580" customFormat="false" ht="15" hidden="false" customHeight="true" outlineLevel="0" collapsed="false">
      <c r="A580" s="5" t="s">
        <v>791</v>
      </c>
      <c r="B580" s="5"/>
      <c r="C580" s="5"/>
      <c r="D580" s="5"/>
      <c r="E580" s="5"/>
      <c r="F580" s="5"/>
      <c r="G580" s="5"/>
      <c r="H580" s="5"/>
      <c r="I580" s="5"/>
      <c r="J580" s="5"/>
      <c r="K580" s="5"/>
      <c r="L580" s="5"/>
      <c r="M580" s="5"/>
      <c r="N580" s="5"/>
      <c r="O580" s="5"/>
      <c r="P580" s="5"/>
    </row>
    <row r="581" customFormat="false" ht="15" hidden="false" customHeight="true" outlineLevel="0" collapsed="false">
      <c r="A581" s="5" t="s">
        <v>792</v>
      </c>
      <c r="B581" s="5"/>
      <c r="C581" s="5"/>
      <c r="D581" s="5"/>
      <c r="E581" s="5"/>
      <c r="F581" s="5"/>
      <c r="G581" s="5"/>
      <c r="H581" s="5"/>
      <c r="I581" s="5"/>
      <c r="J581" s="5"/>
      <c r="K581" s="5"/>
      <c r="L581" s="5"/>
      <c r="M581" s="5"/>
      <c r="N581" s="5"/>
      <c r="O581" s="5"/>
      <c r="P581" s="5"/>
    </row>
    <row r="582" customFormat="false" ht="30" hidden="false" customHeight="true" outlineLevel="0" collapsed="false">
      <c r="A582" s="5" t="s">
        <v>793</v>
      </c>
      <c r="B582" s="5"/>
      <c r="C582" s="5"/>
      <c r="D582" s="5"/>
      <c r="E582" s="5"/>
      <c r="F582" s="5"/>
      <c r="G582" s="5"/>
      <c r="H582" s="5"/>
      <c r="I582" s="5"/>
      <c r="J582" s="5"/>
      <c r="K582" s="5"/>
      <c r="L582" s="5"/>
      <c r="M582" s="5"/>
      <c r="N582" s="5"/>
      <c r="O582" s="5"/>
      <c r="P582" s="5"/>
    </row>
    <row r="583" customFormat="false" ht="15" hidden="false" customHeight="true" outlineLevel="0" collapsed="false">
      <c r="A583" s="5" t="s">
        <v>794</v>
      </c>
      <c r="B583" s="5"/>
      <c r="C583" s="5"/>
      <c r="D583" s="5"/>
      <c r="E583" s="5"/>
      <c r="F583" s="5"/>
      <c r="G583" s="5"/>
      <c r="H583" s="5"/>
      <c r="I583" s="5"/>
      <c r="J583" s="5"/>
      <c r="K583" s="5"/>
      <c r="L583" s="5"/>
      <c r="M583" s="5"/>
      <c r="N583" s="5"/>
      <c r="O583" s="5"/>
      <c r="P583" s="5"/>
    </row>
    <row r="584" customFormat="false" ht="30" hidden="false" customHeight="true" outlineLevel="0" collapsed="false">
      <c r="A584" s="5" t="s">
        <v>795</v>
      </c>
      <c r="B584" s="5"/>
      <c r="C584" s="5"/>
      <c r="D584" s="5"/>
      <c r="E584" s="5"/>
      <c r="F584" s="5"/>
      <c r="G584" s="5"/>
      <c r="H584" s="5"/>
      <c r="I584" s="5"/>
      <c r="J584" s="5"/>
      <c r="K584" s="5"/>
      <c r="L584" s="5"/>
      <c r="M584" s="5"/>
      <c r="N584" s="5"/>
      <c r="O584" s="5"/>
      <c r="P584" s="5"/>
    </row>
    <row r="585" customFormat="false" ht="15" hidden="false" customHeight="true" outlineLevel="0" collapsed="false">
      <c r="A585" s="5" t="s">
        <v>796</v>
      </c>
      <c r="B585" s="5"/>
      <c r="C585" s="5"/>
      <c r="D585" s="5"/>
      <c r="E585" s="5"/>
      <c r="F585" s="5"/>
      <c r="G585" s="5"/>
      <c r="H585" s="5"/>
      <c r="I585" s="5"/>
      <c r="J585" s="5"/>
      <c r="K585" s="5"/>
      <c r="L585" s="5"/>
      <c r="M585" s="5"/>
      <c r="N585" s="5"/>
      <c r="O585" s="5"/>
      <c r="P585" s="5"/>
    </row>
    <row r="586" customFormat="false" ht="15" hidden="false" customHeight="true" outlineLevel="0" collapsed="false">
      <c r="A586" s="5" t="s">
        <v>797</v>
      </c>
      <c r="B586" s="5"/>
      <c r="C586" s="5"/>
      <c r="D586" s="5"/>
      <c r="E586" s="5"/>
      <c r="F586" s="5"/>
      <c r="G586" s="5"/>
      <c r="H586" s="5"/>
      <c r="I586" s="5"/>
      <c r="J586" s="5"/>
      <c r="K586" s="5"/>
      <c r="L586" s="5"/>
      <c r="M586" s="5"/>
      <c r="N586" s="5"/>
      <c r="O586" s="5"/>
      <c r="P586" s="5"/>
    </row>
    <row r="587" customFormat="false" ht="15" hidden="false" customHeight="true" outlineLevel="0" collapsed="false">
      <c r="A587" s="5" t="s">
        <v>798</v>
      </c>
      <c r="B587" s="5"/>
      <c r="C587" s="5"/>
      <c r="D587" s="5"/>
      <c r="E587" s="5"/>
      <c r="F587" s="5"/>
      <c r="G587" s="5"/>
      <c r="H587" s="5"/>
      <c r="I587" s="5"/>
      <c r="J587" s="5"/>
      <c r="K587" s="5"/>
      <c r="L587" s="5"/>
      <c r="M587" s="5"/>
      <c r="N587" s="5"/>
      <c r="O587" s="5"/>
      <c r="P587" s="5"/>
    </row>
    <row r="588" customFormat="false" ht="15" hidden="false" customHeight="true" outlineLevel="0" collapsed="false">
      <c r="A588" s="5" t="s">
        <v>799</v>
      </c>
      <c r="B588" s="5"/>
      <c r="C588" s="5"/>
      <c r="D588" s="5"/>
      <c r="E588" s="5"/>
      <c r="F588" s="5"/>
      <c r="G588" s="5"/>
      <c r="H588" s="5"/>
      <c r="I588" s="5"/>
      <c r="J588" s="5"/>
      <c r="K588" s="5"/>
      <c r="L588" s="5"/>
      <c r="M588" s="5"/>
      <c r="N588" s="5"/>
      <c r="O588" s="5"/>
      <c r="P588" s="5"/>
    </row>
    <row r="589" customFormat="false" ht="15" hidden="false" customHeight="true" outlineLevel="0" collapsed="false">
      <c r="A589" s="5" t="s">
        <v>800</v>
      </c>
      <c r="B589" s="5"/>
      <c r="C589" s="5"/>
      <c r="D589" s="5"/>
      <c r="E589" s="5"/>
      <c r="F589" s="5"/>
      <c r="G589" s="5"/>
      <c r="H589" s="5"/>
      <c r="I589" s="5"/>
      <c r="J589" s="5"/>
      <c r="K589" s="5"/>
      <c r="L589" s="5"/>
      <c r="M589" s="5"/>
      <c r="N589" s="5"/>
      <c r="O589" s="5"/>
      <c r="P589" s="5"/>
    </row>
    <row r="590" customFormat="false" ht="15" hidden="false" customHeight="true" outlineLevel="0" collapsed="false">
      <c r="A590" s="5" t="s">
        <v>801</v>
      </c>
      <c r="B590" s="5"/>
      <c r="C590" s="5"/>
      <c r="D590" s="5"/>
      <c r="E590" s="5"/>
      <c r="F590" s="5"/>
      <c r="G590" s="5"/>
      <c r="H590" s="5"/>
      <c r="I590" s="5"/>
      <c r="J590" s="5"/>
      <c r="K590" s="5"/>
      <c r="L590" s="5"/>
      <c r="M590" s="5"/>
      <c r="N590" s="5"/>
      <c r="O590" s="5"/>
      <c r="P590" s="5"/>
    </row>
    <row r="591" customFormat="false" ht="15" hidden="false" customHeight="true" outlineLevel="0" collapsed="false">
      <c r="A591" s="5" t="s">
        <v>802</v>
      </c>
      <c r="B591" s="5"/>
      <c r="C591" s="5"/>
      <c r="D591" s="5"/>
      <c r="E591" s="5"/>
      <c r="F591" s="5"/>
      <c r="G591" s="5"/>
      <c r="H591" s="5"/>
      <c r="I591" s="5"/>
      <c r="J591" s="5"/>
      <c r="K591" s="5"/>
      <c r="L591" s="5"/>
      <c r="M591" s="5"/>
      <c r="N591" s="5"/>
      <c r="O591" s="5"/>
      <c r="P591" s="5"/>
    </row>
    <row r="592" customFormat="false" ht="15" hidden="false" customHeight="true" outlineLevel="0" collapsed="false">
      <c r="A592" s="5" t="s">
        <v>803</v>
      </c>
      <c r="B592" s="5"/>
      <c r="C592" s="5"/>
      <c r="D592" s="5"/>
      <c r="E592" s="5"/>
      <c r="F592" s="5"/>
      <c r="G592" s="5"/>
      <c r="H592" s="5"/>
      <c r="I592" s="5"/>
      <c r="J592" s="5"/>
      <c r="K592" s="5"/>
      <c r="L592" s="5"/>
      <c r="M592" s="5"/>
      <c r="N592" s="5"/>
      <c r="O592" s="5"/>
      <c r="P592" s="5"/>
    </row>
    <row r="593" customFormat="false" ht="15" hidden="false" customHeight="true" outlineLevel="0" collapsed="false">
      <c r="A593" s="5" t="s">
        <v>804</v>
      </c>
      <c r="B593" s="5"/>
      <c r="C593" s="5"/>
      <c r="D593" s="5"/>
      <c r="E593" s="5"/>
      <c r="F593" s="5"/>
      <c r="G593" s="5"/>
      <c r="H593" s="5"/>
      <c r="I593" s="5"/>
      <c r="J593" s="5"/>
      <c r="K593" s="5"/>
      <c r="L593" s="5"/>
      <c r="M593" s="5"/>
      <c r="N593" s="5"/>
      <c r="O593" s="5"/>
      <c r="P593" s="5"/>
    </row>
    <row r="594" customFormat="false" ht="30" hidden="false" customHeight="true" outlineLevel="0" collapsed="false">
      <c r="A594" s="5" t="s">
        <v>805</v>
      </c>
      <c r="B594" s="5"/>
      <c r="C594" s="5"/>
      <c r="D594" s="5"/>
      <c r="E594" s="5"/>
      <c r="F594" s="5"/>
      <c r="G594" s="5"/>
      <c r="H594" s="5"/>
      <c r="I594" s="5"/>
      <c r="J594" s="5"/>
      <c r="K594" s="5"/>
      <c r="L594" s="5"/>
      <c r="M594" s="5"/>
      <c r="N594" s="5"/>
      <c r="O594" s="5"/>
      <c r="P594" s="5"/>
    </row>
    <row r="595" customFormat="false" ht="15" hidden="false" customHeight="true" outlineLevel="0" collapsed="false">
      <c r="A595" s="5" t="s">
        <v>806</v>
      </c>
      <c r="B595" s="5"/>
      <c r="C595" s="5"/>
      <c r="D595" s="5"/>
      <c r="E595" s="5"/>
      <c r="F595" s="5"/>
      <c r="G595" s="5"/>
      <c r="H595" s="5"/>
      <c r="I595" s="5"/>
      <c r="J595" s="5"/>
      <c r="K595" s="5"/>
      <c r="L595" s="5"/>
      <c r="M595" s="5"/>
      <c r="N595" s="5"/>
      <c r="O595" s="5"/>
      <c r="P595" s="5"/>
    </row>
    <row r="597" customFormat="false" ht="15" hidden="false" customHeight="true" outlineLevel="0" collapsed="false">
      <c r="A597" s="42" t="s">
        <v>807</v>
      </c>
      <c r="B597" s="42"/>
      <c r="C597" s="42"/>
      <c r="D597" s="42"/>
      <c r="E597" s="42"/>
      <c r="F597" s="42"/>
      <c r="G597" s="42"/>
      <c r="H597" s="42"/>
      <c r="I597" s="42"/>
      <c r="J597" s="42"/>
      <c r="K597" s="42"/>
      <c r="L597" s="42"/>
      <c r="M597" s="42"/>
      <c r="N597" s="42"/>
      <c r="O597" s="42"/>
      <c r="P597" s="42"/>
    </row>
    <row r="598" customFormat="false" ht="15" hidden="false" customHeight="true" outlineLevel="0" collapsed="false">
      <c r="A598" s="5" t="s">
        <v>808</v>
      </c>
      <c r="B598" s="5"/>
      <c r="C598" s="5"/>
      <c r="D598" s="5"/>
      <c r="E598" s="5"/>
      <c r="F598" s="5"/>
      <c r="G598" s="5"/>
      <c r="H598" s="5"/>
      <c r="I598" s="5"/>
      <c r="J598" s="5"/>
      <c r="K598" s="5"/>
      <c r="L598" s="5"/>
      <c r="M598" s="5"/>
      <c r="N598" s="5"/>
      <c r="O598" s="5"/>
      <c r="P598" s="5"/>
    </row>
    <row r="599" customFormat="false" ht="15" hidden="false" customHeight="true" outlineLevel="0" collapsed="false">
      <c r="A599" s="5" t="s">
        <v>809</v>
      </c>
      <c r="B599" s="5"/>
      <c r="C599" s="5"/>
      <c r="D599" s="5"/>
      <c r="E599" s="5"/>
      <c r="F599" s="5"/>
      <c r="G599" s="5"/>
      <c r="H599" s="5"/>
      <c r="I599" s="5"/>
      <c r="J599" s="5"/>
      <c r="K599" s="5"/>
      <c r="L599" s="5"/>
      <c r="M599" s="5"/>
      <c r="N599" s="5"/>
      <c r="O599" s="5"/>
      <c r="P599" s="5"/>
    </row>
    <row r="600" customFormat="false" ht="15" hidden="false" customHeight="true" outlineLevel="0" collapsed="false">
      <c r="A600" s="5" t="s">
        <v>810</v>
      </c>
      <c r="B600" s="5"/>
      <c r="C600" s="5"/>
      <c r="D600" s="5"/>
      <c r="E600" s="5"/>
      <c r="F600" s="5"/>
      <c r="G600" s="5"/>
      <c r="H600" s="5"/>
      <c r="I600" s="5"/>
      <c r="J600" s="5"/>
      <c r="K600" s="5"/>
      <c r="L600" s="5"/>
      <c r="M600" s="5"/>
      <c r="N600" s="5"/>
      <c r="O600" s="5"/>
      <c r="P600" s="5"/>
    </row>
    <row r="601" customFormat="false" ht="15" hidden="false" customHeight="true" outlineLevel="0" collapsed="false">
      <c r="A601" s="5" t="s">
        <v>811</v>
      </c>
      <c r="B601" s="5"/>
      <c r="C601" s="5"/>
      <c r="D601" s="5"/>
      <c r="E601" s="5"/>
      <c r="F601" s="5"/>
      <c r="G601" s="5"/>
      <c r="H601" s="5"/>
      <c r="I601" s="5"/>
      <c r="J601" s="5"/>
      <c r="K601" s="5"/>
      <c r="L601" s="5"/>
      <c r="M601" s="5"/>
      <c r="N601" s="5"/>
      <c r="O601" s="5"/>
      <c r="P601" s="5"/>
    </row>
    <row r="602" customFormat="false" ht="15" hidden="false" customHeight="true" outlineLevel="0" collapsed="false">
      <c r="A602" s="5" t="s">
        <v>812</v>
      </c>
      <c r="B602" s="5"/>
      <c r="C602" s="5"/>
      <c r="D602" s="5"/>
      <c r="E602" s="5"/>
      <c r="F602" s="5"/>
      <c r="G602" s="5"/>
      <c r="H602" s="5"/>
      <c r="I602" s="5"/>
      <c r="J602" s="5"/>
      <c r="K602" s="5"/>
      <c r="L602" s="5"/>
      <c r="M602" s="5"/>
      <c r="N602" s="5"/>
      <c r="O602" s="5"/>
      <c r="P602" s="5"/>
    </row>
    <row r="603" customFormat="false" ht="15" hidden="false" customHeight="true" outlineLevel="0" collapsed="false">
      <c r="A603" s="5" t="s">
        <v>813</v>
      </c>
      <c r="B603" s="5"/>
      <c r="C603" s="5"/>
      <c r="D603" s="5"/>
      <c r="E603" s="5"/>
      <c r="F603" s="5"/>
      <c r="G603" s="5"/>
      <c r="H603" s="5"/>
      <c r="I603" s="5"/>
      <c r="J603" s="5"/>
      <c r="K603" s="5"/>
      <c r="L603" s="5"/>
      <c r="M603" s="5"/>
      <c r="N603" s="5"/>
      <c r="O603" s="5"/>
      <c r="P603" s="5"/>
    </row>
    <row r="604" customFormat="false" ht="15" hidden="false" customHeight="true" outlineLevel="0" collapsed="false">
      <c r="A604" s="5" t="s">
        <v>814</v>
      </c>
      <c r="B604" s="5"/>
      <c r="C604" s="5"/>
      <c r="D604" s="5"/>
      <c r="E604" s="5"/>
      <c r="F604" s="5"/>
      <c r="G604" s="5"/>
      <c r="H604" s="5"/>
      <c r="I604" s="5"/>
      <c r="J604" s="5"/>
      <c r="K604" s="5"/>
      <c r="L604" s="5"/>
      <c r="M604" s="5"/>
      <c r="N604" s="5"/>
      <c r="O604" s="5"/>
      <c r="P604" s="5"/>
    </row>
    <row r="605" customFormat="false" ht="15" hidden="false" customHeight="true" outlineLevel="0" collapsed="false">
      <c r="A605" s="5" t="s">
        <v>815</v>
      </c>
      <c r="B605" s="5"/>
      <c r="C605" s="5"/>
      <c r="D605" s="5"/>
      <c r="E605" s="5"/>
      <c r="F605" s="5"/>
      <c r="G605" s="5"/>
      <c r="H605" s="5"/>
      <c r="I605" s="5"/>
      <c r="J605" s="5"/>
      <c r="K605" s="5"/>
      <c r="L605" s="5"/>
      <c r="M605" s="5"/>
      <c r="N605" s="5"/>
      <c r="O605" s="5"/>
      <c r="P605" s="5"/>
    </row>
    <row r="606" customFormat="false" ht="15" hidden="false" customHeight="true" outlineLevel="0" collapsed="false">
      <c r="A606" s="5" t="s">
        <v>816</v>
      </c>
      <c r="B606" s="5"/>
      <c r="C606" s="5"/>
      <c r="D606" s="5"/>
      <c r="E606" s="5"/>
      <c r="F606" s="5"/>
      <c r="G606" s="5"/>
      <c r="H606" s="5"/>
      <c r="I606" s="5"/>
      <c r="J606" s="5"/>
      <c r="K606" s="5"/>
      <c r="L606" s="5"/>
      <c r="M606" s="5"/>
      <c r="N606" s="5"/>
      <c r="O606" s="5"/>
      <c r="P606" s="5"/>
    </row>
    <row r="607" customFormat="false" ht="15" hidden="false" customHeight="true" outlineLevel="0" collapsed="false">
      <c r="A607" s="5" t="s">
        <v>817</v>
      </c>
      <c r="B607" s="5"/>
      <c r="C607" s="5"/>
      <c r="D607" s="5"/>
      <c r="E607" s="5"/>
      <c r="F607" s="5"/>
      <c r="G607" s="5"/>
      <c r="H607" s="5"/>
      <c r="I607" s="5"/>
      <c r="J607" s="5"/>
      <c r="K607" s="5"/>
      <c r="L607" s="5"/>
      <c r="M607" s="5"/>
      <c r="N607" s="5"/>
      <c r="O607" s="5"/>
      <c r="P607" s="5"/>
    </row>
    <row r="608" customFormat="false" ht="15" hidden="false" customHeight="true" outlineLevel="0" collapsed="false">
      <c r="A608" s="5" t="s">
        <v>818</v>
      </c>
      <c r="B608" s="5"/>
      <c r="C608" s="5"/>
      <c r="D608" s="5"/>
      <c r="E608" s="5"/>
      <c r="F608" s="5"/>
      <c r="G608" s="5"/>
      <c r="H608" s="5"/>
      <c r="I608" s="5"/>
      <c r="J608" s="5"/>
      <c r="K608" s="5"/>
      <c r="L608" s="5"/>
      <c r="M608" s="5"/>
      <c r="N608" s="5"/>
      <c r="O608" s="5"/>
      <c r="P608" s="5"/>
    </row>
    <row r="609" customFormat="false" ht="15" hidden="false" customHeight="true" outlineLevel="0" collapsed="false">
      <c r="A609" s="5" t="s">
        <v>819</v>
      </c>
      <c r="B609" s="5"/>
      <c r="C609" s="5"/>
      <c r="D609" s="5"/>
      <c r="E609" s="5"/>
      <c r="F609" s="5"/>
      <c r="G609" s="5"/>
      <c r="H609" s="5"/>
      <c r="I609" s="5"/>
      <c r="J609" s="5"/>
      <c r="K609" s="5"/>
      <c r="L609" s="5"/>
      <c r="M609" s="5"/>
      <c r="N609" s="5"/>
      <c r="O609" s="5"/>
      <c r="P609" s="5"/>
    </row>
    <row r="610" customFormat="false" ht="15" hidden="false" customHeight="true" outlineLevel="0" collapsed="false">
      <c r="A610" s="5" t="s">
        <v>820</v>
      </c>
      <c r="B610" s="5"/>
      <c r="C610" s="5"/>
      <c r="D610" s="5"/>
      <c r="E610" s="5"/>
      <c r="F610" s="5"/>
      <c r="G610" s="5"/>
      <c r="H610" s="5"/>
      <c r="I610" s="5"/>
      <c r="J610" s="5"/>
      <c r="K610" s="5"/>
      <c r="L610" s="5"/>
      <c r="M610" s="5"/>
      <c r="N610" s="5"/>
      <c r="O610" s="5"/>
      <c r="P610" s="5"/>
    </row>
    <row r="611" customFormat="false" ht="15" hidden="false" customHeight="true" outlineLevel="0" collapsed="false">
      <c r="A611" s="5" t="s">
        <v>821</v>
      </c>
      <c r="B611" s="5"/>
      <c r="C611" s="5"/>
      <c r="D611" s="5"/>
      <c r="E611" s="5"/>
      <c r="F611" s="5"/>
      <c r="G611" s="5"/>
      <c r="H611" s="5"/>
      <c r="I611" s="5"/>
      <c r="J611" s="5"/>
      <c r="K611" s="5"/>
      <c r="L611" s="5"/>
      <c r="M611" s="5"/>
      <c r="N611" s="5"/>
      <c r="O611" s="5"/>
      <c r="P611" s="5"/>
    </row>
    <row r="612" customFormat="false" ht="15" hidden="false" customHeight="true" outlineLevel="0" collapsed="false">
      <c r="A612" s="5" t="s">
        <v>822</v>
      </c>
      <c r="B612" s="5"/>
      <c r="C612" s="5"/>
      <c r="D612" s="5"/>
      <c r="E612" s="5"/>
      <c r="F612" s="5"/>
      <c r="G612" s="5"/>
      <c r="H612" s="5"/>
      <c r="I612" s="5"/>
      <c r="J612" s="5"/>
      <c r="K612" s="5"/>
      <c r="L612" s="5"/>
      <c r="M612" s="5"/>
      <c r="N612" s="5"/>
      <c r="O612" s="5"/>
      <c r="P612" s="5"/>
    </row>
    <row r="613" customFormat="false" ht="15" hidden="false" customHeight="true" outlineLevel="0" collapsed="false">
      <c r="A613" s="5" t="s">
        <v>823</v>
      </c>
      <c r="B613" s="5"/>
      <c r="C613" s="5"/>
      <c r="D613" s="5"/>
      <c r="E613" s="5"/>
      <c r="F613" s="5"/>
      <c r="G613" s="5"/>
      <c r="H613" s="5"/>
      <c r="I613" s="5"/>
      <c r="J613" s="5"/>
      <c r="K613" s="5"/>
      <c r="L613" s="5"/>
      <c r="M613" s="5"/>
      <c r="N613" s="5"/>
      <c r="O613" s="5"/>
      <c r="P613" s="5"/>
    </row>
    <row r="614" customFormat="false" ht="15" hidden="false" customHeight="true" outlineLevel="0" collapsed="false">
      <c r="A614" s="5" t="s">
        <v>824</v>
      </c>
      <c r="B614" s="5"/>
      <c r="C614" s="5"/>
      <c r="D614" s="5"/>
      <c r="E614" s="5"/>
      <c r="F614" s="5"/>
      <c r="G614" s="5"/>
      <c r="H614" s="5"/>
      <c r="I614" s="5"/>
      <c r="J614" s="5"/>
      <c r="K614" s="5"/>
      <c r="L614" s="5"/>
      <c r="M614" s="5"/>
      <c r="N614" s="5"/>
      <c r="O614" s="5"/>
      <c r="P614" s="5"/>
    </row>
    <row r="615" customFormat="false" ht="15" hidden="false" customHeight="true" outlineLevel="0" collapsed="false">
      <c r="A615" s="5" t="s">
        <v>825</v>
      </c>
      <c r="B615" s="5"/>
      <c r="C615" s="5"/>
      <c r="D615" s="5"/>
      <c r="E615" s="5"/>
      <c r="F615" s="5"/>
      <c r="G615" s="5"/>
      <c r="H615" s="5"/>
      <c r="I615" s="5"/>
      <c r="J615" s="5"/>
      <c r="K615" s="5"/>
      <c r="L615" s="5"/>
      <c r="M615" s="5"/>
      <c r="N615" s="5"/>
      <c r="O615" s="5"/>
      <c r="P615" s="5"/>
    </row>
    <row r="616" customFormat="false" ht="15" hidden="false" customHeight="true" outlineLevel="0" collapsed="false">
      <c r="A616" s="5" t="s">
        <v>826</v>
      </c>
      <c r="B616" s="5"/>
      <c r="C616" s="5"/>
      <c r="D616" s="5"/>
      <c r="E616" s="5"/>
      <c r="F616" s="5"/>
      <c r="G616" s="5"/>
      <c r="H616" s="5"/>
      <c r="I616" s="5"/>
      <c r="J616" s="5"/>
      <c r="K616" s="5"/>
      <c r="L616" s="5"/>
      <c r="M616" s="5"/>
      <c r="N616" s="5"/>
      <c r="O616" s="5"/>
      <c r="P616" s="5"/>
    </row>
    <row r="617" customFormat="false" ht="15" hidden="false" customHeight="true" outlineLevel="0" collapsed="false">
      <c r="A617" s="5" t="s">
        <v>827</v>
      </c>
      <c r="B617" s="5"/>
      <c r="C617" s="5"/>
      <c r="D617" s="5"/>
      <c r="E617" s="5"/>
      <c r="F617" s="5"/>
      <c r="G617" s="5"/>
      <c r="H617" s="5"/>
      <c r="I617" s="5"/>
      <c r="J617" s="5"/>
      <c r="K617" s="5"/>
      <c r="L617" s="5"/>
      <c r="M617" s="5"/>
      <c r="N617" s="5"/>
      <c r="O617" s="5"/>
      <c r="P617" s="5"/>
    </row>
    <row r="618" customFormat="false" ht="15" hidden="false" customHeight="true" outlineLevel="0" collapsed="false">
      <c r="A618" s="5" t="s">
        <v>828</v>
      </c>
      <c r="B618" s="5"/>
      <c r="C618" s="5"/>
      <c r="D618" s="5"/>
      <c r="E618" s="5"/>
      <c r="F618" s="5"/>
      <c r="G618" s="5"/>
      <c r="H618" s="5"/>
      <c r="I618" s="5"/>
      <c r="J618" s="5"/>
      <c r="K618" s="5"/>
      <c r="L618" s="5"/>
      <c r="M618" s="5"/>
      <c r="N618" s="5"/>
      <c r="O618" s="5"/>
      <c r="P618" s="5"/>
    </row>
    <row r="619" customFormat="false" ht="15" hidden="false" customHeight="true" outlineLevel="0" collapsed="false">
      <c r="A619" s="5" t="s">
        <v>829</v>
      </c>
      <c r="B619" s="5"/>
      <c r="C619" s="5"/>
      <c r="D619" s="5"/>
      <c r="E619" s="5"/>
      <c r="F619" s="5"/>
      <c r="G619" s="5"/>
      <c r="H619" s="5"/>
      <c r="I619" s="5"/>
      <c r="J619" s="5"/>
      <c r="K619" s="5"/>
      <c r="L619" s="5"/>
      <c r="M619" s="5"/>
      <c r="N619" s="5"/>
      <c r="O619" s="5"/>
      <c r="P619" s="5"/>
    </row>
    <row r="620" customFormat="false" ht="15" hidden="false" customHeight="true" outlineLevel="0" collapsed="false">
      <c r="A620" s="5" t="s">
        <v>830</v>
      </c>
      <c r="B620" s="5"/>
      <c r="C620" s="5"/>
      <c r="D620" s="5"/>
      <c r="E620" s="5"/>
      <c r="F620" s="5"/>
      <c r="G620" s="5"/>
      <c r="H620" s="5"/>
      <c r="I620" s="5"/>
      <c r="J620" s="5"/>
      <c r="K620" s="5"/>
      <c r="L620" s="5"/>
      <c r="M620" s="5"/>
      <c r="N620" s="5"/>
      <c r="O620" s="5"/>
      <c r="P620" s="5"/>
    </row>
    <row r="621" customFormat="false" ht="15" hidden="false" customHeight="true" outlineLevel="0" collapsed="false">
      <c r="A621" s="5" t="s">
        <v>831</v>
      </c>
      <c r="B621" s="5"/>
      <c r="C621" s="5"/>
      <c r="D621" s="5"/>
      <c r="E621" s="5"/>
      <c r="F621" s="5"/>
      <c r="G621" s="5"/>
      <c r="H621" s="5"/>
      <c r="I621" s="5"/>
      <c r="J621" s="5"/>
      <c r="K621" s="5"/>
      <c r="L621" s="5"/>
      <c r="M621" s="5"/>
      <c r="N621" s="5"/>
      <c r="O621" s="5"/>
      <c r="P621" s="5"/>
    </row>
    <row r="622" customFormat="false" ht="15" hidden="false" customHeight="true" outlineLevel="0" collapsed="false">
      <c r="A622" s="5" t="s">
        <v>832</v>
      </c>
      <c r="B622" s="5"/>
      <c r="C622" s="5"/>
      <c r="D622" s="5"/>
      <c r="E622" s="5"/>
      <c r="F622" s="5"/>
      <c r="G622" s="5"/>
      <c r="H622" s="5"/>
      <c r="I622" s="5"/>
      <c r="J622" s="5"/>
      <c r="K622" s="5"/>
      <c r="L622" s="5"/>
      <c r="M622" s="5"/>
      <c r="N622" s="5"/>
      <c r="O622" s="5"/>
      <c r="P622" s="5"/>
    </row>
    <row r="623" customFormat="false" ht="30" hidden="false" customHeight="true" outlineLevel="0" collapsed="false">
      <c r="A623" s="5" t="s">
        <v>833</v>
      </c>
      <c r="B623" s="5"/>
      <c r="C623" s="5"/>
      <c r="D623" s="5"/>
      <c r="E623" s="5"/>
      <c r="F623" s="5"/>
      <c r="G623" s="5"/>
      <c r="H623" s="5"/>
      <c r="I623" s="5"/>
      <c r="J623" s="5"/>
      <c r="K623" s="5"/>
      <c r="L623" s="5"/>
      <c r="M623" s="5"/>
      <c r="N623" s="5"/>
      <c r="O623" s="5"/>
      <c r="P623" s="5"/>
    </row>
    <row r="624" customFormat="false" ht="15" hidden="false" customHeight="true" outlineLevel="0" collapsed="false">
      <c r="A624" s="5" t="s">
        <v>834</v>
      </c>
      <c r="B624" s="5"/>
      <c r="C624" s="5"/>
      <c r="D624" s="5"/>
      <c r="E624" s="5"/>
      <c r="F624" s="5"/>
      <c r="G624" s="5"/>
      <c r="H624" s="5"/>
      <c r="I624" s="5"/>
      <c r="J624" s="5"/>
      <c r="K624" s="5"/>
      <c r="L624" s="5"/>
      <c r="M624" s="5"/>
      <c r="N624" s="5"/>
      <c r="O624" s="5"/>
      <c r="P624" s="5"/>
    </row>
    <row r="625" customFormat="false" ht="15" hidden="false" customHeight="true" outlineLevel="0" collapsed="false">
      <c r="A625" s="5" t="s">
        <v>835</v>
      </c>
      <c r="B625" s="5"/>
      <c r="C625" s="5"/>
      <c r="D625" s="5"/>
      <c r="E625" s="5"/>
      <c r="F625" s="5"/>
      <c r="G625" s="5"/>
      <c r="H625" s="5"/>
      <c r="I625" s="5"/>
      <c r="J625" s="5"/>
      <c r="K625" s="5"/>
      <c r="L625" s="5"/>
      <c r="M625" s="5"/>
      <c r="N625" s="5"/>
      <c r="O625" s="5"/>
      <c r="P625" s="5"/>
    </row>
    <row r="626" customFormat="false" ht="15" hidden="false" customHeight="true" outlineLevel="0" collapsed="false">
      <c r="A626" s="5" t="s">
        <v>836</v>
      </c>
      <c r="B626" s="5"/>
      <c r="C626" s="5"/>
      <c r="D626" s="5"/>
      <c r="E626" s="5"/>
      <c r="F626" s="5"/>
      <c r="G626" s="5"/>
      <c r="H626" s="5"/>
      <c r="I626" s="5"/>
      <c r="J626" s="5"/>
      <c r="K626" s="5"/>
      <c r="L626" s="5"/>
      <c r="M626" s="5"/>
      <c r="N626" s="5"/>
      <c r="O626" s="5"/>
      <c r="P626" s="5"/>
    </row>
    <row r="627" customFormat="false" ht="15" hidden="false" customHeight="true" outlineLevel="0" collapsed="false">
      <c r="A627" s="5" t="s">
        <v>837</v>
      </c>
      <c r="B627" s="5"/>
      <c r="C627" s="5"/>
      <c r="D627" s="5"/>
      <c r="E627" s="5"/>
      <c r="F627" s="5"/>
      <c r="G627" s="5"/>
      <c r="H627" s="5"/>
      <c r="I627" s="5"/>
      <c r="J627" s="5"/>
      <c r="K627" s="5"/>
      <c r="L627" s="5"/>
      <c r="M627" s="5"/>
      <c r="N627" s="5"/>
      <c r="O627" s="5"/>
      <c r="P627" s="5"/>
    </row>
    <row r="628" customFormat="false" ht="30" hidden="false" customHeight="true" outlineLevel="0" collapsed="false">
      <c r="A628" s="5" t="s">
        <v>838</v>
      </c>
      <c r="B628" s="5"/>
      <c r="C628" s="5"/>
      <c r="D628" s="5"/>
      <c r="E628" s="5"/>
      <c r="F628" s="5"/>
      <c r="G628" s="5"/>
      <c r="H628" s="5"/>
      <c r="I628" s="5"/>
      <c r="J628" s="5"/>
      <c r="K628" s="5"/>
      <c r="L628" s="5"/>
      <c r="M628" s="5"/>
      <c r="N628" s="5"/>
      <c r="O628" s="5"/>
      <c r="P628" s="5"/>
    </row>
    <row r="629" customFormat="false" ht="30" hidden="false" customHeight="true" outlineLevel="0" collapsed="false">
      <c r="A629" s="5" t="s">
        <v>839</v>
      </c>
      <c r="B629" s="5"/>
      <c r="C629" s="5"/>
      <c r="D629" s="5"/>
      <c r="E629" s="5"/>
      <c r="F629" s="5"/>
      <c r="G629" s="5"/>
      <c r="H629" s="5"/>
      <c r="I629" s="5"/>
      <c r="J629" s="5"/>
      <c r="K629" s="5"/>
      <c r="L629" s="5"/>
      <c r="M629" s="5"/>
      <c r="N629" s="5"/>
      <c r="O629" s="5"/>
      <c r="P629" s="5"/>
    </row>
    <row r="631" customFormat="false" ht="15" hidden="false" customHeight="true" outlineLevel="0" collapsed="false">
      <c r="A631" s="42" t="s">
        <v>840</v>
      </c>
      <c r="B631" s="42"/>
      <c r="C631" s="42"/>
      <c r="D631" s="42"/>
      <c r="E631" s="42"/>
      <c r="F631" s="42"/>
      <c r="G631" s="42"/>
      <c r="H631" s="42"/>
      <c r="I631" s="42"/>
      <c r="J631" s="42"/>
      <c r="K631" s="42"/>
      <c r="L631" s="42"/>
      <c r="M631" s="42"/>
      <c r="N631" s="42"/>
      <c r="O631" s="42"/>
      <c r="P631" s="42"/>
    </row>
    <row r="632" customFormat="false" ht="75" hidden="false" customHeight="true" outlineLevel="0" collapsed="false">
      <c r="A632" s="5" t="s">
        <v>841</v>
      </c>
      <c r="B632" s="5"/>
      <c r="C632" s="5"/>
      <c r="D632" s="5"/>
      <c r="E632" s="5"/>
      <c r="F632" s="5"/>
      <c r="G632" s="5"/>
      <c r="H632" s="5"/>
      <c r="I632" s="5"/>
      <c r="J632" s="5"/>
      <c r="K632" s="5"/>
      <c r="L632" s="5"/>
      <c r="M632" s="5"/>
      <c r="N632" s="5"/>
      <c r="O632" s="5"/>
      <c r="P632" s="5"/>
    </row>
    <row r="633" customFormat="false" ht="30" hidden="false" customHeight="true" outlineLevel="0" collapsed="false">
      <c r="A633" s="5" t="s">
        <v>842</v>
      </c>
      <c r="B633" s="5"/>
      <c r="C633" s="5"/>
      <c r="D633" s="5"/>
      <c r="E633" s="5"/>
      <c r="F633" s="5"/>
      <c r="G633" s="5"/>
      <c r="H633" s="5"/>
      <c r="I633" s="5"/>
      <c r="J633" s="5"/>
      <c r="K633" s="5"/>
      <c r="L633" s="5"/>
      <c r="M633" s="5"/>
      <c r="N633" s="5"/>
      <c r="O633" s="5"/>
      <c r="P633" s="5"/>
    </row>
    <row r="634" customFormat="false" ht="45" hidden="false" customHeight="true" outlineLevel="0" collapsed="false">
      <c r="A634" s="5" t="s">
        <v>843</v>
      </c>
      <c r="B634" s="5"/>
      <c r="C634" s="5"/>
      <c r="D634" s="5"/>
      <c r="E634" s="5"/>
      <c r="F634" s="5"/>
      <c r="G634" s="5"/>
      <c r="H634" s="5"/>
      <c r="I634" s="5"/>
      <c r="J634" s="5"/>
      <c r="K634" s="5"/>
      <c r="L634" s="5"/>
      <c r="M634" s="5"/>
      <c r="N634" s="5"/>
      <c r="O634" s="5"/>
      <c r="P634" s="5"/>
    </row>
    <row r="635" customFormat="false" ht="30" hidden="false" customHeight="true" outlineLevel="0" collapsed="false">
      <c r="A635" s="5" t="s">
        <v>844</v>
      </c>
      <c r="B635" s="5"/>
      <c r="C635" s="5"/>
      <c r="D635" s="5"/>
      <c r="E635" s="5"/>
      <c r="F635" s="5"/>
      <c r="G635" s="5"/>
      <c r="H635" s="5"/>
      <c r="I635" s="5"/>
      <c r="J635" s="5"/>
      <c r="K635" s="5"/>
      <c r="L635" s="5"/>
      <c r="M635" s="5"/>
      <c r="N635" s="5"/>
      <c r="O635" s="5"/>
      <c r="P635" s="5"/>
    </row>
    <row r="636" customFormat="false" ht="30" hidden="false" customHeight="true" outlineLevel="0" collapsed="false">
      <c r="A636" s="5" t="s">
        <v>845</v>
      </c>
      <c r="B636" s="5"/>
      <c r="C636" s="5"/>
      <c r="D636" s="5"/>
      <c r="E636" s="5"/>
      <c r="F636" s="5"/>
      <c r="G636" s="5"/>
      <c r="H636" s="5"/>
      <c r="I636" s="5"/>
      <c r="J636" s="5"/>
      <c r="K636" s="5"/>
      <c r="L636" s="5"/>
      <c r="M636" s="5"/>
      <c r="N636" s="5"/>
      <c r="O636" s="5"/>
      <c r="P636" s="5"/>
    </row>
    <row r="637" customFormat="false" ht="30" hidden="false" customHeight="true" outlineLevel="0" collapsed="false">
      <c r="A637" s="5" t="s">
        <v>846</v>
      </c>
      <c r="B637" s="5"/>
      <c r="C637" s="5"/>
      <c r="D637" s="5"/>
      <c r="E637" s="5"/>
      <c r="F637" s="5"/>
      <c r="G637" s="5"/>
      <c r="H637" s="5"/>
      <c r="I637" s="5"/>
      <c r="J637" s="5"/>
      <c r="K637" s="5"/>
      <c r="L637" s="5"/>
      <c r="M637" s="5"/>
      <c r="N637" s="5"/>
      <c r="O637" s="5"/>
      <c r="P637" s="5"/>
    </row>
    <row r="639" customFormat="false" ht="15" hidden="false" customHeight="true" outlineLevel="0" collapsed="false">
      <c r="A639" s="42" t="s">
        <v>847</v>
      </c>
      <c r="B639" s="42"/>
      <c r="C639" s="42"/>
      <c r="D639" s="42"/>
      <c r="E639" s="42"/>
      <c r="F639" s="42"/>
      <c r="G639" s="42"/>
      <c r="H639" s="42"/>
      <c r="I639" s="42"/>
      <c r="J639" s="42"/>
      <c r="K639" s="42"/>
      <c r="L639" s="42"/>
      <c r="M639" s="42"/>
      <c r="N639" s="42"/>
      <c r="O639" s="42"/>
      <c r="P639" s="42"/>
    </row>
    <row r="640" customFormat="false" ht="30" hidden="false" customHeight="true" outlineLevel="0" collapsed="false">
      <c r="A640" s="5" t="s">
        <v>848</v>
      </c>
      <c r="B640" s="5"/>
      <c r="C640" s="5"/>
      <c r="D640" s="5"/>
      <c r="E640" s="5"/>
      <c r="F640" s="5"/>
      <c r="G640" s="5"/>
      <c r="H640" s="5"/>
      <c r="I640" s="5"/>
      <c r="J640" s="5"/>
      <c r="K640" s="5"/>
      <c r="L640" s="5"/>
      <c r="M640" s="5"/>
      <c r="N640" s="5"/>
      <c r="O640" s="5"/>
      <c r="P640" s="5"/>
    </row>
    <row r="641" customFormat="false" ht="30" hidden="false" customHeight="true" outlineLevel="0" collapsed="false">
      <c r="A641" s="5" t="s">
        <v>849</v>
      </c>
      <c r="B641" s="5"/>
      <c r="C641" s="5"/>
      <c r="D641" s="5"/>
      <c r="E641" s="5"/>
      <c r="F641" s="5"/>
      <c r="G641" s="5"/>
      <c r="H641" s="5"/>
      <c r="I641" s="5"/>
      <c r="J641" s="5"/>
      <c r="K641" s="5"/>
      <c r="L641" s="5"/>
      <c r="M641" s="5"/>
      <c r="N641" s="5"/>
      <c r="O641" s="5"/>
      <c r="P641" s="5"/>
    </row>
    <row r="642" customFormat="false" ht="30" hidden="false" customHeight="true" outlineLevel="0" collapsed="false">
      <c r="A642" s="5" t="s">
        <v>850</v>
      </c>
      <c r="B642" s="5"/>
      <c r="C642" s="5"/>
      <c r="D642" s="5"/>
      <c r="E642" s="5"/>
      <c r="F642" s="5"/>
      <c r="G642" s="5"/>
      <c r="H642" s="5"/>
      <c r="I642" s="5"/>
      <c r="J642" s="5"/>
      <c r="K642" s="5"/>
      <c r="L642" s="5"/>
      <c r="M642" s="5"/>
      <c r="N642" s="5"/>
      <c r="O642" s="5"/>
      <c r="P642" s="5"/>
    </row>
    <row r="643" customFormat="false" ht="30" hidden="false" customHeight="true" outlineLevel="0" collapsed="false">
      <c r="A643" s="5" t="s">
        <v>851</v>
      </c>
      <c r="B643" s="5"/>
      <c r="C643" s="5"/>
      <c r="D643" s="5"/>
      <c r="E643" s="5"/>
      <c r="F643" s="5"/>
      <c r="G643" s="5"/>
      <c r="H643" s="5"/>
      <c r="I643" s="5"/>
      <c r="J643" s="5"/>
      <c r="K643" s="5"/>
      <c r="L643" s="5"/>
      <c r="M643" s="5"/>
      <c r="N643" s="5"/>
      <c r="O643" s="5"/>
      <c r="P643" s="5"/>
    </row>
    <row r="644" customFormat="false" ht="30" hidden="false" customHeight="true" outlineLevel="0" collapsed="false">
      <c r="A644" s="5" t="s">
        <v>852</v>
      </c>
      <c r="B644" s="5"/>
      <c r="C644" s="5"/>
      <c r="D644" s="5"/>
      <c r="E644" s="5"/>
      <c r="F644" s="5"/>
      <c r="G644" s="5"/>
      <c r="H644" s="5"/>
      <c r="I644" s="5"/>
      <c r="J644" s="5"/>
      <c r="K644" s="5"/>
      <c r="L644" s="5"/>
      <c r="M644" s="5"/>
      <c r="N644" s="5"/>
      <c r="O644" s="5"/>
      <c r="P644" s="5"/>
    </row>
    <row r="645" customFormat="false" ht="30" hidden="false" customHeight="true" outlineLevel="0" collapsed="false">
      <c r="A645" s="5" t="s">
        <v>853</v>
      </c>
      <c r="B645" s="5"/>
      <c r="C645" s="5"/>
      <c r="D645" s="5"/>
      <c r="E645" s="5"/>
      <c r="F645" s="5"/>
      <c r="G645" s="5"/>
      <c r="H645" s="5"/>
      <c r="I645" s="5"/>
      <c r="J645" s="5"/>
      <c r="K645" s="5"/>
      <c r="L645" s="5"/>
      <c r="M645" s="5"/>
      <c r="N645" s="5"/>
      <c r="O645" s="5"/>
      <c r="P645" s="5"/>
    </row>
    <row r="646" customFormat="false" ht="30" hidden="false" customHeight="true" outlineLevel="0" collapsed="false">
      <c r="A646" s="5" t="s">
        <v>854</v>
      </c>
      <c r="B646" s="5"/>
      <c r="C646" s="5"/>
      <c r="D646" s="5"/>
      <c r="E646" s="5"/>
      <c r="F646" s="5"/>
      <c r="G646" s="5"/>
      <c r="H646" s="5"/>
      <c r="I646" s="5"/>
      <c r="J646" s="5"/>
      <c r="K646" s="5"/>
      <c r="L646" s="5"/>
      <c r="M646" s="5"/>
      <c r="N646" s="5"/>
      <c r="O646" s="5"/>
      <c r="P646" s="5"/>
    </row>
    <row r="647" customFormat="false" ht="30" hidden="false" customHeight="true" outlineLevel="0" collapsed="false">
      <c r="A647" s="5" t="s">
        <v>855</v>
      </c>
      <c r="B647" s="5"/>
      <c r="C647" s="5"/>
      <c r="D647" s="5"/>
      <c r="E647" s="5"/>
      <c r="F647" s="5"/>
      <c r="G647" s="5"/>
      <c r="H647" s="5"/>
      <c r="I647" s="5"/>
      <c r="J647" s="5"/>
      <c r="K647" s="5"/>
      <c r="L647" s="5"/>
      <c r="M647" s="5"/>
      <c r="N647" s="5"/>
      <c r="O647" s="5"/>
      <c r="P647" s="5"/>
    </row>
    <row r="648" customFormat="false" ht="30" hidden="false" customHeight="true" outlineLevel="0" collapsed="false">
      <c r="A648" s="5" t="s">
        <v>856</v>
      </c>
      <c r="B648" s="5"/>
      <c r="C648" s="5"/>
      <c r="D648" s="5"/>
      <c r="E648" s="5"/>
      <c r="F648" s="5"/>
      <c r="G648" s="5"/>
      <c r="H648" s="5"/>
      <c r="I648" s="5"/>
      <c r="J648" s="5"/>
      <c r="K648" s="5"/>
      <c r="L648" s="5"/>
      <c r="M648" s="5"/>
      <c r="N648" s="5"/>
      <c r="O648" s="5"/>
      <c r="P648" s="5"/>
    </row>
    <row r="649" customFormat="false" ht="45" hidden="false" customHeight="true" outlineLevel="0" collapsed="false">
      <c r="A649" s="5" t="s">
        <v>857</v>
      </c>
      <c r="B649" s="5"/>
      <c r="C649" s="5"/>
      <c r="D649" s="5"/>
      <c r="E649" s="5"/>
      <c r="F649" s="5"/>
      <c r="G649" s="5"/>
      <c r="H649" s="5"/>
      <c r="I649" s="5"/>
      <c r="J649" s="5"/>
      <c r="K649" s="5"/>
      <c r="L649" s="5"/>
      <c r="M649" s="5"/>
      <c r="N649" s="5"/>
      <c r="O649" s="5"/>
      <c r="P649" s="5"/>
    </row>
    <row r="650" customFormat="false" ht="45" hidden="false" customHeight="true" outlineLevel="0" collapsed="false">
      <c r="A650" s="5" t="s">
        <v>858</v>
      </c>
      <c r="B650" s="5"/>
      <c r="C650" s="5"/>
      <c r="D650" s="5"/>
      <c r="E650" s="5"/>
      <c r="F650" s="5"/>
      <c r="G650" s="5"/>
      <c r="H650" s="5"/>
      <c r="I650" s="5"/>
      <c r="J650" s="5"/>
      <c r="K650" s="5"/>
      <c r="L650" s="5"/>
      <c r="M650" s="5"/>
      <c r="N650" s="5"/>
      <c r="O650" s="5"/>
      <c r="P650" s="5"/>
    </row>
    <row r="651" customFormat="false" ht="60" hidden="false" customHeight="true" outlineLevel="0" collapsed="false">
      <c r="A651" s="5" t="s">
        <v>859</v>
      </c>
      <c r="B651" s="5"/>
      <c r="C651" s="5"/>
      <c r="D651" s="5"/>
      <c r="E651" s="5"/>
      <c r="F651" s="5"/>
      <c r="G651" s="5"/>
      <c r="H651" s="5"/>
      <c r="I651" s="5"/>
      <c r="J651" s="5"/>
      <c r="K651" s="5"/>
      <c r="L651" s="5"/>
      <c r="M651" s="5"/>
      <c r="N651" s="5"/>
      <c r="O651" s="5"/>
      <c r="P651" s="5"/>
    </row>
    <row r="652" customFormat="false" ht="30" hidden="false" customHeight="true" outlineLevel="0" collapsed="false">
      <c r="A652" s="5" t="s">
        <v>860</v>
      </c>
      <c r="B652" s="5"/>
      <c r="C652" s="5"/>
      <c r="D652" s="5"/>
      <c r="E652" s="5"/>
      <c r="F652" s="5"/>
      <c r="G652" s="5"/>
      <c r="H652" s="5"/>
      <c r="I652" s="5"/>
      <c r="J652" s="5"/>
      <c r="K652" s="5"/>
      <c r="L652" s="5"/>
      <c r="M652" s="5"/>
      <c r="N652" s="5"/>
      <c r="O652" s="5"/>
      <c r="P652" s="5"/>
    </row>
    <row r="653" customFormat="false" ht="30" hidden="false" customHeight="true" outlineLevel="0" collapsed="false">
      <c r="A653" s="5" t="s">
        <v>861</v>
      </c>
      <c r="B653" s="5"/>
      <c r="C653" s="5"/>
      <c r="D653" s="5"/>
      <c r="E653" s="5"/>
      <c r="F653" s="5"/>
      <c r="G653" s="5"/>
      <c r="H653" s="5"/>
      <c r="I653" s="5"/>
      <c r="J653" s="5"/>
      <c r="K653" s="5"/>
      <c r="L653" s="5"/>
      <c r="M653" s="5"/>
      <c r="N653" s="5"/>
      <c r="O653" s="5"/>
      <c r="P653" s="5"/>
    </row>
    <row r="654" customFormat="false" ht="15" hidden="false" customHeight="true" outlineLevel="0" collapsed="false">
      <c r="A654" s="5" t="s">
        <v>862</v>
      </c>
      <c r="B654" s="5"/>
      <c r="C654" s="5"/>
      <c r="D654" s="5"/>
      <c r="E654" s="5"/>
      <c r="F654" s="5"/>
      <c r="G654" s="5"/>
      <c r="H654" s="5"/>
      <c r="I654" s="5"/>
      <c r="J654" s="5"/>
      <c r="K654" s="5"/>
      <c r="L654" s="5"/>
      <c r="M654" s="5"/>
      <c r="N654" s="5"/>
      <c r="O654" s="5"/>
      <c r="P654" s="5"/>
    </row>
    <row r="655" customFormat="false" ht="30" hidden="false" customHeight="true" outlineLevel="0" collapsed="false">
      <c r="A655" s="5" t="s">
        <v>863</v>
      </c>
      <c r="B655" s="5"/>
      <c r="C655" s="5"/>
      <c r="D655" s="5"/>
      <c r="E655" s="5"/>
      <c r="F655" s="5"/>
      <c r="G655" s="5"/>
      <c r="H655" s="5"/>
      <c r="I655" s="5"/>
      <c r="J655" s="5"/>
      <c r="K655" s="5"/>
      <c r="L655" s="5"/>
      <c r="M655" s="5"/>
      <c r="N655" s="5"/>
      <c r="O655" s="5"/>
      <c r="P655" s="5"/>
    </row>
    <row r="656" customFormat="false" ht="30" hidden="false" customHeight="true" outlineLevel="0" collapsed="false">
      <c r="A656" s="5" t="s">
        <v>864</v>
      </c>
      <c r="B656" s="5"/>
      <c r="C656" s="5"/>
      <c r="D656" s="5"/>
      <c r="E656" s="5"/>
      <c r="F656" s="5"/>
      <c r="G656" s="5"/>
      <c r="H656" s="5"/>
      <c r="I656" s="5"/>
      <c r="J656" s="5"/>
      <c r="K656" s="5"/>
      <c r="L656" s="5"/>
      <c r="M656" s="5"/>
      <c r="N656" s="5"/>
      <c r="O656" s="5"/>
      <c r="P656" s="5"/>
    </row>
    <row r="657" customFormat="false" ht="30" hidden="false" customHeight="true" outlineLevel="0" collapsed="false">
      <c r="A657" s="5" t="s">
        <v>865</v>
      </c>
      <c r="B657" s="5"/>
      <c r="C657" s="5"/>
      <c r="D657" s="5"/>
      <c r="E657" s="5"/>
      <c r="F657" s="5"/>
      <c r="G657" s="5"/>
      <c r="H657" s="5"/>
      <c r="I657" s="5"/>
      <c r="J657" s="5"/>
      <c r="K657" s="5"/>
      <c r="L657" s="5"/>
      <c r="M657" s="5"/>
      <c r="N657" s="5"/>
      <c r="O657" s="5"/>
      <c r="P657" s="5"/>
    </row>
    <row r="659" customFormat="false" ht="15" hidden="false" customHeight="true" outlineLevel="0" collapsed="false">
      <c r="A659" s="42" t="s">
        <v>866</v>
      </c>
      <c r="B659" s="42"/>
      <c r="C659" s="42"/>
      <c r="D659" s="42"/>
      <c r="E659" s="42"/>
      <c r="F659" s="42"/>
      <c r="G659" s="42"/>
      <c r="H659" s="42"/>
      <c r="I659" s="42"/>
      <c r="J659" s="42"/>
      <c r="K659" s="42"/>
      <c r="L659" s="42"/>
      <c r="M659" s="42"/>
      <c r="N659" s="42"/>
      <c r="O659" s="42"/>
      <c r="P659" s="42"/>
    </row>
    <row r="660" customFormat="false" ht="45" hidden="false" customHeight="true" outlineLevel="0" collapsed="false">
      <c r="A660" s="5" t="s">
        <v>867</v>
      </c>
      <c r="B660" s="5"/>
      <c r="C660" s="5"/>
      <c r="D660" s="5"/>
      <c r="E660" s="5"/>
      <c r="F660" s="5"/>
      <c r="G660" s="5"/>
      <c r="H660" s="5"/>
      <c r="I660" s="5"/>
      <c r="J660" s="5"/>
      <c r="K660" s="5"/>
      <c r="L660" s="5"/>
      <c r="M660" s="5"/>
      <c r="N660" s="5"/>
      <c r="O660" s="5"/>
      <c r="P660" s="5"/>
    </row>
    <row r="661" customFormat="false" ht="60" hidden="false" customHeight="true" outlineLevel="0" collapsed="false">
      <c r="A661" s="5" t="s">
        <v>868</v>
      </c>
      <c r="B661" s="5"/>
      <c r="C661" s="5"/>
      <c r="D661" s="5"/>
      <c r="E661" s="5"/>
      <c r="F661" s="5"/>
      <c r="G661" s="5"/>
      <c r="H661" s="5"/>
      <c r="I661" s="5"/>
      <c r="J661" s="5"/>
      <c r="K661" s="5"/>
      <c r="L661" s="5"/>
      <c r="M661" s="5"/>
      <c r="N661" s="5"/>
      <c r="O661" s="5"/>
      <c r="P661" s="5"/>
    </row>
    <row r="662" customFormat="false" ht="60" hidden="false" customHeight="true" outlineLevel="0" collapsed="false">
      <c r="A662" s="5" t="s">
        <v>869</v>
      </c>
      <c r="B662" s="5"/>
      <c r="C662" s="5"/>
      <c r="D662" s="5"/>
      <c r="E662" s="5"/>
      <c r="F662" s="5"/>
      <c r="G662" s="5"/>
      <c r="H662" s="5"/>
      <c r="I662" s="5"/>
      <c r="J662" s="5"/>
      <c r="K662" s="5"/>
      <c r="L662" s="5"/>
      <c r="M662" s="5"/>
      <c r="N662" s="5"/>
      <c r="O662" s="5"/>
      <c r="P662" s="5"/>
    </row>
    <row r="663" customFormat="false" ht="45" hidden="false" customHeight="true" outlineLevel="0" collapsed="false">
      <c r="A663" s="5" t="s">
        <v>870</v>
      </c>
      <c r="B663" s="5"/>
      <c r="C663" s="5"/>
      <c r="D663" s="5"/>
      <c r="E663" s="5"/>
      <c r="F663" s="5"/>
      <c r="G663" s="5"/>
      <c r="H663" s="5"/>
      <c r="I663" s="5"/>
      <c r="J663" s="5"/>
      <c r="K663" s="5"/>
      <c r="L663" s="5"/>
      <c r="M663" s="5"/>
      <c r="N663" s="5"/>
      <c r="O663" s="5"/>
      <c r="P663" s="5"/>
    </row>
    <row r="664" customFormat="false" ht="60" hidden="false" customHeight="true" outlineLevel="0" collapsed="false">
      <c r="A664" s="5" t="s">
        <v>871</v>
      </c>
      <c r="B664" s="5"/>
      <c r="C664" s="5"/>
      <c r="D664" s="5"/>
      <c r="E664" s="5"/>
      <c r="F664" s="5"/>
      <c r="G664" s="5"/>
      <c r="H664" s="5"/>
      <c r="I664" s="5"/>
      <c r="J664" s="5"/>
      <c r="K664" s="5"/>
      <c r="L664" s="5"/>
      <c r="M664" s="5"/>
      <c r="N664" s="5"/>
      <c r="O664" s="5"/>
      <c r="P664" s="5"/>
    </row>
    <row r="665" customFormat="false" ht="45" hidden="false" customHeight="true" outlineLevel="0" collapsed="false">
      <c r="A665" s="5" t="s">
        <v>872</v>
      </c>
      <c r="B665" s="5"/>
      <c r="C665" s="5"/>
      <c r="D665" s="5"/>
      <c r="E665" s="5"/>
      <c r="F665" s="5"/>
      <c r="G665" s="5"/>
      <c r="H665" s="5"/>
      <c r="I665" s="5"/>
      <c r="J665" s="5"/>
      <c r="K665" s="5"/>
      <c r="L665" s="5"/>
      <c r="M665" s="5"/>
      <c r="N665" s="5"/>
      <c r="O665" s="5"/>
      <c r="P665" s="5"/>
    </row>
    <row r="666" customFormat="false" ht="45" hidden="false" customHeight="true" outlineLevel="0" collapsed="false">
      <c r="A666" s="5" t="s">
        <v>873</v>
      </c>
      <c r="B666" s="5"/>
      <c r="C666" s="5"/>
      <c r="D666" s="5"/>
      <c r="E666" s="5"/>
      <c r="F666" s="5"/>
      <c r="G666" s="5"/>
      <c r="H666" s="5"/>
      <c r="I666" s="5"/>
      <c r="J666" s="5"/>
      <c r="K666" s="5"/>
      <c r="L666" s="5"/>
      <c r="M666" s="5"/>
      <c r="N666" s="5"/>
      <c r="O666" s="5"/>
      <c r="P666" s="5"/>
    </row>
    <row r="667" customFormat="false" ht="60" hidden="false" customHeight="true" outlineLevel="0" collapsed="false">
      <c r="A667" s="5" t="s">
        <v>874</v>
      </c>
      <c r="B667" s="5"/>
      <c r="C667" s="5"/>
      <c r="D667" s="5"/>
      <c r="E667" s="5"/>
      <c r="F667" s="5"/>
      <c r="G667" s="5"/>
      <c r="H667" s="5"/>
      <c r="I667" s="5"/>
      <c r="J667" s="5"/>
      <c r="K667" s="5"/>
      <c r="L667" s="5"/>
      <c r="M667" s="5"/>
      <c r="N667" s="5"/>
      <c r="O667" s="5"/>
      <c r="P667" s="5"/>
    </row>
    <row r="668" customFormat="false" ht="60" hidden="false" customHeight="true" outlineLevel="0" collapsed="false">
      <c r="A668" s="5" t="s">
        <v>875</v>
      </c>
      <c r="B668" s="5"/>
      <c r="C668" s="5"/>
      <c r="D668" s="5"/>
      <c r="E668" s="5"/>
      <c r="F668" s="5"/>
      <c r="G668" s="5"/>
      <c r="H668" s="5"/>
      <c r="I668" s="5"/>
      <c r="J668" s="5"/>
      <c r="K668" s="5"/>
      <c r="L668" s="5"/>
      <c r="M668" s="5"/>
      <c r="N668" s="5"/>
      <c r="O668" s="5"/>
      <c r="P668" s="5"/>
    </row>
    <row r="669" customFormat="false" ht="45" hidden="false" customHeight="true" outlineLevel="0" collapsed="false">
      <c r="A669" s="5" t="s">
        <v>876</v>
      </c>
      <c r="B669" s="5"/>
      <c r="C669" s="5"/>
      <c r="D669" s="5"/>
      <c r="E669" s="5"/>
      <c r="F669" s="5"/>
      <c r="G669" s="5"/>
      <c r="H669" s="5"/>
      <c r="I669" s="5"/>
      <c r="J669" s="5"/>
      <c r="K669" s="5"/>
      <c r="L669" s="5"/>
      <c r="M669" s="5"/>
      <c r="N669" s="5"/>
      <c r="O669" s="5"/>
      <c r="P669" s="5"/>
    </row>
    <row r="670" customFormat="false" ht="45" hidden="false" customHeight="true" outlineLevel="0" collapsed="false">
      <c r="A670" s="5" t="s">
        <v>877</v>
      </c>
      <c r="B670" s="5"/>
      <c r="C670" s="5"/>
      <c r="D670" s="5"/>
      <c r="E670" s="5"/>
      <c r="F670" s="5"/>
      <c r="G670" s="5"/>
      <c r="H670" s="5"/>
      <c r="I670" s="5"/>
      <c r="J670" s="5"/>
      <c r="K670" s="5"/>
      <c r="L670" s="5"/>
      <c r="M670" s="5"/>
      <c r="N670" s="5"/>
      <c r="O670" s="5"/>
      <c r="P670" s="5"/>
    </row>
    <row r="671" customFormat="false" ht="45" hidden="false" customHeight="true" outlineLevel="0" collapsed="false">
      <c r="A671" s="5" t="s">
        <v>878</v>
      </c>
      <c r="B671" s="5"/>
      <c r="C671" s="5"/>
      <c r="D671" s="5"/>
      <c r="E671" s="5"/>
      <c r="F671" s="5"/>
      <c r="G671" s="5"/>
      <c r="H671" s="5"/>
      <c r="I671" s="5"/>
      <c r="J671" s="5"/>
      <c r="K671" s="5"/>
      <c r="L671" s="5"/>
      <c r="M671" s="5"/>
      <c r="N671" s="5"/>
      <c r="O671" s="5"/>
      <c r="P671" s="5"/>
    </row>
    <row r="672" customFormat="false" ht="60" hidden="false" customHeight="true" outlineLevel="0" collapsed="false">
      <c r="A672" s="5" t="s">
        <v>879</v>
      </c>
      <c r="B672" s="5"/>
      <c r="C672" s="5"/>
      <c r="D672" s="5"/>
      <c r="E672" s="5"/>
      <c r="F672" s="5"/>
      <c r="G672" s="5"/>
      <c r="H672" s="5"/>
      <c r="I672" s="5"/>
      <c r="J672" s="5"/>
      <c r="K672" s="5"/>
      <c r="L672" s="5"/>
      <c r="M672" s="5"/>
      <c r="N672" s="5"/>
      <c r="O672" s="5"/>
      <c r="P672" s="5"/>
    </row>
    <row r="673" customFormat="false" ht="45" hidden="false" customHeight="true" outlineLevel="0" collapsed="false">
      <c r="A673" s="5" t="s">
        <v>880</v>
      </c>
      <c r="B673" s="5"/>
      <c r="C673" s="5"/>
      <c r="D673" s="5"/>
      <c r="E673" s="5"/>
      <c r="F673" s="5"/>
      <c r="G673" s="5"/>
      <c r="H673" s="5"/>
      <c r="I673" s="5"/>
      <c r="J673" s="5"/>
      <c r="K673" s="5"/>
      <c r="L673" s="5"/>
      <c r="M673" s="5"/>
      <c r="N673" s="5"/>
      <c r="O673" s="5"/>
      <c r="P673" s="5"/>
    </row>
    <row r="674" customFormat="false" ht="45" hidden="false" customHeight="true" outlineLevel="0" collapsed="false">
      <c r="A674" s="5" t="s">
        <v>881</v>
      </c>
      <c r="B674" s="5"/>
      <c r="C674" s="5"/>
      <c r="D674" s="5"/>
      <c r="E674" s="5"/>
      <c r="F674" s="5"/>
      <c r="G674" s="5"/>
      <c r="H674" s="5"/>
      <c r="I674" s="5"/>
      <c r="J674" s="5"/>
      <c r="K674" s="5"/>
      <c r="L674" s="5"/>
      <c r="M674" s="5"/>
      <c r="N674" s="5"/>
      <c r="O674" s="5"/>
      <c r="P674" s="5"/>
    </row>
    <row r="675" customFormat="false" ht="45" hidden="false" customHeight="true" outlineLevel="0" collapsed="false">
      <c r="A675" s="5" t="s">
        <v>882</v>
      </c>
      <c r="B675" s="5"/>
      <c r="C675" s="5"/>
      <c r="D675" s="5"/>
      <c r="E675" s="5"/>
      <c r="F675" s="5"/>
      <c r="G675" s="5"/>
      <c r="H675" s="5"/>
      <c r="I675" s="5"/>
      <c r="J675" s="5"/>
      <c r="K675" s="5"/>
      <c r="L675" s="5"/>
      <c r="M675" s="5"/>
      <c r="N675" s="5"/>
      <c r="O675" s="5"/>
      <c r="P675" s="5"/>
    </row>
    <row r="676" customFormat="false" ht="45" hidden="false" customHeight="true" outlineLevel="0" collapsed="false">
      <c r="A676" s="5" t="s">
        <v>883</v>
      </c>
      <c r="B676" s="5"/>
      <c r="C676" s="5"/>
      <c r="D676" s="5"/>
      <c r="E676" s="5"/>
      <c r="F676" s="5"/>
      <c r="G676" s="5"/>
      <c r="H676" s="5"/>
      <c r="I676" s="5"/>
      <c r="J676" s="5"/>
      <c r="K676" s="5"/>
      <c r="L676" s="5"/>
      <c r="M676" s="5"/>
      <c r="N676" s="5"/>
      <c r="O676" s="5"/>
      <c r="P676" s="5"/>
    </row>
    <row r="677" customFormat="false" ht="45" hidden="false" customHeight="true" outlineLevel="0" collapsed="false">
      <c r="A677" s="5" t="s">
        <v>884</v>
      </c>
      <c r="B677" s="5"/>
      <c r="C677" s="5"/>
      <c r="D677" s="5"/>
      <c r="E677" s="5"/>
      <c r="F677" s="5"/>
      <c r="G677" s="5"/>
      <c r="H677" s="5"/>
      <c r="I677" s="5"/>
      <c r="J677" s="5"/>
      <c r="K677" s="5"/>
      <c r="L677" s="5"/>
      <c r="M677" s="5"/>
      <c r="N677" s="5"/>
      <c r="O677" s="5"/>
      <c r="P677" s="5"/>
    </row>
    <row r="678" customFormat="false" ht="60" hidden="false" customHeight="true" outlineLevel="0" collapsed="false">
      <c r="A678" s="5" t="s">
        <v>885</v>
      </c>
      <c r="B678" s="5"/>
      <c r="C678" s="5"/>
      <c r="D678" s="5"/>
      <c r="E678" s="5"/>
      <c r="F678" s="5"/>
      <c r="G678" s="5"/>
      <c r="H678" s="5"/>
      <c r="I678" s="5"/>
      <c r="J678" s="5"/>
      <c r="K678" s="5"/>
      <c r="L678" s="5"/>
      <c r="M678" s="5"/>
      <c r="N678" s="5"/>
      <c r="O678" s="5"/>
      <c r="P678" s="5"/>
    </row>
    <row r="679" customFormat="false" ht="45" hidden="false" customHeight="true" outlineLevel="0" collapsed="false">
      <c r="A679" s="5" t="s">
        <v>886</v>
      </c>
      <c r="B679" s="5"/>
      <c r="C679" s="5"/>
      <c r="D679" s="5"/>
      <c r="E679" s="5"/>
      <c r="F679" s="5"/>
      <c r="G679" s="5"/>
      <c r="H679" s="5"/>
      <c r="I679" s="5"/>
      <c r="J679" s="5"/>
      <c r="K679" s="5"/>
      <c r="L679" s="5"/>
      <c r="M679" s="5"/>
      <c r="N679" s="5"/>
      <c r="O679" s="5"/>
      <c r="P679" s="5"/>
    </row>
    <row r="680" customFormat="false" ht="45" hidden="false" customHeight="true" outlineLevel="0" collapsed="false">
      <c r="A680" s="5" t="s">
        <v>887</v>
      </c>
      <c r="B680" s="5"/>
      <c r="C680" s="5"/>
      <c r="D680" s="5"/>
      <c r="E680" s="5"/>
      <c r="F680" s="5"/>
      <c r="G680" s="5"/>
      <c r="H680" s="5"/>
      <c r="I680" s="5"/>
      <c r="J680" s="5"/>
      <c r="K680" s="5"/>
      <c r="L680" s="5"/>
      <c r="M680" s="5"/>
      <c r="N680" s="5"/>
      <c r="O680" s="5"/>
      <c r="P680" s="5"/>
    </row>
    <row r="681" customFormat="false" ht="30" hidden="false" customHeight="true" outlineLevel="0" collapsed="false">
      <c r="A681" s="5" t="s">
        <v>888</v>
      </c>
      <c r="B681" s="5"/>
      <c r="C681" s="5"/>
      <c r="D681" s="5"/>
      <c r="E681" s="5"/>
      <c r="F681" s="5"/>
      <c r="G681" s="5"/>
      <c r="H681" s="5"/>
      <c r="I681" s="5"/>
      <c r="J681" s="5"/>
      <c r="K681" s="5"/>
      <c r="L681" s="5"/>
      <c r="M681" s="5"/>
      <c r="N681" s="5"/>
      <c r="O681" s="5"/>
      <c r="P681" s="5"/>
    </row>
    <row r="683" customFormat="false" ht="15" hidden="false" customHeight="true" outlineLevel="0" collapsed="false">
      <c r="A683" s="42" t="s">
        <v>889</v>
      </c>
      <c r="B683" s="42"/>
      <c r="C683" s="42"/>
      <c r="D683" s="42"/>
      <c r="E683" s="42"/>
      <c r="F683" s="42"/>
      <c r="G683" s="42"/>
      <c r="H683" s="42"/>
      <c r="I683" s="42"/>
      <c r="J683" s="42"/>
      <c r="K683" s="42"/>
      <c r="L683" s="42"/>
      <c r="M683" s="42"/>
      <c r="N683" s="42"/>
      <c r="O683" s="42"/>
      <c r="P683" s="42"/>
    </row>
    <row r="684" customFormat="false" ht="15" hidden="false" customHeight="true" outlineLevel="0" collapsed="false">
      <c r="A684" s="5" t="s">
        <v>890</v>
      </c>
      <c r="B684" s="5"/>
      <c r="C684" s="5"/>
      <c r="D684" s="5"/>
      <c r="E684" s="5"/>
      <c r="F684" s="5"/>
      <c r="G684" s="5"/>
      <c r="H684" s="5"/>
      <c r="I684" s="5"/>
      <c r="J684" s="5"/>
      <c r="K684" s="5"/>
      <c r="L684" s="5"/>
      <c r="M684" s="5"/>
      <c r="N684" s="5"/>
      <c r="O684" s="5"/>
      <c r="P684" s="5"/>
    </row>
    <row r="685" customFormat="false" ht="15" hidden="false" customHeight="true" outlineLevel="0" collapsed="false">
      <c r="A685" s="5" t="s">
        <v>891</v>
      </c>
      <c r="B685" s="5"/>
      <c r="C685" s="5"/>
      <c r="D685" s="5"/>
      <c r="E685" s="5"/>
      <c r="F685" s="5"/>
      <c r="G685" s="5"/>
      <c r="H685" s="5"/>
      <c r="I685" s="5"/>
      <c r="J685" s="5"/>
      <c r="K685" s="5"/>
      <c r="L685" s="5"/>
      <c r="M685" s="5"/>
      <c r="N685" s="5"/>
      <c r="O685" s="5"/>
      <c r="P685" s="5"/>
    </row>
    <row r="686" customFormat="false" ht="15" hidden="false" customHeight="true" outlineLevel="0" collapsed="false">
      <c r="A686" s="5" t="s">
        <v>892</v>
      </c>
      <c r="B686" s="5"/>
      <c r="C686" s="5"/>
      <c r="D686" s="5"/>
      <c r="E686" s="5"/>
      <c r="F686" s="5"/>
      <c r="G686" s="5"/>
      <c r="H686" s="5"/>
      <c r="I686" s="5"/>
      <c r="J686" s="5"/>
      <c r="K686" s="5"/>
      <c r="L686" s="5"/>
      <c r="M686" s="5"/>
      <c r="N686" s="5"/>
      <c r="O686" s="5"/>
      <c r="P686" s="5"/>
    </row>
    <row r="687" customFormat="false" ht="15" hidden="false" customHeight="true" outlineLevel="0" collapsed="false">
      <c r="A687" s="5" t="s">
        <v>893</v>
      </c>
      <c r="B687" s="5"/>
      <c r="C687" s="5"/>
      <c r="D687" s="5"/>
      <c r="E687" s="5"/>
      <c r="F687" s="5"/>
      <c r="G687" s="5"/>
      <c r="H687" s="5"/>
      <c r="I687" s="5"/>
      <c r="J687" s="5"/>
      <c r="K687" s="5"/>
      <c r="L687" s="5"/>
      <c r="M687" s="5"/>
      <c r="N687" s="5"/>
      <c r="O687" s="5"/>
      <c r="P687" s="5"/>
    </row>
    <row r="688" customFormat="false" ht="15" hidden="false" customHeight="true" outlineLevel="0" collapsed="false">
      <c r="A688" s="5" t="s">
        <v>894</v>
      </c>
      <c r="B688" s="5"/>
      <c r="C688" s="5"/>
      <c r="D688" s="5"/>
      <c r="E688" s="5"/>
      <c r="F688" s="5"/>
      <c r="G688" s="5"/>
      <c r="H688" s="5"/>
      <c r="I688" s="5"/>
      <c r="J688" s="5"/>
      <c r="K688" s="5"/>
      <c r="L688" s="5"/>
      <c r="M688" s="5"/>
      <c r="N688" s="5"/>
      <c r="O688" s="5"/>
      <c r="P688" s="5"/>
    </row>
    <row r="689" customFormat="false" ht="15" hidden="false" customHeight="true" outlineLevel="0" collapsed="false">
      <c r="A689" s="5" t="s">
        <v>895</v>
      </c>
      <c r="B689" s="5"/>
      <c r="C689" s="5"/>
      <c r="D689" s="5"/>
      <c r="E689" s="5"/>
      <c r="F689" s="5"/>
      <c r="G689" s="5"/>
      <c r="H689" s="5"/>
      <c r="I689" s="5"/>
      <c r="J689" s="5"/>
      <c r="K689" s="5"/>
      <c r="L689" s="5"/>
      <c r="M689" s="5"/>
      <c r="N689" s="5"/>
      <c r="O689" s="5"/>
      <c r="P689" s="5"/>
    </row>
    <row r="690" customFormat="false" ht="15" hidden="false" customHeight="true" outlineLevel="0" collapsed="false">
      <c r="A690" s="5" t="s">
        <v>896</v>
      </c>
      <c r="B690" s="5"/>
      <c r="C690" s="5"/>
      <c r="D690" s="5"/>
      <c r="E690" s="5"/>
      <c r="F690" s="5"/>
      <c r="G690" s="5"/>
      <c r="H690" s="5"/>
      <c r="I690" s="5"/>
      <c r="J690" s="5"/>
      <c r="K690" s="5"/>
      <c r="L690" s="5"/>
      <c r="M690" s="5"/>
      <c r="N690" s="5"/>
      <c r="O690" s="5"/>
      <c r="P690" s="5"/>
    </row>
    <row r="691" customFormat="false" ht="15" hidden="false" customHeight="true" outlineLevel="0" collapsed="false">
      <c r="A691" s="5" t="s">
        <v>897</v>
      </c>
      <c r="B691" s="5"/>
      <c r="C691" s="5"/>
      <c r="D691" s="5"/>
      <c r="E691" s="5"/>
      <c r="F691" s="5"/>
      <c r="G691" s="5"/>
      <c r="H691" s="5"/>
      <c r="I691" s="5"/>
      <c r="J691" s="5"/>
      <c r="K691" s="5"/>
      <c r="L691" s="5"/>
      <c r="M691" s="5"/>
      <c r="N691" s="5"/>
      <c r="O691" s="5"/>
      <c r="P691" s="5"/>
    </row>
    <row r="692" customFormat="false" ht="15" hidden="false" customHeight="true" outlineLevel="0" collapsed="false">
      <c r="A692" s="5" t="s">
        <v>898</v>
      </c>
      <c r="B692" s="5"/>
      <c r="C692" s="5"/>
      <c r="D692" s="5"/>
      <c r="E692" s="5"/>
      <c r="F692" s="5"/>
      <c r="G692" s="5"/>
      <c r="H692" s="5"/>
      <c r="I692" s="5"/>
      <c r="J692" s="5"/>
      <c r="K692" s="5"/>
      <c r="L692" s="5"/>
      <c r="M692" s="5"/>
      <c r="N692" s="5"/>
      <c r="O692" s="5"/>
      <c r="P692" s="5"/>
    </row>
    <row r="693" customFormat="false" ht="15" hidden="false" customHeight="true" outlineLevel="0" collapsed="false">
      <c r="A693" s="5" t="s">
        <v>899</v>
      </c>
      <c r="B693" s="5"/>
      <c r="C693" s="5"/>
      <c r="D693" s="5"/>
      <c r="E693" s="5"/>
      <c r="F693" s="5"/>
      <c r="G693" s="5"/>
      <c r="H693" s="5"/>
      <c r="I693" s="5"/>
      <c r="J693" s="5"/>
      <c r="K693" s="5"/>
      <c r="L693" s="5"/>
      <c r="M693" s="5"/>
      <c r="N693" s="5"/>
      <c r="O693" s="5"/>
      <c r="P693" s="5"/>
    </row>
    <row r="694" customFormat="false" ht="15" hidden="false" customHeight="true" outlineLevel="0" collapsed="false">
      <c r="A694" s="5" t="s">
        <v>900</v>
      </c>
      <c r="B694" s="5"/>
      <c r="C694" s="5"/>
      <c r="D694" s="5"/>
      <c r="E694" s="5"/>
      <c r="F694" s="5"/>
      <c r="G694" s="5"/>
      <c r="H694" s="5"/>
      <c r="I694" s="5"/>
      <c r="J694" s="5"/>
      <c r="K694" s="5"/>
      <c r="L694" s="5"/>
      <c r="M694" s="5"/>
      <c r="N694" s="5"/>
      <c r="O694" s="5"/>
      <c r="P694" s="5"/>
    </row>
    <row r="695" customFormat="false" ht="15" hidden="false" customHeight="true" outlineLevel="0" collapsed="false">
      <c r="A695" s="5" t="s">
        <v>901</v>
      </c>
      <c r="B695" s="5"/>
      <c r="C695" s="5"/>
      <c r="D695" s="5"/>
      <c r="E695" s="5"/>
      <c r="F695" s="5"/>
      <c r="G695" s="5"/>
      <c r="H695" s="5"/>
      <c r="I695" s="5"/>
      <c r="J695" s="5"/>
      <c r="K695" s="5"/>
      <c r="L695" s="5"/>
      <c r="M695" s="5"/>
      <c r="N695" s="5"/>
      <c r="O695" s="5"/>
      <c r="P695" s="5"/>
    </row>
  </sheetData>
  <mergeCells count="172">
    <mergeCell ref="A5:P5"/>
    <mergeCell ref="A6:P6"/>
    <mergeCell ref="A7:P7"/>
    <mergeCell ref="A8:P8"/>
    <mergeCell ref="A9:P9"/>
    <mergeCell ref="A10:P10"/>
    <mergeCell ref="A11:P11"/>
    <mergeCell ref="A12:P12"/>
    <mergeCell ref="A13:P13"/>
    <mergeCell ref="A14:P14"/>
    <mergeCell ref="A15:P15"/>
    <mergeCell ref="A16:P16"/>
    <mergeCell ref="A17:P17"/>
    <mergeCell ref="A18:P18"/>
    <mergeCell ref="A19:P19"/>
    <mergeCell ref="A392:P392"/>
    <mergeCell ref="A452:P452"/>
    <mergeCell ref="A455:P455"/>
    <mergeCell ref="A472:P472"/>
    <mergeCell ref="A480:P480"/>
    <mergeCell ref="A483:P483"/>
    <mergeCell ref="A484:P484"/>
    <mergeCell ref="A485:P485"/>
    <mergeCell ref="A486:P486"/>
    <mergeCell ref="A508:P508"/>
    <mergeCell ref="A522:P522"/>
    <mergeCell ref="A525:P525"/>
    <mergeCell ref="A526:P526"/>
    <mergeCell ref="A527:P527"/>
    <mergeCell ref="A528:P528"/>
    <mergeCell ref="A529:P529"/>
    <mergeCell ref="A530:P530"/>
    <mergeCell ref="A531:P531"/>
    <mergeCell ref="A532:P532"/>
    <mergeCell ref="A533:P533"/>
    <mergeCell ref="A534:P534"/>
    <mergeCell ref="A551:P551"/>
    <mergeCell ref="A552:P552"/>
    <mergeCell ref="A553:P553"/>
    <mergeCell ref="A554:P554"/>
    <mergeCell ref="A555:P555"/>
    <mergeCell ref="A556:P556"/>
    <mergeCell ref="A557:P557"/>
    <mergeCell ref="A558:P558"/>
    <mergeCell ref="A559:P559"/>
    <mergeCell ref="A560:P560"/>
    <mergeCell ref="A562:P562"/>
    <mergeCell ref="A563:P563"/>
    <mergeCell ref="A564:P564"/>
    <mergeCell ref="A565:P565"/>
    <mergeCell ref="A566:P566"/>
    <mergeCell ref="A567:P567"/>
    <mergeCell ref="A568:P568"/>
    <mergeCell ref="A571:P571"/>
    <mergeCell ref="A572:P572"/>
    <mergeCell ref="A573:P573"/>
    <mergeCell ref="A574:P574"/>
    <mergeCell ref="A575:P575"/>
    <mergeCell ref="A576:P576"/>
    <mergeCell ref="A578:P578"/>
    <mergeCell ref="A579:P579"/>
    <mergeCell ref="A580:P580"/>
    <mergeCell ref="A581:P581"/>
    <mergeCell ref="A582:P582"/>
    <mergeCell ref="A583:P583"/>
    <mergeCell ref="A584:P584"/>
    <mergeCell ref="A585:P585"/>
    <mergeCell ref="A586:P586"/>
    <mergeCell ref="A587:P587"/>
    <mergeCell ref="A588:P588"/>
    <mergeCell ref="A589:P589"/>
    <mergeCell ref="A590:P590"/>
    <mergeCell ref="A591:P591"/>
    <mergeCell ref="A592:P592"/>
    <mergeCell ref="A593:P593"/>
    <mergeCell ref="A594:P594"/>
    <mergeCell ref="A595:P595"/>
    <mergeCell ref="A597:P597"/>
    <mergeCell ref="A598:P598"/>
    <mergeCell ref="A599:P599"/>
    <mergeCell ref="A600:P600"/>
    <mergeCell ref="A601:P601"/>
    <mergeCell ref="A602:P602"/>
    <mergeCell ref="A603:P603"/>
    <mergeCell ref="A604:P604"/>
    <mergeCell ref="A605:P605"/>
    <mergeCell ref="A606:P606"/>
    <mergeCell ref="A607:P607"/>
    <mergeCell ref="A608:P608"/>
    <mergeCell ref="A609:P609"/>
    <mergeCell ref="A610:P610"/>
    <mergeCell ref="A611:P611"/>
    <mergeCell ref="A612:P612"/>
    <mergeCell ref="A613:P613"/>
    <mergeCell ref="A614:P614"/>
    <mergeCell ref="A615:P615"/>
    <mergeCell ref="A616:P616"/>
    <mergeCell ref="A617:P617"/>
    <mergeCell ref="A618:P618"/>
    <mergeCell ref="A619:P619"/>
    <mergeCell ref="A620:P620"/>
    <mergeCell ref="A621:P621"/>
    <mergeCell ref="A622:P622"/>
    <mergeCell ref="A623:P623"/>
    <mergeCell ref="A624:P624"/>
    <mergeCell ref="A625:P625"/>
    <mergeCell ref="A626:P626"/>
    <mergeCell ref="A627:P627"/>
    <mergeCell ref="A628:P628"/>
    <mergeCell ref="A629:P629"/>
    <mergeCell ref="A631:P631"/>
    <mergeCell ref="A632:P632"/>
    <mergeCell ref="A633:P633"/>
    <mergeCell ref="A634:P634"/>
    <mergeCell ref="A635:P635"/>
    <mergeCell ref="A636:P636"/>
    <mergeCell ref="A637:P637"/>
    <mergeCell ref="A639:P639"/>
    <mergeCell ref="A640:P640"/>
    <mergeCell ref="A641:P641"/>
    <mergeCell ref="A642:P642"/>
    <mergeCell ref="A643:P643"/>
    <mergeCell ref="A644:P644"/>
    <mergeCell ref="A645:P645"/>
    <mergeCell ref="A646:P646"/>
    <mergeCell ref="A647:P647"/>
    <mergeCell ref="A648:P648"/>
    <mergeCell ref="A649:P649"/>
    <mergeCell ref="A650:P650"/>
    <mergeCell ref="A651:P651"/>
    <mergeCell ref="A652:P652"/>
    <mergeCell ref="A653:P653"/>
    <mergeCell ref="A654:P654"/>
    <mergeCell ref="A655:P655"/>
    <mergeCell ref="A656:P656"/>
    <mergeCell ref="A657:P657"/>
    <mergeCell ref="A659:P659"/>
    <mergeCell ref="A660:P660"/>
    <mergeCell ref="A661:P661"/>
    <mergeCell ref="A662:P662"/>
    <mergeCell ref="A663:P663"/>
    <mergeCell ref="A664:P664"/>
    <mergeCell ref="A665:P665"/>
    <mergeCell ref="A666:P666"/>
    <mergeCell ref="A667:P667"/>
    <mergeCell ref="A668:P668"/>
    <mergeCell ref="A669:P669"/>
    <mergeCell ref="A670:P670"/>
    <mergeCell ref="A671:P671"/>
    <mergeCell ref="A672:P672"/>
    <mergeCell ref="A673:P673"/>
    <mergeCell ref="A674:P674"/>
    <mergeCell ref="A675:P675"/>
    <mergeCell ref="A676:P676"/>
    <mergeCell ref="A677:P677"/>
    <mergeCell ref="A678:P678"/>
    <mergeCell ref="A679:P679"/>
    <mergeCell ref="A680:P680"/>
    <mergeCell ref="A681:P681"/>
    <mergeCell ref="A683:P683"/>
    <mergeCell ref="A684:P684"/>
    <mergeCell ref="A685:P685"/>
    <mergeCell ref="A686:P686"/>
    <mergeCell ref="A687:P687"/>
    <mergeCell ref="A688:P688"/>
    <mergeCell ref="A689:P689"/>
    <mergeCell ref="A690:P690"/>
    <mergeCell ref="A691:P691"/>
    <mergeCell ref="A692:P692"/>
    <mergeCell ref="A693:P693"/>
    <mergeCell ref="A694:P694"/>
    <mergeCell ref="A695:P695"/>
  </mergeCells>
  <conditionalFormatting sqref="B155:F159">
    <cfRule type="cellIs" priority="2" operator="equal" aboveAverage="0" equalAverage="0" bottom="0" percent="0" rank="0" text="" dxfId="0">
      <formula>"B"</formula>
    </cfRule>
    <cfRule type="cellIs" priority="3" operator="equal" aboveAverage="0" equalAverage="0" bottom="0" percent="0" rank="0" text="" dxfId="1">
      <formula>"M"</formula>
    </cfRule>
    <cfRule type="cellIs" priority="4" operator="equal" aboveAverage="0" equalAverage="0" bottom="0" percent="0" rank="0" text="" dxfId="2">
      <formula>"MA"</formula>
    </cfRule>
    <cfRule type="cellIs" priority="5" operator="equal" aboveAverage="0" equalAverage="0" bottom="0" percent="0" rank="0" text="" dxfId="3">
      <formula>"A"</formula>
    </cfRule>
  </conditionalFormatting>
  <conditionalFormatting sqref="H367:H371">
    <cfRule type="cellIs" priority="6" operator="equal" aboveAverage="0" equalAverage="0" bottom="0" percent="0" rank="0" text="" dxfId="2">
      <formula>"DISCREPANCIA"</formula>
    </cfRule>
  </conditionalFormatting>
  <conditionalFormatting sqref="H155:I158">
    <cfRule type="cellIs" priority="7" operator="equal" aboveAverage="0" equalAverage="0" bottom="0" percent="0" rank="0" text="" dxfId="0">
      <formula>"B"</formula>
    </cfRule>
    <cfRule type="cellIs" priority="8" operator="equal" aboveAverage="0" equalAverage="0" bottom="0" percent="0" rank="0" text="" dxfId="1">
      <formula>"M"</formula>
    </cfRule>
    <cfRule type="cellIs" priority="9" operator="equal" aboveAverage="0" equalAverage="0" bottom="0" percent="0" rank="0" text="" dxfId="2">
      <formula>"MA"</formula>
    </cfRule>
    <cfRule type="cellIs" priority="10" operator="equal" aboveAverage="0" equalAverage="0" bottom="0" percent="0" rank="0" text="" dxfId="3">
      <formula>"A"</formula>
    </cfRule>
  </conditionalFormatting>
  <conditionalFormatting sqref="B474:F478">
    <cfRule type="expression" priority="11" aboveAverage="0" equalAverage="0" bottom="0" percent="0" rank="0" text="" dxfId="0">
      <formula>OR(B474="B",LEFT(B474,3)="B [")</formula>
    </cfRule>
    <cfRule type="expression" priority="12" aboveAverage="0" equalAverage="0" bottom="0" percent="0" rank="0" text="" dxfId="1">
      <formula>OR(B474="M",LEFT(B474,3)="M [")</formula>
    </cfRule>
    <cfRule type="expression" priority="13" aboveAverage="0" equalAverage="0" bottom="0" percent="0" rank="0" text="" dxfId="2">
      <formula>OR(B474="MA",LEFT(B474,4)="MA [")</formula>
    </cfRule>
    <cfRule type="expression" priority="14" aboveAverage="0" equalAverage="0" bottom="0" percent="0" rank="0" text="" dxfId="3">
      <formula>OR(B474="A",LEFT(B474,3)="A [")</formula>
    </cfRule>
  </conditionalFormatting>
  <dataValidations count="4">
    <dataValidation allowBlank="false" errorStyle="stop" operator="between" showDropDown="false" showErrorMessage="false" showInputMessage="false" sqref="B33" type="list">
      <formula1>"B,M,MA,A"</formula1>
      <formula2>0</formula2>
    </dataValidation>
    <dataValidation allowBlank="false" errorStyle="stop" operator="between" showDropDown="false" showErrorMessage="false" showInputMessage="false" sqref="E37:E41" type="list">
      <formula1>"Bajo,Base,Alto"</formula1>
      <formula2>0</formula2>
    </dataValidation>
    <dataValidation allowBlank="false" errorStyle="stop" operator="between" showDropDown="false" showErrorMessage="false" showInputMessage="false" sqref="B61" type="list">
      <formula1>"Intrusiva,No intrusiva"</formula1>
      <formula2>0</formula2>
    </dataValidation>
    <dataValidation allowBlank="false" errorStyle="stop" operator="between" showDropDown="false" showErrorMessage="false" showInputMessage="false" sqref="B60" type="list">
      <formula1>"1,2,3,4"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2026-09-30T22:00:45Z</dcterms:created>
  <dc:creator>openpyxl</dc:creator>
  <dc:description/>
  <dc:language>en-US</dc:language>
  <cp:lastModifiedBy/>
  <dcterms:modified xsi:type="dcterms:W3CDTF">2026-09-30T22:00:47Z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